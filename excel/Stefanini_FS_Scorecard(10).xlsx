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raf14840\Downloads\"/>
    </mc:Choice>
  </mc:AlternateContent>
  <xr:revisionPtr revIDLastSave="214" documentId="11_CAA1F201EEE3811C9BF9B005A198BDBFB9254C40" xr6:coauthVersionLast="47" xr6:coauthVersionMax="47" xr10:uidLastSave="{EAA2F068-2299-417D-B628-17983C16CA4B}"/>
  <bookViews>
    <workbookView xWindow="-98" yWindow="-98" windowWidth="21795" windowHeight="12975" firstSheet="2" activeTab="4" xr2:uid="{00000000-000D-0000-FFFF-FFFF00000000}"/>
  </bookViews>
  <sheets>
    <sheet name="Monthly Scorecard" sheetId="4" r:id="rId1"/>
    <sheet name="Scorecard and Rating" sheetId="3" r:id="rId2"/>
    <sheet name="Input &amp; Settings" sheetId="5" r:id="rId3"/>
    <sheet name="Annual Dashboard" sheetId="6" r:id="rId4"/>
    <sheet name="Employee Detail" sheetId="7" r:id="rId5"/>
  </sheets>
  <definedNames>
    <definedName name="_xlnm._FilterDatabase" localSheetId="0" hidden="1">'Monthly Scorecard'!$A$2:$AH$2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7" l="1"/>
  <c r="D16" i="7"/>
  <c r="D15" i="7"/>
  <c r="D14" i="7"/>
  <c r="D13" i="7"/>
  <c r="D12" i="7"/>
  <c r="D11" i="7"/>
  <c r="D10" i="7"/>
  <c r="D9" i="7"/>
  <c r="D8" i="7"/>
  <c r="P45" i="6"/>
  <c r="P44" i="6"/>
  <c r="L44" i="6"/>
  <c r="P43" i="6"/>
  <c r="P42" i="6"/>
  <c r="P41" i="6"/>
  <c r="P40" i="6"/>
  <c r="P39" i="6"/>
  <c r="J39" i="6"/>
  <c r="P38" i="6"/>
  <c r="P37" i="6"/>
  <c r="L37" i="6"/>
  <c r="I37" i="6"/>
  <c r="P36" i="6"/>
  <c r="P35" i="6"/>
  <c r="P34" i="6"/>
  <c r="P33" i="6"/>
  <c r="P32" i="6"/>
  <c r="J32" i="6"/>
  <c r="P31" i="6"/>
  <c r="P30" i="6"/>
  <c r="M30" i="6"/>
  <c r="L30" i="6"/>
  <c r="P29" i="6"/>
  <c r="P28" i="6"/>
  <c r="E28" i="6"/>
  <c r="P27" i="6"/>
  <c r="P26" i="6"/>
  <c r="I26" i="6"/>
  <c r="P25" i="6"/>
  <c r="J25" i="6"/>
  <c r="P24" i="6"/>
  <c r="P23" i="6"/>
  <c r="K23" i="6"/>
  <c r="P22" i="6"/>
  <c r="K22" i="6"/>
  <c r="I22" i="6"/>
  <c r="P21" i="6"/>
  <c r="P20" i="6"/>
  <c r="P19" i="6"/>
  <c r="P18" i="6"/>
  <c r="M18" i="6"/>
  <c r="P17" i="6"/>
  <c r="K17" i="6"/>
  <c r="P16" i="6"/>
  <c r="M16" i="6"/>
  <c r="L16" i="6"/>
  <c r="P15" i="6"/>
  <c r="P14" i="6"/>
  <c r="P13" i="6"/>
  <c r="P12" i="6"/>
  <c r="L12" i="6"/>
  <c r="P11" i="6"/>
  <c r="M11" i="6"/>
  <c r="L11" i="6"/>
  <c r="K11" i="6"/>
  <c r="J11" i="6"/>
  <c r="P10" i="6"/>
  <c r="M10" i="6"/>
  <c r="L10" i="6"/>
  <c r="P9" i="6"/>
  <c r="M9" i="6"/>
  <c r="P8" i="6"/>
  <c r="M8" i="6"/>
  <c r="P7" i="6"/>
  <c r="P6" i="6"/>
  <c r="P5" i="6"/>
  <c r="P4" i="6"/>
  <c r="M4" i="6"/>
  <c r="I14" i="7" s="1"/>
  <c r="C15" i="5"/>
  <c r="AH506" i="4"/>
  <c r="AF506" i="4"/>
  <c r="AC506" i="4"/>
  <c r="M45" i="6" s="1"/>
  <c r="AB506" i="4"/>
  <c r="AG506" i="4" s="1"/>
  <c r="AA506" i="4"/>
  <c r="Z506" i="4"/>
  <c r="Y506" i="4"/>
  <c r="X506" i="4"/>
  <c r="W506" i="4"/>
  <c r="V506" i="4"/>
  <c r="U506" i="4"/>
  <c r="T506" i="4"/>
  <c r="S506" i="4"/>
  <c r="R506" i="4"/>
  <c r="Q506" i="4"/>
  <c r="F506" i="4"/>
  <c r="AH505" i="4"/>
  <c r="AC505" i="4"/>
  <c r="M44" i="6" s="1"/>
  <c r="AA505" i="4"/>
  <c r="AB505" i="4" s="1"/>
  <c r="AG505" i="4" s="1"/>
  <c r="Z505" i="4"/>
  <c r="Y505" i="4"/>
  <c r="X505" i="4"/>
  <c r="W505" i="4"/>
  <c r="V505" i="4"/>
  <c r="U505" i="4"/>
  <c r="T505" i="4"/>
  <c r="S505" i="4"/>
  <c r="R505" i="4"/>
  <c r="Q505" i="4"/>
  <c r="F505" i="4"/>
  <c r="AH504" i="4"/>
  <c r="AC504" i="4"/>
  <c r="M43" i="6" s="1"/>
  <c r="AA504" i="4"/>
  <c r="AF504" i="4" s="1"/>
  <c r="Z504" i="4"/>
  <c r="Y504" i="4"/>
  <c r="X504" i="4"/>
  <c r="W504" i="4"/>
  <c r="V504" i="4"/>
  <c r="U504" i="4"/>
  <c r="T504" i="4"/>
  <c r="S504" i="4"/>
  <c r="R504" i="4"/>
  <c r="Q504" i="4"/>
  <c r="F504" i="4"/>
  <c r="AH503" i="4"/>
  <c r="AC503" i="4"/>
  <c r="M42" i="6" s="1"/>
  <c r="AB503" i="4"/>
  <c r="AG503" i="4" s="1"/>
  <c r="AA503" i="4"/>
  <c r="AF503" i="4" s="1"/>
  <c r="Z503" i="4"/>
  <c r="Y503" i="4"/>
  <c r="X503" i="4"/>
  <c r="W503" i="4"/>
  <c r="V503" i="4"/>
  <c r="U503" i="4"/>
  <c r="T503" i="4"/>
  <c r="S503" i="4"/>
  <c r="R503" i="4"/>
  <c r="Q503" i="4"/>
  <c r="F503" i="4"/>
  <c r="AH502" i="4"/>
  <c r="AC502" i="4"/>
  <c r="M41" i="6" s="1"/>
  <c r="AB502" i="4"/>
  <c r="AG502" i="4" s="1"/>
  <c r="AA502" i="4"/>
  <c r="AF502" i="4" s="1"/>
  <c r="Z502" i="4"/>
  <c r="Y502" i="4"/>
  <c r="X502" i="4"/>
  <c r="W502" i="4"/>
  <c r="V502" i="4"/>
  <c r="U502" i="4"/>
  <c r="T502" i="4"/>
  <c r="S502" i="4"/>
  <c r="R502" i="4"/>
  <c r="Q502" i="4"/>
  <c r="F502" i="4"/>
  <c r="AH501" i="4"/>
  <c r="AF501" i="4"/>
  <c r="AC501" i="4"/>
  <c r="M40" i="6" s="1"/>
  <c r="AA501" i="4"/>
  <c r="AB501" i="4" s="1"/>
  <c r="AG501" i="4" s="1"/>
  <c r="Z501" i="4"/>
  <c r="Y501" i="4"/>
  <c r="X501" i="4"/>
  <c r="W501" i="4"/>
  <c r="V501" i="4"/>
  <c r="U501" i="4"/>
  <c r="T501" i="4"/>
  <c r="S501" i="4"/>
  <c r="R501" i="4"/>
  <c r="Q501" i="4"/>
  <c r="F501" i="4"/>
  <c r="AH500" i="4"/>
  <c r="AF500" i="4"/>
  <c r="AC500" i="4"/>
  <c r="M39" i="6" s="1"/>
  <c r="AB500" i="4"/>
  <c r="AG500" i="4" s="1"/>
  <c r="AA500" i="4"/>
  <c r="Z500" i="4"/>
  <c r="Y500" i="4"/>
  <c r="X500" i="4"/>
  <c r="W500" i="4"/>
  <c r="V500" i="4"/>
  <c r="U500" i="4"/>
  <c r="T500" i="4"/>
  <c r="S500" i="4"/>
  <c r="R500" i="4"/>
  <c r="Q500" i="4"/>
  <c r="F500" i="4"/>
  <c r="AH499" i="4"/>
  <c r="AC499" i="4"/>
  <c r="M38" i="6" s="1"/>
  <c r="AA499" i="4"/>
  <c r="AF499" i="4" s="1"/>
  <c r="Z499" i="4"/>
  <c r="Y499" i="4"/>
  <c r="X499" i="4"/>
  <c r="W499" i="4"/>
  <c r="V499" i="4"/>
  <c r="U499" i="4"/>
  <c r="T499" i="4"/>
  <c r="S499" i="4"/>
  <c r="R499" i="4"/>
  <c r="Q499" i="4"/>
  <c r="F499" i="4"/>
  <c r="AH498" i="4"/>
  <c r="AC498" i="4"/>
  <c r="M37" i="6" s="1"/>
  <c r="AB498" i="4"/>
  <c r="AG498" i="4" s="1"/>
  <c r="AA498" i="4"/>
  <c r="AF498" i="4" s="1"/>
  <c r="Z498" i="4"/>
  <c r="Y498" i="4"/>
  <c r="X498" i="4"/>
  <c r="W498" i="4"/>
  <c r="V498" i="4"/>
  <c r="U498" i="4"/>
  <c r="T498" i="4"/>
  <c r="S498" i="4"/>
  <c r="R498" i="4"/>
  <c r="Q498" i="4"/>
  <c r="F498" i="4"/>
  <c r="AH497" i="4"/>
  <c r="AF497" i="4"/>
  <c r="AC497" i="4"/>
  <c r="M36" i="6" s="1"/>
  <c r="AB497" i="4"/>
  <c r="AG497" i="4" s="1"/>
  <c r="AA497" i="4"/>
  <c r="Z497" i="4"/>
  <c r="Y497" i="4"/>
  <c r="X497" i="4"/>
  <c r="W497" i="4"/>
  <c r="V497" i="4"/>
  <c r="U497" i="4"/>
  <c r="T497" i="4"/>
  <c r="S497" i="4"/>
  <c r="R497" i="4"/>
  <c r="Q497" i="4"/>
  <c r="F497" i="4"/>
  <c r="AH496" i="4"/>
  <c r="AF496" i="4"/>
  <c r="AC496" i="4"/>
  <c r="M35" i="6" s="1"/>
  <c r="AB496" i="4"/>
  <c r="AG496" i="4" s="1"/>
  <c r="AA496" i="4"/>
  <c r="Z496" i="4"/>
  <c r="Y496" i="4"/>
  <c r="X496" i="4"/>
  <c r="W496" i="4"/>
  <c r="V496" i="4"/>
  <c r="U496" i="4"/>
  <c r="T496" i="4"/>
  <c r="S496" i="4"/>
  <c r="R496" i="4"/>
  <c r="Q496" i="4"/>
  <c r="F496" i="4"/>
  <c r="AH495" i="4"/>
  <c r="AC495" i="4"/>
  <c r="M34" i="6" s="1"/>
  <c r="AB495" i="4"/>
  <c r="AG495" i="4" s="1"/>
  <c r="AA495" i="4"/>
  <c r="AF495" i="4" s="1"/>
  <c r="Z495" i="4"/>
  <c r="Y495" i="4"/>
  <c r="X495" i="4"/>
  <c r="W495" i="4"/>
  <c r="V495" i="4"/>
  <c r="U495" i="4"/>
  <c r="T495" i="4"/>
  <c r="S495" i="4"/>
  <c r="R495" i="4"/>
  <c r="Q495" i="4"/>
  <c r="F495" i="4"/>
  <c r="AH494" i="4"/>
  <c r="AC494" i="4"/>
  <c r="M33" i="6" s="1"/>
  <c r="AA494" i="4"/>
  <c r="AF494" i="4" s="1"/>
  <c r="Z494" i="4"/>
  <c r="Y494" i="4"/>
  <c r="X494" i="4"/>
  <c r="W494" i="4"/>
  <c r="V494" i="4"/>
  <c r="U494" i="4"/>
  <c r="T494" i="4"/>
  <c r="S494" i="4"/>
  <c r="R494" i="4"/>
  <c r="Q494" i="4"/>
  <c r="F494" i="4"/>
  <c r="AH493" i="4"/>
  <c r="AC493" i="4"/>
  <c r="M32" i="6" s="1"/>
  <c r="AA493" i="4"/>
  <c r="AF493" i="4" s="1"/>
  <c r="Z493" i="4"/>
  <c r="Y493" i="4"/>
  <c r="X493" i="4"/>
  <c r="W493" i="4"/>
  <c r="V493" i="4"/>
  <c r="U493" i="4"/>
  <c r="T493" i="4"/>
  <c r="S493" i="4"/>
  <c r="R493" i="4"/>
  <c r="Q493" i="4"/>
  <c r="F493" i="4"/>
  <c r="AH492" i="4"/>
  <c r="AF492" i="4"/>
  <c r="AC492" i="4"/>
  <c r="M31" i="6" s="1"/>
  <c r="AB492" i="4"/>
  <c r="AG492" i="4" s="1"/>
  <c r="AA492" i="4"/>
  <c r="Z492" i="4"/>
  <c r="Y492" i="4"/>
  <c r="X492" i="4"/>
  <c r="W492" i="4"/>
  <c r="V492" i="4"/>
  <c r="U492" i="4"/>
  <c r="T492" i="4"/>
  <c r="S492" i="4"/>
  <c r="R492" i="4"/>
  <c r="Q492" i="4"/>
  <c r="F492" i="4"/>
  <c r="AH491" i="4"/>
  <c r="AF491" i="4"/>
  <c r="AC491" i="4"/>
  <c r="AA491" i="4"/>
  <c r="AB491" i="4" s="1"/>
  <c r="AG491" i="4" s="1"/>
  <c r="Z491" i="4"/>
  <c r="Y491" i="4"/>
  <c r="X491" i="4"/>
  <c r="W491" i="4"/>
  <c r="V491" i="4"/>
  <c r="U491" i="4"/>
  <c r="T491" i="4"/>
  <c r="S491" i="4"/>
  <c r="R491" i="4"/>
  <c r="Q491" i="4"/>
  <c r="F491" i="4"/>
  <c r="AH490" i="4"/>
  <c r="AC490" i="4"/>
  <c r="M29" i="6" s="1"/>
  <c r="AA490" i="4"/>
  <c r="AF490" i="4" s="1"/>
  <c r="Z490" i="4"/>
  <c r="Y490" i="4"/>
  <c r="X490" i="4"/>
  <c r="W490" i="4"/>
  <c r="V490" i="4"/>
  <c r="U490" i="4"/>
  <c r="T490" i="4"/>
  <c r="S490" i="4"/>
  <c r="R490" i="4"/>
  <c r="Q490" i="4"/>
  <c r="F490" i="4"/>
  <c r="AH489" i="4"/>
  <c r="AC489" i="4"/>
  <c r="M28" i="6" s="1"/>
  <c r="AA489" i="4"/>
  <c r="AF489" i="4" s="1"/>
  <c r="Z489" i="4"/>
  <c r="Y489" i="4"/>
  <c r="X489" i="4"/>
  <c r="W489" i="4"/>
  <c r="V489" i="4"/>
  <c r="U489" i="4"/>
  <c r="T489" i="4"/>
  <c r="S489" i="4"/>
  <c r="R489" i="4"/>
  <c r="Q489" i="4"/>
  <c r="F489" i="4"/>
  <c r="AH488" i="4"/>
  <c r="AC488" i="4"/>
  <c r="M27" i="6" s="1"/>
  <c r="AB488" i="4"/>
  <c r="AG488" i="4" s="1"/>
  <c r="AA488" i="4"/>
  <c r="AF488" i="4" s="1"/>
  <c r="Z488" i="4"/>
  <c r="Y488" i="4"/>
  <c r="X488" i="4"/>
  <c r="W488" i="4"/>
  <c r="V488" i="4"/>
  <c r="U488" i="4"/>
  <c r="T488" i="4"/>
  <c r="S488" i="4"/>
  <c r="R488" i="4"/>
  <c r="Q488" i="4"/>
  <c r="F488" i="4"/>
  <c r="AH487" i="4"/>
  <c r="AF487" i="4"/>
  <c r="AC487" i="4"/>
  <c r="M26" i="6" s="1"/>
  <c r="AB487" i="4"/>
  <c r="AG487" i="4" s="1"/>
  <c r="AA487" i="4"/>
  <c r="Z487" i="4"/>
  <c r="Y487" i="4"/>
  <c r="X487" i="4"/>
  <c r="W487" i="4"/>
  <c r="V487" i="4"/>
  <c r="U487" i="4"/>
  <c r="T487" i="4"/>
  <c r="S487" i="4"/>
  <c r="R487" i="4"/>
  <c r="Q487" i="4"/>
  <c r="F487" i="4"/>
  <c r="AH486" i="4"/>
  <c r="AF486" i="4"/>
  <c r="AC486" i="4"/>
  <c r="M25" i="6" s="1"/>
  <c r="AA486" i="4"/>
  <c r="AB486" i="4" s="1"/>
  <c r="AG486" i="4" s="1"/>
  <c r="Z486" i="4"/>
  <c r="Y486" i="4"/>
  <c r="X486" i="4"/>
  <c r="W486" i="4"/>
  <c r="V486" i="4"/>
  <c r="U486" i="4"/>
  <c r="T486" i="4"/>
  <c r="S486" i="4"/>
  <c r="R486" i="4"/>
  <c r="Q486" i="4"/>
  <c r="F486" i="4"/>
  <c r="AH485" i="4"/>
  <c r="AF485" i="4"/>
  <c r="AC485" i="4"/>
  <c r="M24" i="6" s="1"/>
  <c r="AB485" i="4"/>
  <c r="AG485" i="4" s="1"/>
  <c r="AA485" i="4"/>
  <c r="Z485" i="4"/>
  <c r="Y485" i="4"/>
  <c r="X485" i="4"/>
  <c r="W485" i="4"/>
  <c r="V485" i="4"/>
  <c r="U485" i="4"/>
  <c r="T485" i="4"/>
  <c r="S485" i="4"/>
  <c r="R485" i="4"/>
  <c r="Q485" i="4"/>
  <c r="F485" i="4"/>
  <c r="AH484" i="4"/>
  <c r="AC484" i="4"/>
  <c r="M23" i="6" s="1"/>
  <c r="AA484" i="4"/>
  <c r="AF484" i="4" s="1"/>
  <c r="Z484" i="4"/>
  <c r="Y484" i="4"/>
  <c r="X484" i="4"/>
  <c r="W484" i="4"/>
  <c r="V484" i="4"/>
  <c r="U484" i="4"/>
  <c r="T484" i="4"/>
  <c r="S484" i="4"/>
  <c r="R484" i="4"/>
  <c r="Q484" i="4"/>
  <c r="F484" i="4"/>
  <c r="AH483" i="4"/>
  <c r="AC483" i="4"/>
  <c r="M22" i="6" s="1"/>
  <c r="AA483" i="4"/>
  <c r="AF483" i="4" s="1"/>
  <c r="Z483" i="4"/>
  <c r="Y483" i="4"/>
  <c r="X483" i="4"/>
  <c r="W483" i="4"/>
  <c r="V483" i="4"/>
  <c r="U483" i="4"/>
  <c r="T483" i="4"/>
  <c r="S483" i="4"/>
  <c r="R483" i="4"/>
  <c r="Q483" i="4"/>
  <c r="F483" i="4"/>
  <c r="AH482" i="4"/>
  <c r="AF482" i="4"/>
  <c r="AC482" i="4"/>
  <c r="M21" i="6" s="1"/>
  <c r="AB482" i="4"/>
  <c r="AG482" i="4" s="1"/>
  <c r="AA482" i="4"/>
  <c r="Z482" i="4"/>
  <c r="Y482" i="4"/>
  <c r="X482" i="4"/>
  <c r="W482" i="4"/>
  <c r="V482" i="4"/>
  <c r="U482" i="4"/>
  <c r="T482" i="4"/>
  <c r="S482" i="4"/>
  <c r="R482" i="4"/>
  <c r="Q482" i="4"/>
  <c r="F482" i="4"/>
  <c r="AH481" i="4"/>
  <c r="AC481" i="4"/>
  <c r="M20" i="6" s="1"/>
  <c r="AA481" i="4"/>
  <c r="AF481" i="4" s="1"/>
  <c r="Z481" i="4"/>
  <c r="Y481" i="4"/>
  <c r="X481" i="4"/>
  <c r="W481" i="4"/>
  <c r="V481" i="4"/>
  <c r="U481" i="4"/>
  <c r="T481" i="4"/>
  <c r="S481" i="4"/>
  <c r="R481" i="4"/>
  <c r="Q481" i="4"/>
  <c r="F481" i="4"/>
  <c r="AH480" i="4"/>
  <c r="AF480" i="4"/>
  <c r="AC480" i="4"/>
  <c r="M19" i="6" s="1"/>
  <c r="AB480" i="4"/>
  <c r="AG480" i="4" s="1"/>
  <c r="AA480" i="4"/>
  <c r="Z480" i="4"/>
  <c r="Y480" i="4"/>
  <c r="X480" i="4"/>
  <c r="W480" i="4"/>
  <c r="V480" i="4"/>
  <c r="U480" i="4"/>
  <c r="T480" i="4"/>
  <c r="S480" i="4"/>
  <c r="R480" i="4"/>
  <c r="Q480" i="4"/>
  <c r="F480" i="4"/>
  <c r="AH479" i="4"/>
  <c r="AC479" i="4"/>
  <c r="AA479" i="4"/>
  <c r="AF479" i="4" s="1"/>
  <c r="Z479" i="4"/>
  <c r="Y479" i="4"/>
  <c r="X479" i="4"/>
  <c r="W479" i="4"/>
  <c r="V479" i="4"/>
  <c r="U479" i="4"/>
  <c r="T479" i="4"/>
  <c r="S479" i="4"/>
  <c r="R479" i="4"/>
  <c r="Q479" i="4"/>
  <c r="F479" i="4"/>
  <c r="AH478" i="4"/>
  <c r="AC478" i="4"/>
  <c r="M17" i="6" s="1"/>
  <c r="AA478" i="4"/>
  <c r="AF478" i="4" s="1"/>
  <c r="Z478" i="4"/>
  <c r="Y478" i="4"/>
  <c r="X478" i="4"/>
  <c r="W478" i="4"/>
  <c r="V478" i="4"/>
  <c r="U478" i="4"/>
  <c r="T478" i="4"/>
  <c r="S478" i="4"/>
  <c r="R478" i="4"/>
  <c r="Q478" i="4"/>
  <c r="F478" i="4"/>
  <c r="AH477" i="4"/>
  <c r="AF477" i="4"/>
  <c r="AC477" i="4"/>
  <c r="AA477" i="4"/>
  <c r="AB477" i="4" s="1"/>
  <c r="AG477" i="4" s="1"/>
  <c r="Z477" i="4"/>
  <c r="Y477" i="4"/>
  <c r="X477" i="4"/>
  <c r="W477" i="4"/>
  <c r="V477" i="4"/>
  <c r="U477" i="4"/>
  <c r="T477" i="4"/>
  <c r="S477" i="4"/>
  <c r="R477" i="4"/>
  <c r="Q477" i="4"/>
  <c r="F477" i="4"/>
  <c r="AH476" i="4"/>
  <c r="AF476" i="4"/>
  <c r="AC476" i="4"/>
  <c r="M15" i="6" s="1"/>
  <c r="AB476" i="4"/>
  <c r="AG476" i="4" s="1"/>
  <c r="AA476" i="4"/>
  <c r="Z476" i="4"/>
  <c r="Y476" i="4"/>
  <c r="X476" i="4"/>
  <c r="W476" i="4"/>
  <c r="V476" i="4"/>
  <c r="U476" i="4"/>
  <c r="T476" i="4"/>
  <c r="S476" i="4"/>
  <c r="R476" i="4"/>
  <c r="Q476" i="4"/>
  <c r="F476" i="4"/>
  <c r="AH475" i="4"/>
  <c r="AC475" i="4"/>
  <c r="M14" i="6" s="1"/>
  <c r="AA475" i="4"/>
  <c r="AF475" i="4" s="1"/>
  <c r="Z475" i="4"/>
  <c r="Y475" i="4"/>
  <c r="X475" i="4"/>
  <c r="W475" i="4"/>
  <c r="V475" i="4"/>
  <c r="U475" i="4"/>
  <c r="T475" i="4"/>
  <c r="S475" i="4"/>
  <c r="R475" i="4"/>
  <c r="Q475" i="4"/>
  <c r="F475" i="4"/>
  <c r="AH474" i="4"/>
  <c r="AC474" i="4"/>
  <c r="M13" i="6" s="1"/>
  <c r="AA474" i="4"/>
  <c r="AF474" i="4" s="1"/>
  <c r="Z474" i="4"/>
  <c r="Y474" i="4"/>
  <c r="X474" i="4"/>
  <c r="W474" i="4"/>
  <c r="V474" i="4"/>
  <c r="U474" i="4"/>
  <c r="T474" i="4"/>
  <c r="S474" i="4"/>
  <c r="R474" i="4"/>
  <c r="Q474" i="4"/>
  <c r="F474" i="4"/>
  <c r="AH473" i="4"/>
  <c r="AC473" i="4"/>
  <c r="M12" i="6" s="1"/>
  <c r="AA473" i="4"/>
  <c r="AF473" i="4" s="1"/>
  <c r="Z473" i="4"/>
  <c r="Y473" i="4"/>
  <c r="X473" i="4"/>
  <c r="W473" i="4"/>
  <c r="V473" i="4"/>
  <c r="U473" i="4"/>
  <c r="T473" i="4"/>
  <c r="S473" i="4"/>
  <c r="R473" i="4"/>
  <c r="Q473" i="4"/>
  <c r="F473" i="4"/>
  <c r="AH472" i="4"/>
  <c r="AC472" i="4"/>
  <c r="AA472" i="4"/>
  <c r="AF472" i="4" s="1"/>
  <c r="Z472" i="4"/>
  <c r="Y472" i="4"/>
  <c r="X472" i="4"/>
  <c r="W472" i="4"/>
  <c r="V472" i="4"/>
  <c r="U472" i="4"/>
  <c r="T472" i="4"/>
  <c r="S472" i="4"/>
  <c r="R472" i="4"/>
  <c r="Q472" i="4"/>
  <c r="F472" i="4"/>
  <c r="AH471" i="4"/>
  <c r="AF471" i="4"/>
  <c r="AC471" i="4"/>
  <c r="AA471" i="4"/>
  <c r="AB471" i="4" s="1"/>
  <c r="AG471" i="4" s="1"/>
  <c r="Z471" i="4"/>
  <c r="Y471" i="4"/>
  <c r="X471" i="4"/>
  <c r="W471" i="4"/>
  <c r="V471" i="4"/>
  <c r="U471" i="4"/>
  <c r="T471" i="4"/>
  <c r="S471" i="4"/>
  <c r="R471" i="4"/>
  <c r="Q471" i="4"/>
  <c r="F471" i="4"/>
  <c r="AH470" i="4"/>
  <c r="AF470" i="4"/>
  <c r="AC470" i="4"/>
  <c r="AB470" i="4"/>
  <c r="AG470" i="4" s="1"/>
  <c r="AA470" i="4"/>
  <c r="Z470" i="4"/>
  <c r="Y470" i="4"/>
  <c r="X470" i="4"/>
  <c r="W470" i="4"/>
  <c r="V470" i="4"/>
  <c r="U470" i="4"/>
  <c r="T470" i="4"/>
  <c r="S470" i="4"/>
  <c r="R470" i="4"/>
  <c r="Q470" i="4"/>
  <c r="F470" i="4"/>
  <c r="AH469" i="4"/>
  <c r="AC469" i="4"/>
  <c r="AA469" i="4"/>
  <c r="AF469" i="4" s="1"/>
  <c r="Z469" i="4"/>
  <c r="Y469" i="4"/>
  <c r="X469" i="4"/>
  <c r="W469" i="4"/>
  <c r="V469" i="4"/>
  <c r="U469" i="4"/>
  <c r="T469" i="4"/>
  <c r="S469" i="4"/>
  <c r="R469" i="4"/>
  <c r="Q469" i="4"/>
  <c r="F469" i="4"/>
  <c r="AH468" i="4"/>
  <c r="AF468" i="4"/>
  <c r="AC468" i="4"/>
  <c r="M7" i="6" s="1"/>
  <c r="AB468" i="4"/>
  <c r="AG468" i="4" s="1"/>
  <c r="AA468" i="4"/>
  <c r="Z468" i="4"/>
  <c r="Y468" i="4"/>
  <c r="X468" i="4"/>
  <c r="W468" i="4"/>
  <c r="V468" i="4"/>
  <c r="U468" i="4"/>
  <c r="T468" i="4"/>
  <c r="S468" i="4"/>
  <c r="R468" i="4"/>
  <c r="Q468" i="4"/>
  <c r="F468" i="4"/>
  <c r="AH467" i="4"/>
  <c r="AC467" i="4"/>
  <c r="M6" i="6" s="1"/>
  <c r="AA467" i="4"/>
  <c r="AF467" i="4" s="1"/>
  <c r="Z467" i="4"/>
  <c r="Y467" i="4"/>
  <c r="X467" i="4"/>
  <c r="W467" i="4"/>
  <c r="V467" i="4"/>
  <c r="U467" i="4"/>
  <c r="T467" i="4"/>
  <c r="S467" i="4"/>
  <c r="R467" i="4"/>
  <c r="Q467" i="4"/>
  <c r="F467" i="4"/>
  <c r="AH466" i="4"/>
  <c r="AF466" i="4"/>
  <c r="AC466" i="4"/>
  <c r="M5" i="6" s="1"/>
  <c r="AA466" i="4"/>
  <c r="AB466" i="4" s="1"/>
  <c r="AG466" i="4" s="1"/>
  <c r="Z466" i="4"/>
  <c r="Y466" i="4"/>
  <c r="X466" i="4"/>
  <c r="W466" i="4"/>
  <c r="V466" i="4"/>
  <c r="U466" i="4"/>
  <c r="T466" i="4"/>
  <c r="S466" i="4"/>
  <c r="R466" i="4"/>
  <c r="Q466" i="4"/>
  <c r="F466" i="4"/>
  <c r="AH465" i="4"/>
  <c r="AF465" i="4"/>
  <c r="AC465" i="4"/>
  <c r="AB465" i="4"/>
  <c r="AG465" i="4" s="1"/>
  <c r="AA465" i="4"/>
  <c r="Z465" i="4"/>
  <c r="Y465" i="4"/>
  <c r="X465" i="4"/>
  <c r="W465" i="4"/>
  <c r="V465" i="4"/>
  <c r="U465" i="4"/>
  <c r="T465" i="4"/>
  <c r="S465" i="4"/>
  <c r="R465" i="4"/>
  <c r="Q465" i="4"/>
  <c r="F465" i="4"/>
  <c r="AH464" i="4"/>
  <c r="AC464" i="4"/>
  <c r="L45" i="6" s="1"/>
  <c r="AA464" i="4"/>
  <c r="AF464" i="4" s="1"/>
  <c r="Z464" i="4"/>
  <c r="Y464" i="4"/>
  <c r="X464" i="4"/>
  <c r="W464" i="4"/>
  <c r="V464" i="4"/>
  <c r="U464" i="4"/>
  <c r="T464" i="4"/>
  <c r="S464" i="4"/>
  <c r="R464" i="4"/>
  <c r="Q464" i="4"/>
  <c r="F464" i="4"/>
  <c r="AH463" i="4"/>
  <c r="AC463" i="4"/>
  <c r="AA463" i="4"/>
  <c r="Z463" i="4"/>
  <c r="Y463" i="4"/>
  <c r="X463" i="4"/>
  <c r="W463" i="4"/>
  <c r="V463" i="4"/>
  <c r="U463" i="4"/>
  <c r="T463" i="4"/>
  <c r="S463" i="4"/>
  <c r="R463" i="4"/>
  <c r="Q463" i="4"/>
  <c r="F463" i="4"/>
  <c r="AH462" i="4"/>
  <c r="AC462" i="4"/>
  <c r="L43" i="6" s="1"/>
  <c r="AA462" i="4"/>
  <c r="AF462" i="4" s="1"/>
  <c r="Z462" i="4"/>
  <c r="Y462" i="4"/>
  <c r="X462" i="4"/>
  <c r="W462" i="4"/>
  <c r="V462" i="4"/>
  <c r="U462" i="4"/>
  <c r="T462" i="4"/>
  <c r="S462" i="4"/>
  <c r="R462" i="4"/>
  <c r="Q462" i="4"/>
  <c r="F462" i="4"/>
  <c r="AH461" i="4"/>
  <c r="AF461" i="4"/>
  <c r="AC461" i="4"/>
  <c r="L42" i="6" s="1"/>
  <c r="AB461" i="4"/>
  <c r="AG461" i="4" s="1"/>
  <c r="AA461" i="4"/>
  <c r="Z461" i="4"/>
  <c r="Y461" i="4"/>
  <c r="X461" i="4"/>
  <c r="W461" i="4"/>
  <c r="V461" i="4"/>
  <c r="U461" i="4"/>
  <c r="T461" i="4"/>
  <c r="S461" i="4"/>
  <c r="R461" i="4"/>
  <c r="Q461" i="4"/>
  <c r="F461" i="4"/>
  <c r="AH460" i="4"/>
  <c r="AC460" i="4"/>
  <c r="L41" i="6" s="1"/>
  <c r="AA460" i="4"/>
  <c r="AF460" i="4" s="1"/>
  <c r="Z460" i="4"/>
  <c r="Y460" i="4"/>
  <c r="X460" i="4"/>
  <c r="W460" i="4"/>
  <c r="V460" i="4"/>
  <c r="U460" i="4"/>
  <c r="T460" i="4"/>
  <c r="S460" i="4"/>
  <c r="R460" i="4"/>
  <c r="Q460" i="4"/>
  <c r="F460" i="4"/>
  <c r="AH459" i="4"/>
  <c r="AC459" i="4"/>
  <c r="L40" i="6" s="1"/>
  <c r="AA459" i="4"/>
  <c r="AF459" i="4" s="1"/>
  <c r="Z459" i="4"/>
  <c r="Y459" i="4"/>
  <c r="X459" i="4"/>
  <c r="W459" i="4"/>
  <c r="V459" i="4"/>
  <c r="U459" i="4"/>
  <c r="T459" i="4"/>
  <c r="S459" i="4"/>
  <c r="R459" i="4"/>
  <c r="Q459" i="4"/>
  <c r="F459" i="4"/>
  <c r="AH458" i="4"/>
  <c r="AC458" i="4"/>
  <c r="L39" i="6" s="1"/>
  <c r="AA458" i="4"/>
  <c r="AF458" i="4" s="1"/>
  <c r="Z458" i="4"/>
  <c r="Y458" i="4"/>
  <c r="X458" i="4"/>
  <c r="W458" i="4"/>
  <c r="V458" i="4"/>
  <c r="U458" i="4"/>
  <c r="T458" i="4"/>
  <c r="S458" i="4"/>
  <c r="R458" i="4"/>
  <c r="Q458" i="4"/>
  <c r="F458" i="4"/>
  <c r="AH457" i="4"/>
  <c r="AF457" i="4"/>
  <c r="AC457" i="4"/>
  <c r="L38" i="6" s="1"/>
  <c r="AA457" i="4"/>
  <c r="AB457" i="4" s="1"/>
  <c r="AG457" i="4" s="1"/>
  <c r="Z457" i="4"/>
  <c r="Y457" i="4"/>
  <c r="X457" i="4"/>
  <c r="W457" i="4"/>
  <c r="V457" i="4"/>
  <c r="U457" i="4"/>
  <c r="T457" i="4"/>
  <c r="S457" i="4"/>
  <c r="R457" i="4"/>
  <c r="Q457" i="4"/>
  <c r="F457" i="4"/>
  <c r="AH456" i="4"/>
  <c r="AF456" i="4"/>
  <c r="AC456" i="4"/>
  <c r="AA456" i="4"/>
  <c r="AB456" i="4" s="1"/>
  <c r="AG456" i="4" s="1"/>
  <c r="Z456" i="4"/>
  <c r="Y456" i="4"/>
  <c r="X456" i="4"/>
  <c r="W456" i="4"/>
  <c r="V456" i="4"/>
  <c r="U456" i="4"/>
  <c r="T456" i="4"/>
  <c r="S456" i="4"/>
  <c r="R456" i="4"/>
  <c r="Q456" i="4"/>
  <c r="F456" i="4"/>
  <c r="AH455" i="4"/>
  <c r="AF455" i="4"/>
  <c r="AC455" i="4"/>
  <c r="L36" i="6" s="1"/>
  <c r="AB455" i="4"/>
  <c r="AG455" i="4" s="1"/>
  <c r="AA455" i="4"/>
  <c r="Z455" i="4"/>
  <c r="Y455" i="4"/>
  <c r="X455" i="4"/>
  <c r="W455" i="4"/>
  <c r="V455" i="4"/>
  <c r="U455" i="4"/>
  <c r="T455" i="4"/>
  <c r="S455" i="4"/>
  <c r="R455" i="4"/>
  <c r="Q455" i="4"/>
  <c r="F455" i="4"/>
  <c r="AH454" i="4"/>
  <c r="AF454" i="4"/>
  <c r="AC454" i="4"/>
  <c r="L35" i="6" s="1"/>
  <c r="AB454" i="4"/>
  <c r="AG454" i="4" s="1"/>
  <c r="AA454" i="4"/>
  <c r="Z454" i="4"/>
  <c r="Y454" i="4"/>
  <c r="X454" i="4"/>
  <c r="W454" i="4"/>
  <c r="V454" i="4"/>
  <c r="U454" i="4"/>
  <c r="T454" i="4"/>
  <c r="S454" i="4"/>
  <c r="R454" i="4"/>
  <c r="Q454" i="4"/>
  <c r="F454" i="4"/>
  <c r="AH453" i="4"/>
  <c r="AC453" i="4"/>
  <c r="L34" i="6" s="1"/>
  <c r="AB453" i="4"/>
  <c r="AG453" i="4" s="1"/>
  <c r="AA453" i="4"/>
  <c r="AF453" i="4" s="1"/>
  <c r="Z453" i="4"/>
  <c r="Y453" i="4"/>
  <c r="X453" i="4"/>
  <c r="W453" i="4"/>
  <c r="V453" i="4"/>
  <c r="U453" i="4"/>
  <c r="T453" i="4"/>
  <c r="S453" i="4"/>
  <c r="R453" i="4"/>
  <c r="Q453" i="4"/>
  <c r="F453" i="4"/>
  <c r="AH452" i="4"/>
  <c r="AC452" i="4"/>
  <c r="L33" i="6" s="1"/>
  <c r="AB452" i="4"/>
  <c r="AG452" i="4" s="1"/>
  <c r="AA452" i="4"/>
  <c r="AF452" i="4" s="1"/>
  <c r="Z452" i="4"/>
  <c r="Y452" i="4"/>
  <c r="X452" i="4"/>
  <c r="W452" i="4"/>
  <c r="V452" i="4"/>
  <c r="U452" i="4"/>
  <c r="T452" i="4"/>
  <c r="S452" i="4"/>
  <c r="R452" i="4"/>
  <c r="Q452" i="4"/>
  <c r="F452" i="4"/>
  <c r="AH451" i="4"/>
  <c r="AF451" i="4"/>
  <c r="AC451" i="4"/>
  <c r="L32" i="6" s="1"/>
  <c r="AA451" i="4"/>
  <c r="AB451" i="4" s="1"/>
  <c r="AG451" i="4" s="1"/>
  <c r="Z451" i="4"/>
  <c r="Y451" i="4"/>
  <c r="X451" i="4"/>
  <c r="W451" i="4"/>
  <c r="V451" i="4"/>
  <c r="U451" i="4"/>
  <c r="T451" i="4"/>
  <c r="S451" i="4"/>
  <c r="R451" i="4"/>
  <c r="Q451" i="4"/>
  <c r="F451" i="4"/>
  <c r="AH450" i="4"/>
  <c r="AF450" i="4"/>
  <c r="AC450" i="4"/>
  <c r="L31" i="6" s="1"/>
  <c r="AB450" i="4"/>
  <c r="AG450" i="4" s="1"/>
  <c r="AA450" i="4"/>
  <c r="Z450" i="4"/>
  <c r="Y450" i="4"/>
  <c r="X450" i="4"/>
  <c r="W450" i="4"/>
  <c r="V450" i="4"/>
  <c r="U450" i="4"/>
  <c r="T450" i="4"/>
  <c r="S450" i="4"/>
  <c r="R450" i="4"/>
  <c r="Q450" i="4"/>
  <c r="F450" i="4"/>
  <c r="AH449" i="4"/>
  <c r="AC449" i="4"/>
  <c r="AA449" i="4"/>
  <c r="AB449" i="4" s="1"/>
  <c r="AG449" i="4" s="1"/>
  <c r="Z449" i="4"/>
  <c r="Y449" i="4"/>
  <c r="X449" i="4"/>
  <c r="W449" i="4"/>
  <c r="V449" i="4"/>
  <c r="U449" i="4"/>
  <c r="T449" i="4"/>
  <c r="S449" i="4"/>
  <c r="R449" i="4"/>
  <c r="Q449" i="4"/>
  <c r="F449" i="4"/>
  <c r="AH448" i="4"/>
  <c r="AC448" i="4"/>
  <c r="L29" i="6" s="1"/>
  <c r="AA448" i="4"/>
  <c r="Z448" i="4"/>
  <c r="Y448" i="4"/>
  <c r="X448" i="4"/>
  <c r="W448" i="4"/>
  <c r="V448" i="4"/>
  <c r="U448" i="4"/>
  <c r="T448" i="4"/>
  <c r="S448" i="4"/>
  <c r="R448" i="4"/>
  <c r="Q448" i="4"/>
  <c r="F448" i="4"/>
  <c r="AH447" i="4"/>
  <c r="AF447" i="4"/>
  <c r="AC447" i="4"/>
  <c r="L28" i="6" s="1"/>
  <c r="AB447" i="4"/>
  <c r="AG447" i="4" s="1"/>
  <c r="AA447" i="4"/>
  <c r="Z447" i="4"/>
  <c r="Y447" i="4"/>
  <c r="X447" i="4"/>
  <c r="W447" i="4"/>
  <c r="V447" i="4"/>
  <c r="U447" i="4"/>
  <c r="T447" i="4"/>
  <c r="S447" i="4"/>
  <c r="R447" i="4"/>
  <c r="Q447" i="4"/>
  <c r="F447" i="4"/>
  <c r="AH446" i="4"/>
  <c r="AF446" i="4"/>
  <c r="AC446" i="4"/>
  <c r="L27" i="6" s="1"/>
  <c r="AB446" i="4"/>
  <c r="AG446" i="4" s="1"/>
  <c r="AA446" i="4"/>
  <c r="Z446" i="4"/>
  <c r="Y446" i="4"/>
  <c r="X446" i="4"/>
  <c r="W446" i="4"/>
  <c r="V446" i="4"/>
  <c r="U446" i="4"/>
  <c r="T446" i="4"/>
  <c r="S446" i="4"/>
  <c r="R446" i="4"/>
  <c r="Q446" i="4"/>
  <c r="F446" i="4"/>
  <c r="AH445" i="4"/>
  <c r="AC445" i="4"/>
  <c r="L26" i="6" s="1"/>
  <c r="AA445" i="4"/>
  <c r="AF445" i="4" s="1"/>
  <c r="Z445" i="4"/>
  <c r="Y445" i="4"/>
  <c r="X445" i="4"/>
  <c r="W445" i="4"/>
  <c r="V445" i="4"/>
  <c r="U445" i="4"/>
  <c r="T445" i="4"/>
  <c r="S445" i="4"/>
  <c r="R445" i="4"/>
  <c r="Q445" i="4"/>
  <c r="F445" i="4"/>
  <c r="AH444" i="4"/>
  <c r="AC444" i="4"/>
  <c r="L25" i="6" s="1"/>
  <c r="AA444" i="4"/>
  <c r="AF444" i="4" s="1"/>
  <c r="Z444" i="4"/>
  <c r="Y444" i="4"/>
  <c r="X444" i="4"/>
  <c r="W444" i="4"/>
  <c r="V444" i="4"/>
  <c r="U444" i="4"/>
  <c r="T444" i="4"/>
  <c r="S444" i="4"/>
  <c r="R444" i="4"/>
  <c r="Q444" i="4"/>
  <c r="F444" i="4"/>
  <c r="AH443" i="4"/>
  <c r="AC443" i="4"/>
  <c r="L24" i="6" s="1"/>
  <c r="AB443" i="4"/>
  <c r="AG443" i="4" s="1"/>
  <c r="AA443" i="4"/>
  <c r="AF443" i="4" s="1"/>
  <c r="Z443" i="4"/>
  <c r="Y443" i="4"/>
  <c r="X443" i="4"/>
  <c r="W443" i="4"/>
  <c r="V443" i="4"/>
  <c r="U443" i="4"/>
  <c r="T443" i="4"/>
  <c r="S443" i="4"/>
  <c r="R443" i="4"/>
  <c r="Q443" i="4"/>
  <c r="F443" i="4"/>
  <c r="AH442" i="4"/>
  <c r="AC442" i="4"/>
  <c r="L23" i="6" s="1"/>
  <c r="AB442" i="4"/>
  <c r="AG442" i="4" s="1"/>
  <c r="AA442" i="4"/>
  <c r="AF442" i="4" s="1"/>
  <c r="Z442" i="4"/>
  <c r="Y442" i="4"/>
  <c r="X442" i="4"/>
  <c r="W442" i="4"/>
  <c r="V442" i="4"/>
  <c r="U442" i="4"/>
  <c r="T442" i="4"/>
  <c r="S442" i="4"/>
  <c r="R442" i="4"/>
  <c r="Q442" i="4"/>
  <c r="F442" i="4"/>
  <c r="AH441" i="4"/>
  <c r="AF441" i="4"/>
  <c r="AC441" i="4"/>
  <c r="L22" i="6" s="1"/>
  <c r="AA441" i="4"/>
  <c r="AB441" i="4" s="1"/>
  <c r="AG441" i="4" s="1"/>
  <c r="Z441" i="4"/>
  <c r="Y441" i="4"/>
  <c r="X441" i="4"/>
  <c r="W441" i="4"/>
  <c r="V441" i="4"/>
  <c r="U441" i="4"/>
  <c r="T441" i="4"/>
  <c r="S441" i="4"/>
  <c r="R441" i="4"/>
  <c r="Q441" i="4"/>
  <c r="F441" i="4"/>
  <c r="AH440" i="4"/>
  <c r="AF440" i="4"/>
  <c r="AC440" i="4"/>
  <c r="L21" i="6" s="1"/>
  <c r="AB440" i="4"/>
  <c r="AG440" i="4" s="1"/>
  <c r="AA440" i="4"/>
  <c r="Z440" i="4"/>
  <c r="Y440" i="4"/>
  <c r="X440" i="4"/>
  <c r="W440" i="4"/>
  <c r="V440" i="4"/>
  <c r="U440" i="4"/>
  <c r="T440" i="4"/>
  <c r="S440" i="4"/>
  <c r="R440" i="4"/>
  <c r="Q440" i="4"/>
  <c r="F440" i="4"/>
  <c r="AH439" i="4"/>
  <c r="AC439" i="4"/>
  <c r="L20" i="6" s="1"/>
  <c r="AA439" i="4"/>
  <c r="AF439" i="4" s="1"/>
  <c r="Z439" i="4"/>
  <c r="Y439" i="4"/>
  <c r="X439" i="4"/>
  <c r="W439" i="4"/>
  <c r="V439" i="4"/>
  <c r="U439" i="4"/>
  <c r="T439" i="4"/>
  <c r="S439" i="4"/>
  <c r="R439" i="4"/>
  <c r="Q439" i="4"/>
  <c r="F439" i="4"/>
  <c r="AH438" i="4"/>
  <c r="AC438" i="4"/>
  <c r="L19" i="6" s="1"/>
  <c r="AB438" i="4"/>
  <c r="AG438" i="4" s="1"/>
  <c r="AA438" i="4"/>
  <c r="AF438" i="4" s="1"/>
  <c r="Z438" i="4"/>
  <c r="Y438" i="4"/>
  <c r="X438" i="4"/>
  <c r="W438" i="4"/>
  <c r="V438" i="4"/>
  <c r="U438" i="4"/>
  <c r="T438" i="4"/>
  <c r="S438" i="4"/>
  <c r="R438" i="4"/>
  <c r="Q438" i="4"/>
  <c r="F438" i="4"/>
  <c r="AH437" i="4"/>
  <c r="AC437" i="4"/>
  <c r="L18" i="6" s="1"/>
  <c r="AA437" i="4"/>
  <c r="AF437" i="4" s="1"/>
  <c r="Z437" i="4"/>
  <c r="Y437" i="4"/>
  <c r="X437" i="4"/>
  <c r="W437" i="4"/>
  <c r="V437" i="4"/>
  <c r="U437" i="4"/>
  <c r="T437" i="4"/>
  <c r="S437" i="4"/>
  <c r="R437" i="4"/>
  <c r="Q437" i="4"/>
  <c r="F437" i="4"/>
  <c r="AH436" i="4"/>
  <c r="AF436" i="4"/>
  <c r="AC436" i="4"/>
  <c r="L17" i="6" s="1"/>
  <c r="AA436" i="4"/>
  <c r="AB436" i="4" s="1"/>
  <c r="AG436" i="4" s="1"/>
  <c r="Z436" i="4"/>
  <c r="Y436" i="4"/>
  <c r="X436" i="4"/>
  <c r="W436" i="4"/>
  <c r="V436" i="4"/>
  <c r="U436" i="4"/>
  <c r="T436" i="4"/>
  <c r="S436" i="4"/>
  <c r="R436" i="4"/>
  <c r="Q436" i="4"/>
  <c r="F436" i="4"/>
  <c r="AH435" i="4"/>
  <c r="AF435" i="4"/>
  <c r="AC435" i="4"/>
  <c r="AA435" i="4"/>
  <c r="AB435" i="4" s="1"/>
  <c r="AG435" i="4" s="1"/>
  <c r="Z435" i="4"/>
  <c r="Y435" i="4"/>
  <c r="X435" i="4"/>
  <c r="W435" i="4"/>
  <c r="V435" i="4"/>
  <c r="U435" i="4"/>
  <c r="T435" i="4"/>
  <c r="S435" i="4"/>
  <c r="R435" i="4"/>
  <c r="Q435" i="4"/>
  <c r="F435" i="4"/>
  <c r="AH434" i="4"/>
  <c r="AC434" i="4"/>
  <c r="L15" i="6" s="1"/>
  <c r="AA434" i="4"/>
  <c r="AF434" i="4" s="1"/>
  <c r="Z434" i="4"/>
  <c r="Y434" i="4"/>
  <c r="X434" i="4"/>
  <c r="W434" i="4"/>
  <c r="V434" i="4"/>
  <c r="U434" i="4"/>
  <c r="T434" i="4"/>
  <c r="S434" i="4"/>
  <c r="R434" i="4"/>
  <c r="Q434" i="4"/>
  <c r="F434" i="4"/>
  <c r="AH433" i="4"/>
  <c r="AC433" i="4"/>
  <c r="L14" i="6" s="1"/>
  <c r="AA433" i="4"/>
  <c r="Z433" i="4"/>
  <c r="Y433" i="4"/>
  <c r="X433" i="4"/>
  <c r="W433" i="4"/>
  <c r="V433" i="4"/>
  <c r="U433" i="4"/>
  <c r="T433" i="4"/>
  <c r="S433" i="4"/>
  <c r="R433" i="4"/>
  <c r="Q433" i="4"/>
  <c r="F433" i="4"/>
  <c r="AH432" i="4"/>
  <c r="AF432" i="4"/>
  <c r="AC432" i="4"/>
  <c r="L13" i="6" s="1"/>
  <c r="AB432" i="4"/>
  <c r="AG432" i="4" s="1"/>
  <c r="AA432" i="4"/>
  <c r="Z432" i="4"/>
  <c r="Y432" i="4"/>
  <c r="X432" i="4"/>
  <c r="W432" i="4"/>
  <c r="V432" i="4"/>
  <c r="U432" i="4"/>
  <c r="T432" i="4"/>
  <c r="S432" i="4"/>
  <c r="R432" i="4"/>
  <c r="Q432" i="4"/>
  <c r="F432" i="4"/>
  <c r="AH431" i="4"/>
  <c r="AF431" i="4"/>
  <c r="AC431" i="4"/>
  <c r="AB431" i="4"/>
  <c r="AG431" i="4" s="1"/>
  <c r="AA431" i="4"/>
  <c r="Z431" i="4"/>
  <c r="Y431" i="4"/>
  <c r="X431" i="4"/>
  <c r="W431" i="4"/>
  <c r="V431" i="4"/>
  <c r="U431" i="4"/>
  <c r="T431" i="4"/>
  <c r="S431" i="4"/>
  <c r="R431" i="4"/>
  <c r="Q431" i="4"/>
  <c r="F431" i="4"/>
  <c r="AH430" i="4"/>
  <c r="AC430" i="4"/>
  <c r="AA430" i="4"/>
  <c r="AF430" i="4" s="1"/>
  <c r="Z430" i="4"/>
  <c r="Y430" i="4"/>
  <c r="X430" i="4"/>
  <c r="W430" i="4"/>
  <c r="V430" i="4"/>
  <c r="U430" i="4"/>
  <c r="T430" i="4"/>
  <c r="S430" i="4"/>
  <c r="R430" i="4"/>
  <c r="Q430" i="4"/>
  <c r="F430" i="4"/>
  <c r="AH429" i="4"/>
  <c r="AC429" i="4"/>
  <c r="AA429" i="4"/>
  <c r="AF429" i="4" s="1"/>
  <c r="Z429" i="4"/>
  <c r="Y429" i="4"/>
  <c r="X429" i="4"/>
  <c r="W429" i="4"/>
  <c r="V429" i="4"/>
  <c r="U429" i="4"/>
  <c r="T429" i="4"/>
  <c r="S429" i="4"/>
  <c r="R429" i="4"/>
  <c r="Q429" i="4"/>
  <c r="F429" i="4"/>
  <c r="AH428" i="4"/>
  <c r="AC428" i="4"/>
  <c r="L9" i="6" s="1"/>
  <c r="AB428" i="4"/>
  <c r="AG428" i="4" s="1"/>
  <c r="AA428" i="4"/>
  <c r="AF428" i="4" s="1"/>
  <c r="Z428" i="4"/>
  <c r="Y428" i="4"/>
  <c r="X428" i="4"/>
  <c r="W428" i="4"/>
  <c r="V428" i="4"/>
  <c r="U428" i="4"/>
  <c r="T428" i="4"/>
  <c r="S428" i="4"/>
  <c r="R428" i="4"/>
  <c r="Q428" i="4"/>
  <c r="F428" i="4"/>
  <c r="AH427" i="4"/>
  <c r="AF427" i="4"/>
  <c r="AC427" i="4"/>
  <c r="L8" i="6" s="1"/>
  <c r="AA427" i="4"/>
  <c r="AB427" i="4" s="1"/>
  <c r="AG427" i="4" s="1"/>
  <c r="Z427" i="4"/>
  <c r="Y427" i="4"/>
  <c r="X427" i="4"/>
  <c r="W427" i="4"/>
  <c r="V427" i="4"/>
  <c r="U427" i="4"/>
  <c r="T427" i="4"/>
  <c r="S427" i="4"/>
  <c r="R427" i="4"/>
  <c r="Q427" i="4"/>
  <c r="F427" i="4"/>
  <c r="AH426" i="4"/>
  <c r="AF426" i="4"/>
  <c r="AC426" i="4"/>
  <c r="L7" i="6" s="1"/>
  <c r="AB426" i="4"/>
  <c r="AG426" i="4" s="1"/>
  <c r="AA426" i="4"/>
  <c r="Z426" i="4"/>
  <c r="Y426" i="4"/>
  <c r="X426" i="4"/>
  <c r="W426" i="4"/>
  <c r="V426" i="4"/>
  <c r="U426" i="4"/>
  <c r="T426" i="4"/>
  <c r="S426" i="4"/>
  <c r="R426" i="4"/>
  <c r="Q426" i="4"/>
  <c r="F426" i="4"/>
  <c r="AH425" i="4"/>
  <c r="AC425" i="4"/>
  <c r="L6" i="6" s="1"/>
  <c r="AA425" i="4"/>
  <c r="AF425" i="4" s="1"/>
  <c r="Z425" i="4"/>
  <c r="Y425" i="4"/>
  <c r="X425" i="4"/>
  <c r="W425" i="4"/>
  <c r="V425" i="4"/>
  <c r="U425" i="4"/>
  <c r="T425" i="4"/>
  <c r="S425" i="4"/>
  <c r="R425" i="4"/>
  <c r="Q425" i="4"/>
  <c r="F425" i="4"/>
  <c r="AH424" i="4"/>
  <c r="AC424" i="4"/>
  <c r="L5" i="6" s="1"/>
  <c r="AA424" i="4"/>
  <c r="AF424" i="4" s="1"/>
  <c r="Z424" i="4"/>
  <c r="Y424" i="4"/>
  <c r="X424" i="4"/>
  <c r="W424" i="4"/>
  <c r="V424" i="4"/>
  <c r="U424" i="4"/>
  <c r="T424" i="4"/>
  <c r="S424" i="4"/>
  <c r="R424" i="4"/>
  <c r="Q424" i="4"/>
  <c r="F424" i="4"/>
  <c r="AH423" i="4"/>
  <c r="AC423" i="4"/>
  <c r="AB423" i="4"/>
  <c r="AG423" i="4" s="1"/>
  <c r="AA423" i="4"/>
  <c r="AF423" i="4" s="1"/>
  <c r="Z423" i="4"/>
  <c r="Y423" i="4"/>
  <c r="X423" i="4"/>
  <c r="W423" i="4"/>
  <c r="V423" i="4"/>
  <c r="U423" i="4"/>
  <c r="T423" i="4"/>
  <c r="S423" i="4"/>
  <c r="R423" i="4"/>
  <c r="Q423" i="4"/>
  <c r="F423" i="4"/>
  <c r="AH422" i="4"/>
  <c r="AC422" i="4"/>
  <c r="K45" i="6" s="1"/>
  <c r="AB422" i="4"/>
  <c r="AG422" i="4" s="1"/>
  <c r="AA422" i="4"/>
  <c r="AF422" i="4" s="1"/>
  <c r="Z422" i="4"/>
  <c r="Y422" i="4"/>
  <c r="X422" i="4"/>
  <c r="W422" i="4"/>
  <c r="V422" i="4"/>
  <c r="U422" i="4"/>
  <c r="T422" i="4"/>
  <c r="S422" i="4"/>
  <c r="R422" i="4"/>
  <c r="Q422" i="4"/>
  <c r="F422" i="4"/>
  <c r="AH421" i="4"/>
  <c r="AF421" i="4"/>
  <c r="AC421" i="4"/>
  <c r="K44" i="6" s="1"/>
  <c r="AA421" i="4"/>
  <c r="AB421" i="4" s="1"/>
  <c r="AG421" i="4" s="1"/>
  <c r="Z421" i="4"/>
  <c r="Y421" i="4"/>
  <c r="X421" i="4"/>
  <c r="W421" i="4"/>
  <c r="V421" i="4"/>
  <c r="U421" i="4"/>
  <c r="T421" i="4"/>
  <c r="S421" i="4"/>
  <c r="R421" i="4"/>
  <c r="Q421" i="4"/>
  <c r="F421" i="4"/>
  <c r="AH420" i="4"/>
  <c r="AF420" i="4"/>
  <c r="AC420" i="4"/>
  <c r="K43" i="6" s="1"/>
  <c r="AB420" i="4"/>
  <c r="AG420" i="4" s="1"/>
  <c r="AA420" i="4"/>
  <c r="Z420" i="4"/>
  <c r="Y420" i="4"/>
  <c r="X420" i="4"/>
  <c r="W420" i="4"/>
  <c r="V420" i="4"/>
  <c r="U420" i="4"/>
  <c r="T420" i="4"/>
  <c r="S420" i="4"/>
  <c r="R420" i="4"/>
  <c r="Q420" i="4"/>
  <c r="F420" i="4"/>
  <c r="AH419" i="4"/>
  <c r="AC419" i="4"/>
  <c r="K42" i="6" s="1"/>
  <c r="AA419" i="4"/>
  <c r="AF419" i="4" s="1"/>
  <c r="Z419" i="4"/>
  <c r="Y419" i="4"/>
  <c r="X419" i="4"/>
  <c r="W419" i="4"/>
  <c r="V419" i="4"/>
  <c r="U419" i="4"/>
  <c r="T419" i="4"/>
  <c r="S419" i="4"/>
  <c r="R419" i="4"/>
  <c r="Q419" i="4"/>
  <c r="F419" i="4"/>
  <c r="AH418" i="4"/>
  <c r="AC418" i="4"/>
  <c r="K41" i="6" s="1"/>
  <c r="AA418" i="4"/>
  <c r="Z418" i="4"/>
  <c r="Y418" i="4"/>
  <c r="X418" i="4"/>
  <c r="W418" i="4"/>
  <c r="V418" i="4"/>
  <c r="U418" i="4"/>
  <c r="T418" i="4"/>
  <c r="S418" i="4"/>
  <c r="R418" i="4"/>
  <c r="Q418" i="4"/>
  <c r="F418" i="4"/>
  <c r="AH417" i="4"/>
  <c r="AF417" i="4"/>
  <c r="AC417" i="4"/>
  <c r="K40" i="6" s="1"/>
  <c r="AB417" i="4"/>
  <c r="AG417" i="4" s="1"/>
  <c r="AA417" i="4"/>
  <c r="Z417" i="4"/>
  <c r="Y417" i="4"/>
  <c r="X417" i="4"/>
  <c r="W417" i="4"/>
  <c r="V417" i="4"/>
  <c r="U417" i="4"/>
  <c r="T417" i="4"/>
  <c r="S417" i="4"/>
  <c r="R417" i="4"/>
  <c r="Q417" i="4"/>
  <c r="F417" i="4"/>
  <c r="AH416" i="4"/>
  <c r="AF416" i="4"/>
  <c r="AC416" i="4"/>
  <c r="K39" i="6" s="1"/>
  <c r="AB416" i="4"/>
  <c r="AG416" i="4" s="1"/>
  <c r="AA416" i="4"/>
  <c r="Z416" i="4"/>
  <c r="Y416" i="4"/>
  <c r="X416" i="4"/>
  <c r="W416" i="4"/>
  <c r="V416" i="4"/>
  <c r="U416" i="4"/>
  <c r="T416" i="4"/>
  <c r="S416" i="4"/>
  <c r="R416" i="4"/>
  <c r="Q416" i="4"/>
  <c r="F416" i="4"/>
  <c r="AH415" i="4"/>
  <c r="AC415" i="4"/>
  <c r="K38" i="6" s="1"/>
  <c r="AA415" i="4"/>
  <c r="AF415" i="4" s="1"/>
  <c r="Z415" i="4"/>
  <c r="Y415" i="4"/>
  <c r="X415" i="4"/>
  <c r="W415" i="4"/>
  <c r="V415" i="4"/>
  <c r="U415" i="4"/>
  <c r="T415" i="4"/>
  <c r="S415" i="4"/>
  <c r="R415" i="4"/>
  <c r="Q415" i="4"/>
  <c r="F415" i="4"/>
  <c r="AH414" i="4"/>
  <c r="AC414" i="4"/>
  <c r="K37" i="6" s="1"/>
  <c r="AA414" i="4"/>
  <c r="AF414" i="4" s="1"/>
  <c r="Z414" i="4"/>
  <c r="Y414" i="4"/>
  <c r="X414" i="4"/>
  <c r="W414" i="4"/>
  <c r="V414" i="4"/>
  <c r="U414" i="4"/>
  <c r="T414" i="4"/>
  <c r="S414" i="4"/>
  <c r="R414" i="4"/>
  <c r="Q414" i="4"/>
  <c r="F414" i="4"/>
  <c r="AH413" i="4"/>
  <c r="AC413" i="4"/>
  <c r="K36" i="6" s="1"/>
  <c r="AB413" i="4"/>
  <c r="AG413" i="4" s="1"/>
  <c r="AA413" i="4"/>
  <c r="AF413" i="4" s="1"/>
  <c r="Z413" i="4"/>
  <c r="Y413" i="4"/>
  <c r="X413" i="4"/>
  <c r="W413" i="4"/>
  <c r="V413" i="4"/>
  <c r="U413" i="4"/>
  <c r="T413" i="4"/>
  <c r="S413" i="4"/>
  <c r="R413" i="4"/>
  <c r="Q413" i="4"/>
  <c r="F413" i="4"/>
  <c r="AH412" i="4"/>
  <c r="AF412" i="4"/>
  <c r="AC412" i="4"/>
  <c r="K35" i="6" s="1"/>
  <c r="AB412" i="4"/>
  <c r="AG412" i="4" s="1"/>
  <c r="AA412" i="4"/>
  <c r="Z412" i="4"/>
  <c r="Y412" i="4"/>
  <c r="X412" i="4"/>
  <c r="W412" i="4"/>
  <c r="V412" i="4"/>
  <c r="U412" i="4"/>
  <c r="T412" i="4"/>
  <c r="S412" i="4"/>
  <c r="R412" i="4"/>
  <c r="Q412" i="4"/>
  <c r="F412" i="4"/>
  <c r="AH411" i="4"/>
  <c r="AC411" i="4"/>
  <c r="K34" i="6" s="1"/>
  <c r="AB411" i="4"/>
  <c r="AG411" i="4" s="1"/>
  <c r="AA411" i="4"/>
  <c r="AF411" i="4" s="1"/>
  <c r="Z411" i="4"/>
  <c r="Y411" i="4"/>
  <c r="X411" i="4"/>
  <c r="W411" i="4"/>
  <c r="V411" i="4"/>
  <c r="U411" i="4"/>
  <c r="T411" i="4"/>
  <c r="S411" i="4"/>
  <c r="R411" i="4"/>
  <c r="Q411" i="4"/>
  <c r="F411" i="4"/>
  <c r="AH410" i="4"/>
  <c r="AC410" i="4"/>
  <c r="K33" i="6" s="1"/>
  <c r="AA410" i="4"/>
  <c r="AF410" i="4" s="1"/>
  <c r="Z410" i="4"/>
  <c r="Y410" i="4"/>
  <c r="X410" i="4"/>
  <c r="W410" i="4"/>
  <c r="V410" i="4"/>
  <c r="U410" i="4"/>
  <c r="T410" i="4"/>
  <c r="S410" i="4"/>
  <c r="R410" i="4"/>
  <c r="Q410" i="4"/>
  <c r="F410" i="4"/>
  <c r="AH409" i="4"/>
  <c r="AC409" i="4"/>
  <c r="K32" i="6" s="1"/>
  <c r="AA409" i="4"/>
  <c r="AF409" i="4" s="1"/>
  <c r="Z409" i="4"/>
  <c r="Y409" i="4"/>
  <c r="X409" i="4"/>
  <c r="W409" i="4"/>
  <c r="V409" i="4"/>
  <c r="U409" i="4"/>
  <c r="T409" i="4"/>
  <c r="S409" i="4"/>
  <c r="R409" i="4"/>
  <c r="Q409" i="4"/>
  <c r="F409" i="4"/>
  <c r="AH408" i="4"/>
  <c r="AC408" i="4"/>
  <c r="K31" i="6" s="1"/>
  <c r="AA408" i="4"/>
  <c r="AF408" i="4" s="1"/>
  <c r="Z408" i="4"/>
  <c r="Y408" i="4"/>
  <c r="X408" i="4"/>
  <c r="W408" i="4"/>
  <c r="V408" i="4"/>
  <c r="U408" i="4"/>
  <c r="T408" i="4"/>
  <c r="S408" i="4"/>
  <c r="R408" i="4"/>
  <c r="Q408" i="4"/>
  <c r="F408" i="4"/>
  <c r="AH407" i="4"/>
  <c r="AF407" i="4"/>
  <c r="AC407" i="4"/>
  <c r="K30" i="6" s="1"/>
  <c r="AA407" i="4"/>
  <c r="AB407" i="4" s="1"/>
  <c r="AG407" i="4" s="1"/>
  <c r="Z407" i="4"/>
  <c r="Y407" i="4"/>
  <c r="X407" i="4"/>
  <c r="W407" i="4"/>
  <c r="V407" i="4"/>
  <c r="U407" i="4"/>
  <c r="T407" i="4"/>
  <c r="S407" i="4"/>
  <c r="R407" i="4"/>
  <c r="Q407" i="4"/>
  <c r="F407" i="4"/>
  <c r="AH406" i="4"/>
  <c r="AC406" i="4"/>
  <c r="K29" i="6" s="1"/>
  <c r="AA406" i="4"/>
  <c r="AF406" i="4" s="1"/>
  <c r="Z406" i="4"/>
  <c r="Y406" i="4"/>
  <c r="X406" i="4"/>
  <c r="W406" i="4"/>
  <c r="V406" i="4"/>
  <c r="U406" i="4"/>
  <c r="T406" i="4"/>
  <c r="S406" i="4"/>
  <c r="R406" i="4"/>
  <c r="Q406" i="4"/>
  <c r="F406" i="4"/>
  <c r="AH405" i="4"/>
  <c r="AF405" i="4"/>
  <c r="AC405" i="4"/>
  <c r="K28" i="6" s="1"/>
  <c r="AB405" i="4"/>
  <c r="AG405" i="4" s="1"/>
  <c r="AA405" i="4"/>
  <c r="Z405" i="4"/>
  <c r="Y405" i="4"/>
  <c r="X405" i="4"/>
  <c r="W405" i="4"/>
  <c r="V405" i="4"/>
  <c r="U405" i="4"/>
  <c r="T405" i="4"/>
  <c r="S405" i="4"/>
  <c r="R405" i="4"/>
  <c r="Q405" i="4"/>
  <c r="F405" i="4"/>
  <c r="AH404" i="4"/>
  <c r="AC404" i="4"/>
  <c r="K27" i="6" s="1"/>
  <c r="AB404" i="4"/>
  <c r="AG404" i="4" s="1"/>
  <c r="AA404" i="4"/>
  <c r="AF404" i="4" s="1"/>
  <c r="Z404" i="4"/>
  <c r="Y404" i="4"/>
  <c r="X404" i="4"/>
  <c r="W404" i="4"/>
  <c r="V404" i="4"/>
  <c r="U404" i="4"/>
  <c r="T404" i="4"/>
  <c r="S404" i="4"/>
  <c r="R404" i="4"/>
  <c r="Q404" i="4"/>
  <c r="F404" i="4"/>
  <c r="AH403" i="4"/>
  <c r="AC403" i="4"/>
  <c r="K26" i="6" s="1"/>
  <c r="AB403" i="4"/>
  <c r="AG403" i="4" s="1"/>
  <c r="AA403" i="4"/>
  <c r="AF403" i="4" s="1"/>
  <c r="Z403" i="4"/>
  <c r="Y403" i="4"/>
  <c r="X403" i="4"/>
  <c r="W403" i="4"/>
  <c r="V403" i="4"/>
  <c r="U403" i="4"/>
  <c r="T403" i="4"/>
  <c r="S403" i="4"/>
  <c r="R403" i="4"/>
  <c r="Q403" i="4"/>
  <c r="F403" i="4"/>
  <c r="AH402" i="4"/>
  <c r="AF402" i="4"/>
  <c r="AC402" i="4"/>
  <c r="K25" i="6" s="1"/>
  <c r="AB402" i="4"/>
  <c r="AG402" i="4" s="1"/>
  <c r="AA402" i="4"/>
  <c r="Z402" i="4"/>
  <c r="Y402" i="4"/>
  <c r="X402" i="4"/>
  <c r="W402" i="4"/>
  <c r="V402" i="4"/>
  <c r="U402" i="4"/>
  <c r="T402" i="4"/>
  <c r="S402" i="4"/>
  <c r="R402" i="4"/>
  <c r="Q402" i="4"/>
  <c r="F402" i="4"/>
  <c r="AH401" i="4"/>
  <c r="AF401" i="4"/>
  <c r="AC401" i="4"/>
  <c r="K24" i="6" s="1"/>
  <c r="AB401" i="4"/>
  <c r="AG401" i="4" s="1"/>
  <c r="AA401" i="4"/>
  <c r="Z401" i="4"/>
  <c r="Y401" i="4"/>
  <c r="X401" i="4"/>
  <c r="W401" i="4"/>
  <c r="V401" i="4"/>
  <c r="U401" i="4"/>
  <c r="T401" i="4"/>
  <c r="S401" i="4"/>
  <c r="R401" i="4"/>
  <c r="Q401" i="4"/>
  <c r="F401" i="4"/>
  <c r="AH400" i="4"/>
  <c r="AC400" i="4"/>
  <c r="AA400" i="4"/>
  <c r="AF400" i="4" s="1"/>
  <c r="Z400" i="4"/>
  <c r="Y400" i="4"/>
  <c r="X400" i="4"/>
  <c r="W400" i="4"/>
  <c r="V400" i="4"/>
  <c r="U400" i="4"/>
  <c r="T400" i="4"/>
  <c r="S400" i="4"/>
  <c r="R400" i="4"/>
  <c r="Q400" i="4"/>
  <c r="F400" i="4"/>
  <c r="AH399" i="4"/>
  <c r="AC399" i="4"/>
  <c r="AA399" i="4"/>
  <c r="AF399" i="4" s="1"/>
  <c r="Z399" i="4"/>
  <c r="Y399" i="4"/>
  <c r="X399" i="4"/>
  <c r="W399" i="4"/>
  <c r="V399" i="4"/>
  <c r="U399" i="4"/>
  <c r="T399" i="4"/>
  <c r="S399" i="4"/>
  <c r="R399" i="4"/>
  <c r="Q399" i="4"/>
  <c r="F399" i="4"/>
  <c r="AH398" i="4"/>
  <c r="AF398" i="4"/>
  <c r="AC398" i="4"/>
  <c r="K21" i="6" s="1"/>
  <c r="AB398" i="4"/>
  <c r="AG398" i="4" s="1"/>
  <c r="AA398" i="4"/>
  <c r="Z398" i="4"/>
  <c r="Y398" i="4"/>
  <c r="X398" i="4"/>
  <c r="W398" i="4"/>
  <c r="V398" i="4"/>
  <c r="U398" i="4"/>
  <c r="T398" i="4"/>
  <c r="S398" i="4"/>
  <c r="R398" i="4"/>
  <c r="Q398" i="4"/>
  <c r="F398" i="4"/>
  <c r="AH397" i="4"/>
  <c r="AC397" i="4"/>
  <c r="K20" i="6" s="1"/>
  <c r="AB397" i="4"/>
  <c r="AG397" i="4" s="1"/>
  <c r="AA397" i="4"/>
  <c r="AF397" i="4" s="1"/>
  <c r="Z397" i="4"/>
  <c r="Y397" i="4"/>
  <c r="X397" i="4"/>
  <c r="W397" i="4"/>
  <c r="V397" i="4"/>
  <c r="U397" i="4"/>
  <c r="T397" i="4"/>
  <c r="S397" i="4"/>
  <c r="R397" i="4"/>
  <c r="Q397" i="4"/>
  <c r="F397" i="4"/>
  <c r="AH396" i="4"/>
  <c r="AF396" i="4"/>
  <c r="AC396" i="4"/>
  <c r="K19" i="6" s="1"/>
  <c r="AB396" i="4"/>
  <c r="AG396" i="4" s="1"/>
  <c r="AA396" i="4"/>
  <c r="Z396" i="4"/>
  <c r="Y396" i="4"/>
  <c r="X396" i="4"/>
  <c r="W396" i="4"/>
  <c r="V396" i="4"/>
  <c r="U396" i="4"/>
  <c r="T396" i="4"/>
  <c r="S396" i="4"/>
  <c r="R396" i="4"/>
  <c r="Q396" i="4"/>
  <c r="F396" i="4"/>
  <c r="AH395" i="4"/>
  <c r="AC395" i="4"/>
  <c r="K18" i="6" s="1"/>
  <c r="AA395" i="4"/>
  <c r="AF395" i="4" s="1"/>
  <c r="Z395" i="4"/>
  <c r="Y395" i="4"/>
  <c r="X395" i="4"/>
  <c r="W395" i="4"/>
  <c r="V395" i="4"/>
  <c r="U395" i="4"/>
  <c r="T395" i="4"/>
  <c r="S395" i="4"/>
  <c r="R395" i="4"/>
  <c r="Q395" i="4"/>
  <c r="F395" i="4"/>
  <c r="AH394" i="4"/>
  <c r="AC394" i="4"/>
  <c r="AA394" i="4"/>
  <c r="AF394" i="4" s="1"/>
  <c r="Z394" i="4"/>
  <c r="Y394" i="4"/>
  <c r="X394" i="4"/>
  <c r="W394" i="4"/>
  <c r="V394" i="4"/>
  <c r="U394" i="4"/>
  <c r="T394" i="4"/>
  <c r="S394" i="4"/>
  <c r="R394" i="4"/>
  <c r="Q394" i="4"/>
  <c r="F394" i="4"/>
  <c r="AH393" i="4"/>
  <c r="AC393" i="4"/>
  <c r="K16" i="6" s="1"/>
  <c r="AA393" i="4"/>
  <c r="Z393" i="4"/>
  <c r="Y393" i="4"/>
  <c r="X393" i="4"/>
  <c r="W393" i="4"/>
  <c r="V393" i="4"/>
  <c r="U393" i="4"/>
  <c r="T393" i="4"/>
  <c r="S393" i="4"/>
  <c r="R393" i="4"/>
  <c r="Q393" i="4"/>
  <c r="F393" i="4"/>
  <c r="AH392" i="4"/>
  <c r="AF392" i="4"/>
  <c r="AC392" i="4"/>
  <c r="K15" i="6" s="1"/>
  <c r="AB392" i="4"/>
  <c r="AG392" i="4" s="1"/>
  <c r="AA392" i="4"/>
  <c r="Z392" i="4"/>
  <c r="Y392" i="4"/>
  <c r="X392" i="4"/>
  <c r="W392" i="4"/>
  <c r="V392" i="4"/>
  <c r="U392" i="4"/>
  <c r="T392" i="4"/>
  <c r="S392" i="4"/>
  <c r="R392" i="4"/>
  <c r="Q392" i="4"/>
  <c r="F392" i="4"/>
  <c r="AH391" i="4"/>
  <c r="AF391" i="4"/>
  <c r="AC391" i="4"/>
  <c r="K14" i="6" s="1"/>
  <c r="AB391" i="4"/>
  <c r="AG391" i="4" s="1"/>
  <c r="AA391" i="4"/>
  <c r="Z391" i="4"/>
  <c r="Y391" i="4"/>
  <c r="X391" i="4"/>
  <c r="W391" i="4"/>
  <c r="V391" i="4"/>
  <c r="U391" i="4"/>
  <c r="T391" i="4"/>
  <c r="S391" i="4"/>
  <c r="R391" i="4"/>
  <c r="Q391" i="4"/>
  <c r="F391" i="4"/>
  <c r="AH390" i="4"/>
  <c r="AF390" i="4"/>
  <c r="AC390" i="4"/>
  <c r="K13" i="6" s="1"/>
  <c r="AB390" i="4"/>
  <c r="AG390" i="4" s="1"/>
  <c r="AA390" i="4"/>
  <c r="Z390" i="4"/>
  <c r="Y390" i="4"/>
  <c r="X390" i="4"/>
  <c r="W390" i="4"/>
  <c r="V390" i="4"/>
  <c r="U390" i="4"/>
  <c r="T390" i="4"/>
  <c r="S390" i="4"/>
  <c r="R390" i="4"/>
  <c r="Q390" i="4"/>
  <c r="F390" i="4"/>
  <c r="AH389" i="4"/>
  <c r="AC389" i="4"/>
  <c r="K12" i="6" s="1"/>
  <c r="AB389" i="4"/>
  <c r="AG389" i="4" s="1"/>
  <c r="AA389" i="4"/>
  <c r="AF389" i="4" s="1"/>
  <c r="Z389" i="4"/>
  <c r="Y389" i="4"/>
  <c r="X389" i="4"/>
  <c r="W389" i="4"/>
  <c r="V389" i="4"/>
  <c r="U389" i="4"/>
  <c r="T389" i="4"/>
  <c r="S389" i="4"/>
  <c r="R389" i="4"/>
  <c r="Q389" i="4"/>
  <c r="F389" i="4"/>
  <c r="AH388" i="4"/>
  <c r="AC388" i="4"/>
  <c r="AA388" i="4"/>
  <c r="Z388" i="4"/>
  <c r="Y388" i="4"/>
  <c r="X388" i="4"/>
  <c r="W388" i="4"/>
  <c r="V388" i="4"/>
  <c r="U388" i="4"/>
  <c r="T388" i="4"/>
  <c r="S388" i="4"/>
  <c r="R388" i="4"/>
  <c r="Q388" i="4"/>
  <c r="F388" i="4"/>
  <c r="AH387" i="4"/>
  <c r="AF387" i="4"/>
  <c r="AC387" i="4"/>
  <c r="K10" i="6" s="1"/>
  <c r="AA387" i="4"/>
  <c r="AB387" i="4" s="1"/>
  <c r="AG387" i="4" s="1"/>
  <c r="Z387" i="4"/>
  <c r="Y387" i="4"/>
  <c r="X387" i="4"/>
  <c r="W387" i="4"/>
  <c r="V387" i="4"/>
  <c r="U387" i="4"/>
  <c r="T387" i="4"/>
  <c r="S387" i="4"/>
  <c r="R387" i="4"/>
  <c r="Q387" i="4"/>
  <c r="F387" i="4"/>
  <c r="AH386" i="4"/>
  <c r="AF386" i="4"/>
  <c r="AC386" i="4"/>
  <c r="K9" i="6" s="1"/>
  <c r="AB386" i="4"/>
  <c r="AG386" i="4" s="1"/>
  <c r="AA386" i="4"/>
  <c r="Z386" i="4"/>
  <c r="Y386" i="4"/>
  <c r="X386" i="4"/>
  <c r="W386" i="4"/>
  <c r="V386" i="4"/>
  <c r="U386" i="4"/>
  <c r="T386" i="4"/>
  <c r="S386" i="4"/>
  <c r="R386" i="4"/>
  <c r="Q386" i="4"/>
  <c r="F386" i="4"/>
  <c r="AH385" i="4"/>
  <c r="AC385" i="4"/>
  <c r="K8" i="6" s="1"/>
  <c r="AA385" i="4"/>
  <c r="AF385" i="4" s="1"/>
  <c r="Z385" i="4"/>
  <c r="Y385" i="4"/>
  <c r="X385" i="4"/>
  <c r="W385" i="4"/>
  <c r="V385" i="4"/>
  <c r="U385" i="4"/>
  <c r="T385" i="4"/>
  <c r="S385" i="4"/>
  <c r="R385" i="4"/>
  <c r="Q385" i="4"/>
  <c r="F385" i="4"/>
  <c r="AH384" i="4"/>
  <c r="AF384" i="4"/>
  <c r="AC384" i="4"/>
  <c r="K7" i="6" s="1"/>
  <c r="AB384" i="4"/>
  <c r="AG384" i="4" s="1"/>
  <c r="AA384" i="4"/>
  <c r="Z384" i="4"/>
  <c r="Y384" i="4"/>
  <c r="X384" i="4"/>
  <c r="W384" i="4"/>
  <c r="V384" i="4"/>
  <c r="U384" i="4"/>
  <c r="T384" i="4"/>
  <c r="S384" i="4"/>
  <c r="R384" i="4"/>
  <c r="Q384" i="4"/>
  <c r="F384" i="4"/>
  <c r="AH383" i="4"/>
  <c r="AC383" i="4"/>
  <c r="K6" i="6" s="1"/>
  <c r="AB383" i="4"/>
  <c r="AG383" i="4" s="1"/>
  <c r="AA383" i="4"/>
  <c r="AF383" i="4" s="1"/>
  <c r="Z383" i="4"/>
  <c r="Y383" i="4"/>
  <c r="X383" i="4"/>
  <c r="W383" i="4"/>
  <c r="V383" i="4"/>
  <c r="U383" i="4"/>
  <c r="T383" i="4"/>
  <c r="S383" i="4"/>
  <c r="R383" i="4"/>
  <c r="Q383" i="4"/>
  <c r="F383" i="4"/>
  <c r="AH382" i="4"/>
  <c r="AF382" i="4"/>
  <c r="AC382" i="4"/>
  <c r="K5" i="6" s="1"/>
  <c r="AB382" i="4"/>
  <c r="AG382" i="4" s="1"/>
  <c r="AA382" i="4"/>
  <c r="Z382" i="4"/>
  <c r="Y382" i="4"/>
  <c r="X382" i="4"/>
  <c r="W382" i="4"/>
  <c r="V382" i="4"/>
  <c r="U382" i="4"/>
  <c r="T382" i="4"/>
  <c r="S382" i="4"/>
  <c r="R382" i="4"/>
  <c r="Q382" i="4"/>
  <c r="F382" i="4"/>
  <c r="AH381" i="4"/>
  <c r="AF381" i="4"/>
  <c r="AC381" i="4"/>
  <c r="AB381" i="4"/>
  <c r="AG381" i="4" s="1"/>
  <c r="AA381" i="4"/>
  <c r="Z381" i="4"/>
  <c r="Y381" i="4"/>
  <c r="X381" i="4"/>
  <c r="W381" i="4"/>
  <c r="V381" i="4"/>
  <c r="U381" i="4"/>
  <c r="T381" i="4"/>
  <c r="S381" i="4"/>
  <c r="R381" i="4"/>
  <c r="Q381" i="4"/>
  <c r="F381" i="4"/>
  <c r="AH380" i="4"/>
  <c r="AC380" i="4"/>
  <c r="J45" i="6" s="1"/>
  <c r="AA380" i="4"/>
  <c r="AF380" i="4" s="1"/>
  <c r="Z380" i="4"/>
  <c r="Y380" i="4"/>
  <c r="X380" i="4"/>
  <c r="W380" i="4"/>
  <c r="V380" i="4"/>
  <c r="U380" i="4"/>
  <c r="T380" i="4"/>
  <c r="S380" i="4"/>
  <c r="R380" i="4"/>
  <c r="Q380" i="4"/>
  <c r="F380" i="4"/>
  <c r="AH379" i="4"/>
  <c r="AF379" i="4"/>
  <c r="AC379" i="4"/>
  <c r="J44" i="6" s="1"/>
  <c r="AA379" i="4"/>
  <c r="AB379" i="4" s="1"/>
  <c r="AG379" i="4" s="1"/>
  <c r="Z379" i="4"/>
  <c r="Y379" i="4"/>
  <c r="X379" i="4"/>
  <c r="W379" i="4"/>
  <c r="V379" i="4"/>
  <c r="U379" i="4"/>
  <c r="T379" i="4"/>
  <c r="S379" i="4"/>
  <c r="R379" i="4"/>
  <c r="Q379" i="4"/>
  <c r="F379" i="4"/>
  <c r="AH378" i="4"/>
  <c r="AC378" i="4"/>
  <c r="J43" i="6" s="1"/>
  <c r="AA378" i="4"/>
  <c r="Z378" i="4"/>
  <c r="Y378" i="4"/>
  <c r="X378" i="4"/>
  <c r="W378" i="4"/>
  <c r="V378" i="4"/>
  <c r="U378" i="4"/>
  <c r="T378" i="4"/>
  <c r="S378" i="4"/>
  <c r="R378" i="4"/>
  <c r="Q378" i="4"/>
  <c r="F378" i="4"/>
  <c r="AH377" i="4"/>
  <c r="AF377" i="4"/>
  <c r="AC377" i="4"/>
  <c r="J42" i="6" s="1"/>
  <c r="AA377" i="4"/>
  <c r="AB377" i="4" s="1"/>
  <c r="AG377" i="4" s="1"/>
  <c r="Z377" i="4"/>
  <c r="Y377" i="4"/>
  <c r="X377" i="4"/>
  <c r="W377" i="4"/>
  <c r="V377" i="4"/>
  <c r="U377" i="4"/>
  <c r="T377" i="4"/>
  <c r="S377" i="4"/>
  <c r="R377" i="4"/>
  <c r="Q377" i="4"/>
  <c r="F377" i="4"/>
  <c r="AH376" i="4"/>
  <c r="AF376" i="4"/>
  <c r="AC376" i="4"/>
  <c r="J41" i="6" s="1"/>
  <c r="AA376" i="4"/>
  <c r="AB376" i="4" s="1"/>
  <c r="AG376" i="4" s="1"/>
  <c r="Z376" i="4"/>
  <c r="Y376" i="4"/>
  <c r="X376" i="4"/>
  <c r="W376" i="4"/>
  <c r="V376" i="4"/>
  <c r="U376" i="4"/>
  <c r="T376" i="4"/>
  <c r="S376" i="4"/>
  <c r="R376" i="4"/>
  <c r="Q376" i="4"/>
  <c r="F376" i="4"/>
  <c r="AH375" i="4"/>
  <c r="AF375" i="4"/>
  <c r="AC375" i="4"/>
  <c r="J40" i="6" s="1"/>
  <c r="AB375" i="4"/>
  <c r="AG375" i="4" s="1"/>
  <c r="AA375" i="4"/>
  <c r="Z375" i="4"/>
  <c r="Y375" i="4"/>
  <c r="X375" i="4"/>
  <c r="W375" i="4"/>
  <c r="V375" i="4"/>
  <c r="U375" i="4"/>
  <c r="T375" i="4"/>
  <c r="S375" i="4"/>
  <c r="R375" i="4"/>
  <c r="Q375" i="4"/>
  <c r="F375" i="4"/>
  <c r="AH374" i="4"/>
  <c r="AC374" i="4"/>
  <c r="AB374" i="4"/>
  <c r="AG374" i="4" s="1"/>
  <c r="AA374" i="4"/>
  <c r="AF374" i="4" s="1"/>
  <c r="Z374" i="4"/>
  <c r="Y374" i="4"/>
  <c r="X374" i="4"/>
  <c r="W374" i="4"/>
  <c r="V374" i="4"/>
  <c r="U374" i="4"/>
  <c r="T374" i="4"/>
  <c r="S374" i="4"/>
  <c r="R374" i="4"/>
  <c r="Q374" i="4"/>
  <c r="F374" i="4"/>
  <c r="AH373" i="4"/>
  <c r="AC373" i="4"/>
  <c r="J38" i="6" s="1"/>
  <c r="AB373" i="4"/>
  <c r="AG373" i="4" s="1"/>
  <c r="AA373" i="4"/>
  <c r="AF373" i="4" s="1"/>
  <c r="Z373" i="4"/>
  <c r="Y373" i="4"/>
  <c r="X373" i="4"/>
  <c r="W373" i="4"/>
  <c r="V373" i="4"/>
  <c r="U373" i="4"/>
  <c r="T373" i="4"/>
  <c r="S373" i="4"/>
  <c r="R373" i="4"/>
  <c r="Q373" i="4"/>
  <c r="F373" i="4"/>
  <c r="AH372" i="4"/>
  <c r="AC372" i="4"/>
  <c r="J37" i="6" s="1"/>
  <c r="AA372" i="4"/>
  <c r="Z372" i="4"/>
  <c r="Y372" i="4"/>
  <c r="X372" i="4"/>
  <c r="W372" i="4"/>
  <c r="V372" i="4"/>
  <c r="U372" i="4"/>
  <c r="T372" i="4"/>
  <c r="S372" i="4"/>
  <c r="R372" i="4"/>
  <c r="Q372" i="4"/>
  <c r="F372" i="4"/>
  <c r="AH371" i="4"/>
  <c r="AF371" i="4"/>
  <c r="AC371" i="4"/>
  <c r="J36" i="6" s="1"/>
  <c r="AB371" i="4"/>
  <c r="AG371" i="4" s="1"/>
  <c r="AA371" i="4"/>
  <c r="Z371" i="4"/>
  <c r="Y371" i="4"/>
  <c r="X371" i="4"/>
  <c r="W371" i="4"/>
  <c r="V371" i="4"/>
  <c r="U371" i="4"/>
  <c r="T371" i="4"/>
  <c r="S371" i="4"/>
  <c r="R371" i="4"/>
  <c r="Q371" i="4"/>
  <c r="F371" i="4"/>
  <c r="AH370" i="4"/>
  <c r="AF370" i="4"/>
  <c r="AC370" i="4"/>
  <c r="J35" i="6" s="1"/>
  <c r="AB370" i="4"/>
  <c r="AG370" i="4" s="1"/>
  <c r="AA370" i="4"/>
  <c r="Z370" i="4"/>
  <c r="Y370" i="4"/>
  <c r="X370" i="4"/>
  <c r="W370" i="4"/>
  <c r="V370" i="4"/>
  <c r="U370" i="4"/>
  <c r="T370" i="4"/>
  <c r="S370" i="4"/>
  <c r="R370" i="4"/>
  <c r="Q370" i="4"/>
  <c r="F370" i="4"/>
  <c r="AH369" i="4"/>
  <c r="AC369" i="4"/>
  <c r="J34" i="6" s="1"/>
  <c r="AB369" i="4"/>
  <c r="AG369" i="4" s="1"/>
  <c r="AA369" i="4"/>
  <c r="AF369" i="4" s="1"/>
  <c r="Z369" i="4"/>
  <c r="Y369" i="4"/>
  <c r="X369" i="4"/>
  <c r="W369" i="4"/>
  <c r="V369" i="4"/>
  <c r="U369" i="4"/>
  <c r="T369" i="4"/>
  <c r="S369" i="4"/>
  <c r="R369" i="4"/>
  <c r="Q369" i="4"/>
  <c r="F369" i="4"/>
  <c r="AH368" i="4"/>
  <c r="AC368" i="4"/>
  <c r="J33" i="6" s="1"/>
  <c r="AB368" i="4"/>
  <c r="AG368" i="4" s="1"/>
  <c r="AA368" i="4"/>
  <c r="AF368" i="4" s="1"/>
  <c r="Z368" i="4"/>
  <c r="Y368" i="4"/>
  <c r="X368" i="4"/>
  <c r="W368" i="4"/>
  <c r="V368" i="4"/>
  <c r="U368" i="4"/>
  <c r="T368" i="4"/>
  <c r="S368" i="4"/>
  <c r="R368" i="4"/>
  <c r="Q368" i="4"/>
  <c r="F368" i="4"/>
  <c r="AH367" i="4"/>
  <c r="AF367" i="4"/>
  <c r="AC367" i="4"/>
  <c r="AB367" i="4"/>
  <c r="AG367" i="4" s="1"/>
  <c r="AA367" i="4"/>
  <c r="Z367" i="4"/>
  <c r="Y367" i="4"/>
  <c r="X367" i="4"/>
  <c r="W367" i="4"/>
  <c r="V367" i="4"/>
  <c r="U367" i="4"/>
  <c r="T367" i="4"/>
  <c r="S367" i="4"/>
  <c r="R367" i="4"/>
  <c r="Q367" i="4"/>
  <c r="F367" i="4"/>
  <c r="AH366" i="4"/>
  <c r="AF366" i="4"/>
  <c r="AC366" i="4"/>
  <c r="J31" i="6" s="1"/>
  <c r="AB366" i="4"/>
  <c r="AG366" i="4" s="1"/>
  <c r="AA366" i="4"/>
  <c r="Z366" i="4"/>
  <c r="Y366" i="4"/>
  <c r="X366" i="4"/>
  <c r="W366" i="4"/>
  <c r="V366" i="4"/>
  <c r="U366" i="4"/>
  <c r="T366" i="4"/>
  <c r="S366" i="4"/>
  <c r="R366" i="4"/>
  <c r="Q366" i="4"/>
  <c r="F366" i="4"/>
  <c r="AH365" i="4"/>
  <c r="AF365" i="4"/>
  <c r="AC365" i="4"/>
  <c r="J30" i="6" s="1"/>
  <c r="AA365" i="4"/>
  <c r="AB365" i="4" s="1"/>
  <c r="AG365" i="4" s="1"/>
  <c r="Z365" i="4"/>
  <c r="Y365" i="4"/>
  <c r="X365" i="4"/>
  <c r="W365" i="4"/>
  <c r="V365" i="4"/>
  <c r="U365" i="4"/>
  <c r="T365" i="4"/>
  <c r="S365" i="4"/>
  <c r="R365" i="4"/>
  <c r="Q365" i="4"/>
  <c r="F365" i="4"/>
  <c r="AH364" i="4"/>
  <c r="AF364" i="4"/>
  <c r="AC364" i="4"/>
  <c r="J29" i="6" s="1"/>
  <c r="AB364" i="4"/>
  <c r="AG364" i="4" s="1"/>
  <c r="AA364" i="4"/>
  <c r="Z364" i="4"/>
  <c r="Y364" i="4"/>
  <c r="X364" i="4"/>
  <c r="W364" i="4"/>
  <c r="V364" i="4"/>
  <c r="U364" i="4"/>
  <c r="T364" i="4"/>
  <c r="S364" i="4"/>
  <c r="R364" i="4"/>
  <c r="Q364" i="4"/>
  <c r="F364" i="4"/>
  <c r="AH363" i="4"/>
  <c r="AC363" i="4"/>
  <c r="J28" i="6" s="1"/>
  <c r="AA363" i="4"/>
  <c r="Z363" i="4"/>
  <c r="Y363" i="4"/>
  <c r="X363" i="4"/>
  <c r="W363" i="4"/>
  <c r="V363" i="4"/>
  <c r="U363" i="4"/>
  <c r="T363" i="4"/>
  <c r="S363" i="4"/>
  <c r="R363" i="4"/>
  <c r="Q363" i="4"/>
  <c r="F363" i="4"/>
  <c r="AH362" i="4"/>
  <c r="AC362" i="4"/>
  <c r="J27" i="6" s="1"/>
  <c r="AA362" i="4"/>
  <c r="AF362" i="4" s="1"/>
  <c r="Z362" i="4"/>
  <c r="Y362" i="4"/>
  <c r="X362" i="4"/>
  <c r="W362" i="4"/>
  <c r="V362" i="4"/>
  <c r="U362" i="4"/>
  <c r="T362" i="4"/>
  <c r="S362" i="4"/>
  <c r="R362" i="4"/>
  <c r="Q362" i="4"/>
  <c r="F362" i="4"/>
  <c r="AH361" i="4"/>
  <c r="AF361" i="4"/>
  <c r="AC361" i="4"/>
  <c r="J26" i="6" s="1"/>
  <c r="AB361" i="4"/>
  <c r="AG361" i="4" s="1"/>
  <c r="AA361" i="4"/>
  <c r="Z361" i="4"/>
  <c r="Y361" i="4"/>
  <c r="X361" i="4"/>
  <c r="W361" i="4"/>
  <c r="V361" i="4"/>
  <c r="U361" i="4"/>
  <c r="T361" i="4"/>
  <c r="S361" i="4"/>
  <c r="R361" i="4"/>
  <c r="Q361" i="4"/>
  <c r="F361" i="4"/>
  <c r="AH360" i="4"/>
  <c r="AF360" i="4"/>
  <c r="AC360" i="4"/>
  <c r="AB360" i="4"/>
  <c r="AG360" i="4" s="1"/>
  <c r="AA360" i="4"/>
  <c r="Z360" i="4"/>
  <c r="Y360" i="4"/>
  <c r="X360" i="4"/>
  <c r="W360" i="4"/>
  <c r="V360" i="4"/>
  <c r="U360" i="4"/>
  <c r="T360" i="4"/>
  <c r="S360" i="4"/>
  <c r="R360" i="4"/>
  <c r="Q360" i="4"/>
  <c r="F360" i="4"/>
  <c r="AH359" i="4"/>
  <c r="AC359" i="4"/>
  <c r="J24" i="6" s="1"/>
  <c r="AA359" i="4"/>
  <c r="AF359" i="4" s="1"/>
  <c r="Z359" i="4"/>
  <c r="Y359" i="4"/>
  <c r="X359" i="4"/>
  <c r="W359" i="4"/>
  <c r="V359" i="4"/>
  <c r="U359" i="4"/>
  <c r="T359" i="4"/>
  <c r="S359" i="4"/>
  <c r="R359" i="4"/>
  <c r="Q359" i="4"/>
  <c r="F359" i="4"/>
  <c r="AH358" i="4"/>
  <c r="AC358" i="4"/>
  <c r="J23" i="6" s="1"/>
  <c r="AA358" i="4"/>
  <c r="Z358" i="4"/>
  <c r="Y358" i="4"/>
  <c r="X358" i="4"/>
  <c r="W358" i="4"/>
  <c r="V358" i="4"/>
  <c r="U358" i="4"/>
  <c r="T358" i="4"/>
  <c r="S358" i="4"/>
  <c r="R358" i="4"/>
  <c r="Q358" i="4"/>
  <c r="F358" i="4"/>
  <c r="AH357" i="4"/>
  <c r="AF357" i="4"/>
  <c r="AC357" i="4"/>
  <c r="J22" i="6" s="1"/>
  <c r="AA357" i="4"/>
  <c r="AB357" i="4" s="1"/>
  <c r="AG357" i="4" s="1"/>
  <c r="Z357" i="4"/>
  <c r="Y357" i="4"/>
  <c r="X357" i="4"/>
  <c r="W357" i="4"/>
  <c r="V357" i="4"/>
  <c r="U357" i="4"/>
  <c r="T357" i="4"/>
  <c r="S357" i="4"/>
  <c r="R357" i="4"/>
  <c r="Q357" i="4"/>
  <c r="F357" i="4"/>
  <c r="AH356" i="4"/>
  <c r="AF356" i="4"/>
  <c r="AC356" i="4"/>
  <c r="J21" i="6" s="1"/>
  <c r="AB356" i="4"/>
  <c r="AG356" i="4" s="1"/>
  <c r="AA356" i="4"/>
  <c r="Z356" i="4"/>
  <c r="Y356" i="4"/>
  <c r="X356" i="4"/>
  <c r="W356" i="4"/>
  <c r="V356" i="4"/>
  <c r="U356" i="4"/>
  <c r="T356" i="4"/>
  <c r="S356" i="4"/>
  <c r="R356" i="4"/>
  <c r="Q356" i="4"/>
  <c r="F356" i="4"/>
  <c r="AH355" i="4"/>
  <c r="AC355" i="4"/>
  <c r="J20" i="6" s="1"/>
  <c r="AB355" i="4"/>
  <c r="AG355" i="4" s="1"/>
  <c r="AA355" i="4"/>
  <c r="AF355" i="4" s="1"/>
  <c r="Z355" i="4"/>
  <c r="Y355" i="4"/>
  <c r="X355" i="4"/>
  <c r="W355" i="4"/>
  <c r="V355" i="4"/>
  <c r="U355" i="4"/>
  <c r="T355" i="4"/>
  <c r="S355" i="4"/>
  <c r="R355" i="4"/>
  <c r="Q355" i="4"/>
  <c r="F355" i="4"/>
  <c r="AH354" i="4"/>
  <c r="AC354" i="4"/>
  <c r="J19" i="6" s="1"/>
  <c r="AA354" i="4"/>
  <c r="AF354" i="4" s="1"/>
  <c r="Z354" i="4"/>
  <c r="Y354" i="4"/>
  <c r="X354" i="4"/>
  <c r="W354" i="4"/>
  <c r="V354" i="4"/>
  <c r="U354" i="4"/>
  <c r="T354" i="4"/>
  <c r="S354" i="4"/>
  <c r="R354" i="4"/>
  <c r="Q354" i="4"/>
  <c r="F354" i="4"/>
  <c r="AH353" i="4"/>
  <c r="AC353" i="4"/>
  <c r="J18" i="6" s="1"/>
  <c r="AB353" i="4"/>
  <c r="AG353" i="4" s="1"/>
  <c r="AA353" i="4"/>
  <c r="AF353" i="4" s="1"/>
  <c r="Z353" i="4"/>
  <c r="Y353" i="4"/>
  <c r="X353" i="4"/>
  <c r="W353" i="4"/>
  <c r="V353" i="4"/>
  <c r="U353" i="4"/>
  <c r="T353" i="4"/>
  <c r="S353" i="4"/>
  <c r="R353" i="4"/>
  <c r="Q353" i="4"/>
  <c r="F353" i="4"/>
  <c r="AH352" i="4"/>
  <c r="AF352" i="4"/>
  <c r="AC352" i="4"/>
  <c r="J17" i="6" s="1"/>
  <c r="AB352" i="4"/>
  <c r="AG352" i="4" s="1"/>
  <c r="AA352" i="4"/>
  <c r="Z352" i="4"/>
  <c r="Y352" i="4"/>
  <c r="X352" i="4"/>
  <c r="W352" i="4"/>
  <c r="V352" i="4"/>
  <c r="U352" i="4"/>
  <c r="T352" i="4"/>
  <c r="S352" i="4"/>
  <c r="R352" i="4"/>
  <c r="Q352" i="4"/>
  <c r="F352" i="4"/>
  <c r="AH351" i="4"/>
  <c r="AC351" i="4"/>
  <c r="J16" i="6" s="1"/>
  <c r="AA351" i="4"/>
  <c r="Z351" i="4"/>
  <c r="Y351" i="4"/>
  <c r="X351" i="4"/>
  <c r="W351" i="4"/>
  <c r="V351" i="4"/>
  <c r="U351" i="4"/>
  <c r="T351" i="4"/>
  <c r="S351" i="4"/>
  <c r="R351" i="4"/>
  <c r="Q351" i="4"/>
  <c r="F351" i="4"/>
  <c r="AH350" i="4"/>
  <c r="AF350" i="4"/>
  <c r="AC350" i="4"/>
  <c r="J15" i="6" s="1"/>
  <c r="AA350" i="4"/>
  <c r="AB350" i="4" s="1"/>
  <c r="AG350" i="4" s="1"/>
  <c r="Z350" i="4"/>
  <c r="Y350" i="4"/>
  <c r="X350" i="4"/>
  <c r="W350" i="4"/>
  <c r="V350" i="4"/>
  <c r="U350" i="4"/>
  <c r="T350" i="4"/>
  <c r="S350" i="4"/>
  <c r="R350" i="4"/>
  <c r="Q350" i="4"/>
  <c r="F350" i="4"/>
  <c r="AH349" i="4"/>
  <c r="AF349" i="4"/>
  <c r="AC349" i="4"/>
  <c r="J14" i="6" s="1"/>
  <c r="AB349" i="4"/>
  <c r="AG349" i="4" s="1"/>
  <c r="AA349" i="4"/>
  <c r="Z349" i="4"/>
  <c r="Y349" i="4"/>
  <c r="X349" i="4"/>
  <c r="W349" i="4"/>
  <c r="V349" i="4"/>
  <c r="U349" i="4"/>
  <c r="T349" i="4"/>
  <c r="S349" i="4"/>
  <c r="R349" i="4"/>
  <c r="Q349" i="4"/>
  <c r="F349" i="4"/>
  <c r="AH348" i="4"/>
  <c r="AC348" i="4"/>
  <c r="J13" i="6" s="1"/>
  <c r="AA348" i="4"/>
  <c r="Z348" i="4"/>
  <c r="Y348" i="4"/>
  <c r="X348" i="4"/>
  <c r="W348" i="4"/>
  <c r="V348" i="4"/>
  <c r="U348" i="4"/>
  <c r="T348" i="4"/>
  <c r="S348" i="4"/>
  <c r="R348" i="4"/>
  <c r="Q348" i="4"/>
  <c r="F348" i="4"/>
  <c r="AH347" i="4"/>
  <c r="AF347" i="4"/>
  <c r="AC347" i="4"/>
  <c r="J12" i="6" s="1"/>
  <c r="AB347" i="4"/>
  <c r="AG347" i="4" s="1"/>
  <c r="AA347" i="4"/>
  <c r="Z347" i="4"/>
  <c r="Y347" i="4"/>
  <c r="X347" i="4"/>
  <c r="W347" i="4"/>
  <c r="V347" i="4"/>
  <c r="U347" i="4"/>
  <c r="T347" i="4"/>
  <c r="S347" i="4"/>
  <c r="R347" i="4"/>
  <c r="Q347" i="4"/>
  <c r="F347" i="4"/>
  <c r="AH346" i="4"/>
  <c r="AC346" i="4"/>
  <c r="AA346" i="4"/>
  <c r="Z346" i="4"/>
  <c r="Y346" i="4"/>
  <c r="X346" i="4"/>
  <c r="W346" i="4"/>
  <c r="V346" i="4"/>
  <c r="U346" i="4"/>
  <c r="T346" i="4"/>
  <c r="S346" i="4"/>
  <c r="R346" i="4"/>
  <c r="Q346" i="4"/>
  <c r="F346" i="4"/>
  <c r="AH345" i="4"/>
  <c r="AF345" i="4"/>
  <c r="AC345" i="4"/>
  <c r="J10" i="6" s="1"/>
  <c r="AB345" i="4"/>
  <c r="AG345" i="4" s="1"/>
  <c r="AA345" i="4"/>
  <c r="Z345" i="4"/>
  <c r="Y345" i="4"/>
  <c r="X345" i="4"/>
  <c r="W345" i="4"/>
  <c r="V345" i="4"/>
  <c r="U345" i="4"/>
  <c r="T345" i="4"/>
  <c r="S345" i="4"/>
  <c r="R345" i="4"/>
  <c r="Q345" i="4"/>
  <c r="F345" i="4"/>
  <c r="AH344" i="4"/>
  <c r="AC344" i="4"/>
  <c r="J9" i="6" s="1"/>
  <c r="AA344" i="4"/>
  <c r="AF344" i="4" s="1"/>
  <c r="Z344" i="4"/>
  <c r="Y344" i="4"/>
  <c r="X344" i="4"/>
  <c r="W344" i="4"/>
  <c r="V344" i="4"/>
  <c r="U344" i="4"/>
  <c r="T344" i="4"/>
  <c r="S344" i="4"/>
  <c r="R344" i="4"/>
  <c r="Q344" i="4"/>
  <c r="F344" i="4"/>
  <c r="AH343" i="4"/>
  <c r="AC343" i="4"/>
  <c r="J8" i="6" s="1"/>
  <c r="AB343" i="4"/>
  <c r="AG343" i="4" s="1"/>
  <c r="AA343" i="4"/>
  <c r="AF343" i="4" s="1"/>
  <c r="Z343" i="4"/>
  <c r="Y343" i="4"/>
  <c r="X343" i="4"/>
  <c r="W343" i="4"/>
  <c r="V343" i="4"/>
  <c r="U343" i="4"/>
  <c r="T343" i="4"/>
  <c r="S343" i="4"/>
  <c r="R343" i="4"/>
  <c r="Q343" i="4"/>
  <c r="F343" i="4"/>
  <c r="AH342" i="4"/>
  <c r="AF342" i="4"/>
  <c r="AC342" i="4"/>
  <c r="J7" i="6" s="1"/>
  <c r="AB342" i="4"/>
  <c r="AG342" i="4" s="1"/>
  <c r="AA342" i="4"/>
  <c r="Z342" i="4"/>
  <c r="Y342" i="4"/>
  <c r="X342" i="4"/>
  <c r="W342" i="4"/>
  <c r="V342" i="4"/>
  <c r="U342" i="4"/>
  <c r="T342" i="4"/>
  <c r="S342" i="4"/>
  <c r="R342" i="4"/>
  <c r="Q342" i="4"/>
  <c r="F342" i="4"/>
  <c r="AH341" i="4"/>
  <c r="AC341" i="4"/>
  <c r="J6" i="6" s="1"/>
  <c r="AA341" i="4"/>
  <c r="AF341" i="4" s="1"/>
  <c r="Z341" i="4"/>
  <c r="Y341" i="4"/>
  <c r="X341" i="4"/>
  <c r="W341" i="4"/>
  <c r="V341" i="4"/>
  <c r="U341" i="4"/>
  <c r="T341" i="4"/>
  <c r="S341" i="4"/>
  <c r="R341" i="4"/>
  <c r="Q341" i="4"/>
  <c r="F341" i="4"/>
  <c r="AH340" i="4"/>
  <c r="AF340" i="4"/>
  <c r="AC340" i="4"/>
  <c r="J5" i="6" s="1"/>
  <c r="AB340" i="4"/>
  <c r="AG340" i="4" s="1"/>
  <c r="AA340" i="4"/>
  <c r="Z340" i="4"/>
  <c r="Y340" i="4"/>
  <c r="X340" i="4"/>
  <c r="W340" i="4"/>
  <c r="V340" i="4"/>
  <c r="U340" i="4"/>
  <c r="T340" i="4"/>
  <c r="S340" i="4"/>
  <c r="R340" i="4"/>
  <c r="Q340" i="4"/>
  <c r="F340" i="4"/>
  <c r="AH339" i="4"/>
  <c r="AC339" i="4"/>
  <c r="J4" i="6" s="1"/>
  <c r="I11" i="7" s="1"/>
  <c r="AA339" i="4"/>
  <c r="AF339" i="4" s="1"/>
  <c r="Z339" i="4"/>
  <c r="Y339" i="4"/>
  <c r="X339" i="4"/>
  <c r="W339" i="4"/>
  <c r="V339" i="4"/>
  <c r="U339" i="4"/>
  <c r="T339" i="4"/>
  <c r="S339" i="4"/>
  <c r="R339" i="4"/>
  <c r="Q339" i="4"/>
  <c r="F339" i="4"/>
  <c r="AH338" i="4"/>
  <c r="AC338" i="4"/>
  <c r="I45" i="6" s="1"/>
  <c r="AA338" i="4"/>
  <c r="AF338" i="4" s="1"/>
  <c r="Z338" i="4"/>
  <c r="Y338" i="4"/>
  <c r="X338" i="4"/>
  <c r="W338" i="4"/>
  <c r="V338" i="4"/>
  <c r="U338" i="4"/>
  <c r="T338" i="4"/>
  <c r="S338" i="4"/>
  <c r="R338" i="4"/>
  <c r="Q338" i="4"/>
  <c r="F338" i="4"/>
  <c r="AH337" i="4"/>
  <c r="AC337" i="4"/>
  <c r="I44" i="6" s="1"/>
  <c r="AA337" i="4"/>
  <c r="AB337" i="4" s="1"/>
  <c r="AG337" i="4" s="1"/>
  <c r="Z337" i="4"/>
  <c r="Y337" i="4"/>
  <c r="X337" i="4"/>
  <c r="W337" i="4"/>
  <c r="V337" i="4"/>
  <c r="U337" i="4"/>
  <c r="T337" i="4"/>
  <c r="S337" i="4"/>
  <c r="R337" i="4"/>
  <c r="Q337" i="4"/>
  <c r="F337" i="4"/>
  <c r="AH336" i="4"/>
  <c r="AF336" i="4"/>
  <c r="AC336" i="4"/>
  <c r="I43" i="6" s="1"/>
  <c r="AA336" i="4"/>
  <c r="AB336" i="4" s="1"/>
  <c r="AG336" i="4" s="1"/>
  <c r="Z336" i="4"/>
  <c r="Y336" i="4"/>
  <c r="X336" i="4"/>
  <c r="W336" i="4"/>
  <c r="V336" i="4"/>
  <c r="U336" i="4"/>
  <c r="T336" i="4"/>
  <c r="S336" i="4"/>
  <c r="R336" i="4"/>
  <c r="Q336" i="4"/>
  <c r="F336" i="4"/>
  <c r="AH335" i="4"/>
  <c r="AF335" i="4"/>
  <c r="AC335" i="4"/>
  <c r="I42" i="6" s="1"/>
  <c r="AA335" i="4"/>
  <c r="AB335" i="4" s="1"/>
  <c r="AG335" i="4" s="1"/>
  <c r="Z335" i="4"/>
  <c r="Y335" i="4"/>
  <c r="X335" i="4"/>
  <c r="W335" i="4"/>
  <c r="V335" i="4"/>
  <c r="U335" i="4"/>
  <c r="T335" i="4"/>
  <c r="S335" i="4"/>
  <c r="R335" i="4"/>
  <c r="Q335" i="4"/>
  <c r="F335" i="4"/>
  <c r="AH334" i="4"/>
  <c r="AF334" i="4"/>
  <c r="AC334" i="4"/>
  <c r="I41" i="6" s="1"/>
  <c r="AB334" i="4"/>
  <c r="AG334" i="4" s="1"/>
  <c r="AA334" i="4"/>
  <c r="Z334" i="4"/>
  <c r="Y334" i="4"/>
  <c r="X334" i="4"/>
  <c r="W334" i="4"/>
  <c r="V334" i="4"/>
  <c r="U334" i="4"/>
  <c r="T334" i="4"/>
  <c r="S334" i="4"/>
  <c r="R334" i="4"/>
  <c r="Q334" i="4"/>
  <c r="F334" i="4"/>
  <c r="AH333" i="4"/>
  <c r="AC333" i="4"/>
  <c r="I40" i="6" s="1"/>
  <c r="AB333" i="4"/>
  <c r="AG333" i="4" s="1"/>
  <c r="AA333" i="4"/>
  <c r="AF333" i="4" s="1"/>
  <c r="Z333" i="4"/>
  <c r="Y333" i="4"/>
  <c r="X333" i="4"/>
  <c r="W333" i="4"/>
  <c r="V333" i="4"/>
  <c r="U333" i="4"/>
  <c r="T333" i="4"/>
  <c r="S333" i="4"/>
  <c r="R333" i="4"/>
  <c r="Q333" i="4"/>
  <c r="F333" i="4"/>
  <c r="AH332" i="4"/>
  <c r="AF332" i="4"/>
  <c r="AC332" i="4"/>
  <c r="I39" i="6" s="1"/>
  <c r="AB332" i="4"/>
  <c r="AG332" i="4" s="1"/>
  <c r="AA332" i="4"/>
  <c r="Z332" i="4"/>
  <c r="Y332" i="4"/>
  <c r="X332" i="4"/>
  <c r="W332" i="4"/>
  <c r="V332" i="4"/>
  <c r="U332" i="4"/>
  <c r="T332" i="4"/>
  <c r="S332" i="4"/>
  <c r="R332" i="4"/>
  <c r="Q332" i="4"/>
  <c r="F332" i="4"/>
  <c r="AH331" i="4"/>
  <c r="AC331" i="4"/>
  <c r="I38" i="6" s="1"/>
  <c r="AA331" i="4"/>
  <c r="Z331" i="4"/>
  <c r="Y331" i="4"/>
  <c r="X331" i="4"/>
  <c r="W331" i="4"/>
  <c r="V331" i="4"/>
  <c r="U331" i="4"/>
  <c r="T331" i="4"/>
  <c r="S331" i="4"/>
  <c r="R331" i="4"/>
  <c r="Q331" i="4"/>
  <c r="F331" i="4"/>
  <c r="AH330" i="4"/>
  <c r="AF330" i="4"/>
  <c r="AC330" i="4"/>
  <c r="AB330" i="4"/>
  <c r="AG330" i="4" s="1"/>
  <c r="AA330" i="4"/>
  <c r="Z330" i="4"/>
  <c r="Y330" i="4"/>
  <c r="X330" i="4"/>
  <c r="W330" i="4"/>
  <c r="V330" i="4"/>
  <c r="U330" i="4"/>
  <c r="T330" i="4"/>
  <c r="S330" i="4"/>
  <c r="R330" i="4"/>
  <c r="Q330" i="4"/>
  <c r="F330" i="4"/>
  <c r="AH329" i="4"/>
  <c r="AC329" i="4"/>
  <c r="I36" i="6" s="1"/>
  <c r="AA329" i="4"/>
  <c r="AF329" i="4" s="1"/>
  <c r="Z329" i="4"/>
  <c r="Y329" i="4"/>
  <c r="X329" i="4"/>
  <c r="W329" i="4"/>
  <c r="V329" i="4"/>
  <c r="U329" i="4"/>
  <c r="T329" i="4"/>
  <c r="S329" i="4"/>
  <c r="R329" i="4"/>
  <c r="Q329" i="4"/>
  <c r="F329" i="4"/>
  <c r="AH328" i="4"/>
  <c r="AC328" i="4"/>
  <c r="I35" i="6" s="1"/>
  <c r="AB328" i="4"/>
  <c r="AG328" i="4" s="1"/>
  <c r="AA328" i="4"/>
  <c r="AF328" i="4" s="1"/>
  <c r="Z328" i="4"/>
  <c r="Y328" i="4"/>
  <c r="X328" i="4"/>
  <c r="W328" i="4"/>
  <c r="V328" i="4"/>
  <c r="U328" i="4"/>
  <c r="T328" i="4"/>
  <c r="S328" i="4"/>
  <c r="R328" i="4"/>
  <c r="Q328" i="4"/>
  <c r="F328" i="4"/>
  <c r="AH327" i="4"/>
  <c r="AC327" i="4"/>
  <c r="I34" i="6" s="1"/>
  <c r="AB327" i="4"/>
  <c r="AG327" i="4" s="1"/>
  <c r="AA327" i="4"/>
  <c r="AF327" i="4" s="1"/>
  <c r="Z327" i="4"/>
  <c r="Y327" i="4"/>
  <c r="X327" i="4"/>
  <c r="W327" i="4"/>
  <c r="V327" i="4"/>
  <c r="U327" i="4"/>
  <c r="T327" i="4"/>
  <c r="S327" i="4"/>
  <c r="R327" i="4"/>
  <c r="Q327" i="4"/>
  <c r="F327" i="4"/>
  <c r="AH326" i="4"/>
  <c r="AF326" i="4"/>
  <c r="AC326" i="4"/>
  <c r="I33" i="6" s="1"/>
  <c r="AB326" i="4"/>
  <c r="AG326" i="4" s="1"/>
  <c r="AA326" i="4"/>
  <c r="Z326" i="4"/>
  <c r="Y326" i="4"/>
  <c r="X326" i="4"/>
  <c r="W326" i="4"/>
  <c r="V326" i="4"/>
  <c r="U326" i="4"/>
  <c r="T326" i="4"/>
  <c r="S326" i="4"/>
  <c r="R326" i="4"/>
  <c r="Q326" i="4"/>
  <c r="F326" i="4"/>
  <c r="AH325" i="4"/>
  <c r="AC325" i="4"/>
  <c r="I32" i="6" s="1"/>
  <c r="AA325" i="4"/>
  <c r="AF325" i="4" s="1"/>
  <c r="Z325" i="4"/>
  <c r="Y325" i="4"/>
  <c r="X325" i="4"/>
  <c r="W325" i="4"/>
  <c r="V325" i="4"/>
  <c r="U325" i="4"/>
  <c r="T325" i="4"/>
  <c r="S325" i="4"/>
  <c r="R325" i="4"/>
  <c r="Q325" i="4"/>
  <c r="F325" i="4"/>
  <c r="AH324" i="4"/>
  <c r="AC324" i="4"/>
  <c r="I31" i="6" s="1"/>
  <c r="AA324" i="4"/>
  <c r="Z324" i="4"/>
  <c r="Y324" i="4"/>
  <c r="X324" i="4"/>
  <c r="W324" i="4"/>
  <c r="V324" i="4"/>
  <c r="U324" i="4"/>
  <c r="T324" i="4"/>
  <c r="S324" i="4"/>
  <c r="R324" i="4"/>
  <c r="Q324" i="4"/>
  <c r="F324" i="4"/>
  <c r="AH323" i="4"/>
  <c r="AC323" i="4"/>
  <c r="I30" i="6" s="1"/>
  <c r="AA323" i="4"/>
  <c r="AF323" i="4" s="1"/>
  <c r="Z323" i="4"/>
  <c r="Y323" i="4"/>
  <c r="X323" i="4"/>
  <c r="W323" i="4"/>
  <c r="V323" i="4"/>
  <c r="U323" i="4"/>
  <c r="T323" i="4"/>
  <c r="S323" i="4"/>
  <c r="R323" i="4"/>
  <c r="Q323" i="4"/>
  <c r="F323" i="4"/>
  <c r="AH322" i="4"/>
  <c r="AF322" i="4"/>
  <c r="AC322" i="4"/>
  <c r="I29" i="6" s="1"/>
  <c r="AB322" i="4"/>
  <c r="AG322" i="4" s="1"/>
  <c r="AA322" i="4"/>
  <c r="Z322" i="4"/>
  <c r="Y322" i="4"/>
  <c r="X322" i="4"/>
  <c r="W322" i="4"/>
  <c r="V322" i="4"/>
  <c r="U322" i="4"/>
  <c r="T322" i="4"/>
  <c r="S322" i="4"/>
  <c r="R322" i="4"/>
  <c r="Q322" i="4"/>
  <c r="F322" i="4"/>
  <c r="AH321" i="4"/>
  <c r="AF321" i="4"/>
  <c r="AC321" i="4"/>
  <c r="I28" i="6" s="1"/>
  <c r="AA321" i="4"/>
  <c r="AB321" i="4" s="1"/>
  <c r="AG321" i="4" s="1"/>
  <c r="Z321" i="4"/>
  <c r="Y321" i="4"/>
  <c r="X321" i="4"/>
  <c r="W321" i="4"/>
  <c r="V321" i="4"/>
  <c r="U321" i="4"/>
  <c r="T321" i="4"/>
  <c r="S321" i="4"/>
  <c r="R321" i="4"/>
  <c r="Q321" i="4"/>
  <c r="F321" i="4"/>
  <c r="AH320" i="4"/>
  <c r="AF320" i="4"/>
  <c r="AC320" i="4"/>
  <c r="I27" i="6" s="1"/>
  <c r="AB320" i="4"/>
  <c r="AG320" i="4" s="1"/>
  <c r="AA320" i="4"/>
  <c r="Z320" i="4"/>
  <c r="Y320" i="4"/>
  <c r="X320" i="4"/>
  <c r="W320" i="4"/>
  <c r="V320" i="4"/>
  <c r="U320" i="4"/>
  <c r="T320" i="4"/>
  <c r="S320" i="4"/>
  <c r="R320" i="4"/>
  <c r="Q320" i="4"/>
  <c r="F320" i="4"/>
  <c r="AH319" i="4"/>
  <c r="AC319" i="4"/>
  <c r="AB319" i="4"/>
  <c r="AG319" i="4" s="1"/>
  <c r="AA319" i="4"/>
  <c r="AF319" i="4" s="1"/>
  <c r="Z319" i="4"/>
  <c r="Y319" i="4"/>
  <c r="X319" i="4"/>
  <c r="W319" i="4"/>
  <c r="V319" i="4"/>
  <c r="U319" i="4"/>
  <c r="T319" i="4"/>
  <c r="S319" i="4"/>
  <c r="R319" i="4"/>
  <c r="Q319" i="4"/>
  <c r="F319" i="4"/>
  <c r="AH318" i="4"/>
  <c r="AF318" i="4"/>
  <c r="AC318" i="4"/>
  <c r="I25" i="6" s="1"/>
  <c r="AB318" i="4"/>
  <c r="AG318" i="4" s="1"/>
  <c r="AA318" i="4"/>
  <c r="Z318" i="4"/>
  <c r="Y318" i="4"/>
  <c r="X318" i="4"/>
  <c r="W318" i="4"/>
  <c r="V318" i="4"/>
  <c r="U318" i="4"/>
  <c r="T318" i="4"/>
  <c r="S318" i="4"/>
  <c r="R318" i="4"/>
  <c r="Q318" i="4"/>
  <c r="F318" i="4"/>
  <c r="AH317" i="4"/>
  <c r="AC317" i="4"/>
  <c r="I24" i="6" s="1"/>
  <c r="AA317" i="4"/>
  <c r="AF317" i="4" s="1"/>
  <c r="Z317" i="4"/>
  <c r="Y317" i="4"/>
  <c r="X317" i="4"/>
  <c r="W317" i="4"/>
  <c r="V317" i="4"/>
  <c r="U317" i="4"/>
  <c r="T317" i="4"/>
  <c r="S317" i="4"/>
  <c r="R317" i="4"/>
  <c r="Q317" i="4"/>
  <c r="F317" i="4"/>
  <c r="AH316" i="4"/>
  <c r="AF316" i="4"/>
  <c r="AC316" i="4"/>
  <c r="I23" i="6" s="1"/>
  <c r="AB316" i="4"/>
  <c r="AG316" i="4" s="1"/>
  <c r="AA316" i="4"/>
  <c r="Z316" i="4"/>
  <c r="Y316" i="4"/>
  <c r="X316" i="4"/>
  <c r="W316" i="4"/>
  <c r="V316" i="4"/>
  <c r="U316" i="4"/>
  <c r="T316" i="4"/>
  <c r="S316" i="4"/>
  <c r="R316" i="4"/>
  <c r="Q316" i="4"/>
  <c r="F316" i="4"/>
  <c r="AH315" i="4"/>
  <c r="AC315" i="4"/>
  <c r="AA315" i="4"/>
  <c r="AF315" i="4" s="1"/>
  <c r="Z315" i="4"/>
  <c r="Y315" i="4"/>
  <c r="X315" i="4"/>
  <c r="W315" i="4"/>
  <c r="V315" i="4"/>
  <c r="U315" i="4"/>
  <c r="T315" i="4"/>
  <c r="S315" i="4"/>
  <c r="R315" i="4"/>
  <c r="Q315" i="4"/>
  <c r="F315" i="4"/>
  <c r="AH314" i="4"/>
  <c r="AC314" i="4"/>
  <c r="I21" i="6" s="1"/>
  <c r="AA314" i="4"/>
  <c r="Z314" i="4"/>
  <c r="Y314" i="4"/>
  <c r="X314" i="4"/>
  <c r="W314" i="4"/>
  <c r="V314" i="4"/>
  <c r="U314" i="4"/>
  <c r="T314" i="4"/>
  <c r="S314" i="4"/>
  <c r="R314" i="4"/>
  <c r="Q314" i="4"/>
  <c r="F314" i="4"/>
  <c r="AH313" i="4"/>
  <c r="AC313" i="4"/>
  <c r="I20" i="6" s="1"/>
  <c r="AA313" i="4"/>
  <c r="AB313" i="4" s="1"/>
  <c r="AG313" i="4" s="1"/>
  <c r="Z313" i="4"/>
  <c r="Y313" i="4"/>
  <c r="X313" i="4"/>
  <c r="W313" i="4"/>
  <c r="V313" i="4"/>
  <c r="U313" i="4"/>
  <c r="T313" i="4"/>
  <c r="S313" i="4"/>
  <c r="R313" i="4"/>
  <c r="Q313" i="4"/>
  <c r="F313" i="4"/>
  <c r="AH312" i="4"/>
  <c r="AF312" i="4"/>
  <c r="AC312" i="4"/>
  <c r="I19" i="6" s="1"/>
  <c r="AB312" i="4"/>
  <c r="AG312" i="4" s="1"/>
  <c r="AA312" i="4"/>
  <c r="Z312" i="4"/>
  <c r="Y312" i="4"/>
  <c r="X312" i="4"/>
  <c r="W312" i="4"/>
  <c r="V312" i="4"/>
  <c r="U312" i="4"/>
  <c r="T312" i="4"/>
  <c r="S312" i="4"/>
  <c r="R312" i="4"/>
  <c r="Q312" i="4"/>
  <c r="F312" i="4"/>
  <c r="AH311" i="4"/>
  <c r="AC311" i="4"/>
  <c r="I18" i="6" s="1"/>
  <c r="AA311" i="4"/>
  <c r="AF311" i="4" s="1"/>
  <c r="Z311" i="4"/>
  <c r="Y311" i="4"/>
  <c r="X311" i="4"/>
  <c r="W311" i="4"/>
  <c r="V311" i="4"/>
  <c r="U311" i="4"/>
  <c r="T311" i="4"/>
  <c r="S311" i="4"/>
  <c r="R311" i="4"/>
  <c r="Q311" i="4"/>
  <c r="F311" i="4"/>
  <c r="AH310" i="4"/>
  <c r="AC310" i="4"/>
  <c r="Z310" i="4"/>
  <c r="Y310" i="4"/>
  <c r="X310" i="4"/>
  <c r="W310" i="4"/>
  <c r="V310" i="4"/>
  <c r="U310" i="4"/>
  <c r="T310" i="4"/>
  <c r="S310" i="4"/>
  <c r="R310" i="4"/>
  <c r="Q310" i="4"/>
  <c r="F310" i="4"/>
  <c r="AH309" i="4"/>
  <c r="AF309" i="4"/>
  <c r="AC309" i="4"/>
  <c r="I16" i="6" s="1"/>
  <c r="AA309" i="4"/>
  <c r="AB309" i="4" s="1"/>
  <c r="AG309" i="4" s="1"/>
  <c r="Z309" i="4"/>
  <c r="Y309" i="4"/>
  <c r="X309" i="4"/>
  <c r="W309" i="4"/>
  <c r="V309" i="4"/>
  <c r="U309" i="4"/>
  <c r="T309" i="4"/>
  <c r="S309" i="4"/>
  <c r="R309" i="4"/>
  <c r="Q309" i="4"/>
  <c r="F309" i="4"/>
  <c r="AH308" i="4"/>
  <c r="AC308" i="4"/>
  <c r="I15" i="6" s="1"/>
  <c r="AA308" i="4"/>
  <c r="AF308" i="4" s="1"/>
  <c r="Z308" i="4"/>
  <c r="Y308" i="4"/>
  <c r="X308" i="4"/>
  <c r="W308" i="4"/>
  <c r="V308" i="4"/>
  <c r="U308" i="4"/>
  <c r="T308" i="4"/>
  <c r="S308" i="4"/>
  <c r="R308" i="4"/>
  <c r="Q308" i="4"/>
  <c r="F308" i="4"/>
  <c r="AH307" i="4"/>
  <c r="AF307" i="4"/>
  <c r="AC307" i="4"/>
  <c r="I14" i="6" s="1"/>
  <c r="AA307" i="4"/>
  <c r="AB307" i="4" s="1"/>
  <c r="AG307" i="4" s="1"/>
  <c r="Z307" i="4"/>
  <c r="Y307" i="4"/>
  <c r="X307" i="4"/>
  <c r="W307" i="4"/>
  <c r="V307" i="4"/>
  <c r="U307" i="4"/>
  <c r="T307" i="4"/>
  <c r="S307" i="4"/>
  <c r="R307" i="4"/>
  <c r="Q307" i="4"/>
  <c r="F307" i="4"/>
  <c r="AH306" i="4"/>
  <c r="AC306" i="4"/>
  <c r="Z306" i="4"/>
  <c r="Y306" i="4"/>
  <c r="X306" i="4"/>
  <c r="W306" i="4"/>
  <c r="V306" i="4"/>
  <c r="U306" i="4"/>
  <c r="T306" i="4"/>
  <c r="S306" i="4"/>
  <c r="R306" i="4"/>
  <c r="Q306" i="4"/>
  <c r="F306" i="4"/>
  <c r="AH305" i="4"/>
  <c r="AC305" i="4"/>
  <c r="I12" i="6" s="1"/>
  <c r="AA305" i="4"/>
  <c r="Z305" i="4"/>
  <c r="Y305" i="4"/>
  <c r="X305" i="4"/>
  <c r="W305" i="4"/>
  <c r="V305" i="4"/>
  <c r="U305" i="4"/>
  <c r="T305" i="4"/>
  <c r="S305" i="4"/>
  <c r="R305" i="4"/>
  <c r="Q305" i="4"/>
  <c r="F305" i="4"/>
  <c r="AH304" i="4"/>
  <c r="AF304" i="4"/>
  <c r="AC304" i="4"/>
  <c r="I11" i="6" s="1"/>
  <c r="AA304" i="4"/>
  <c r="AB304" i="4" s="1"/>
  <c r="AG304" i="4" s="1"/>
  <c r="Z304" i="4"/>
  <c r="Y304" i="4"/>
  <c r="X304" i="4"/>
  <c r="W304" i="4"/>
  <c r="V304" i="4"/>
  <c r="U304" i="4"/>
  <c r="T304" i="4"/>
  <c r="S304" i="4"/>
  <c r="R304" i="4"/>
  <c r="Q304" i="4"/>
  <c r="F304" i="4"/>
  <c r="AH303" i="4"/>
  <c r="AF303" i="4"/>
  <c r="AC303" i="4"/>
  <c r="I10" i="6" s="1"/>
  <c r="AB303" i="4"/>
  <c r="AG303" i="4" s="1"/>
  <c r="AA303" i="4"/>
  <c r="Z303" i="4"/>
  <c r="Y303" i="4"/>
  <c r="X303" i="4"/>
  <c r="W303" i="4"/>
  <c r="V303" i="4"/>
  <c r="U303" i="4"/>
  <c r="T303" i="4"/>
  <c r="S303" i="4"/>
  <c r="R303" i="4"/>
  <c r="Q303" i="4"/>
  <c r="F303" i="4"/>
  <c r="AH302" i="4"/>
  <c r="AF302" i="4"/>
  <c r="AC302" i="4"/>
  <c r="I9" i="6" s="1"/>
  <c r="AB302" i="4"/>
  <c r="AG302" i="4" s="1"/>
  <c r="AA302" i="4"/>
  <c r="Z302" i="4"/>
  <c r="Y302" i="4"/>
  <c r="X302" i="4"/>
  <c r="W302" i="4"/>
  <c r="V302" i="4"/>
  <c r="U302" i="4"/>
  <c r="T302" i="4"/>
  <c r="S302" i="4"/>
  <c r="R302" i="4"/>
  <c r="Q302" i="4"/>
  <c r="F302" i="4"/>
  <c r="AH301" i="4"/>
  <c r="AC301" i="4"/>
  <c r="Z301" i="4"/>
  <c r="Y301" i="4"/>
  <c r="X301" i="4"/>
  <c r="W301" i="4"/>
  <c r="V301" i="4"/>
  <c r="U301" i="4"/>
  <c r="T301" i="4"/>
  <c r="S301" i="4"/>
  <c r="R301" i="4"/>
  <c r="Q301" i="4"/>
  <c r="F301" i="4"/>
  <c r="AH300" i="4"/>
  <c r="AC300" i="4"/>
  <c r="I7" i="6" s="1"/>
  <c r="AA300" i="4"/>
  <c r="AF300" i="4" s="1"/>
  <c r="Z300" i="4"/>
  <c r="Y300" i="4"/>
  <c r="X300" i="4"/>
  <c r="W300" i="4"/>
  <c r="V300" i="4"/>
  <c r="U300" i="4"/>
  <c r="T300" i="4"/>
  <c r="S300" i="4"/>
  <c r="R300" i="4"/>
  <c r="Q300" i="4"/>
  <c r="F300" i="4"/>
  <c r="AH299" i="4"/>
  <c r="AC299" i="4"/>
  <c r="I6" i="6" s="1"/>
  <c r="AA299" i="4"/>
  <c r="AF299" i="4" s="1"/>
  <c r="Z299" i="4"/>
  <c r="Y299" i="4"/>
  <c r="X299" i="4"/>
  <c r="W299" i="4"/>
  <c r="V299" i="4"/>
  <c r="U299" i="4"/>
  <c r="T299" i="4"/>
  <c r="S299" i="4"/>
  <c r="R299" i="4"/>
  <c r="Q299" i="4"/>
  <c r="F299" i="4"/>
  <c r="AH298" i="4"/>
  <c r="AF298" i="4"/>
  <c r="AC298" i="4"/>
  <c r="I5" i="6" s="1"/>
  <c r="AB298" i="4"/>
  <c r="AG298" i="4" s="1"/>
  <c r="AA298" i="4"/>
  <c r="Z298" i="4"/>
  <c r="Y298" i="4"/>
  <c r="X298" i="4"/>
  <c r="W298" i="4"/>
  <c r="V298" i="4"/>
  <c r="U298" i="4"/>
  <c r="T298" i="4"/>
  <c r="S298" i="4"/>
  <c r="R298" i="4"/>
  <c r="Q298" i="4"/>
  <c r="F298" i="4"/>
  <c r="AH297" i="4"/>
  <c r="AF297" i="4"/>
  <c r="AC297" i="4"/>
  <c r="AA297" i="4"/>
  <c r="AB297" i="4" s="1"/>
  <c r="AG297" i="4" s="1"/>
  <c r="Z297" i="4"/>
  <c r="Y297" i="4"/>
  <c r="X297" i="4"/>
  <c r="W297" i="4"/>
  <c r="V297" i="4"/>
  <c r="U297" i="4"/>
  <c r="T297" i="4"/>
  <c r="S297" i="4"/>
  <c r="R297" i="4"/>
  <c r="Q297" i="4"/>
  <c r="F297" i="4"/>
  <c r="AH296" i="4"/>
  <c r="AC296" i="4"/>
  <c r="H45" i="6" s="1"/>
  <c r="AA296" i="4"/>
  <c r="Z296" i="4"/>
  <c r="Y296" i="4"/>
  <c r="X296" i="4"/>
  <c r="W296" i="4"/>
  <c r="V296" i="4"/>
  <c r="U296" i="4"/>
  <c r="T296" i="4"/>
  <c r="S296" i="4"/>
  <c r="R296" i="4"/>
  <c r="Q296" i="4"/>
  <c r="F296" i="4"/>
  <c r="AH295" i="4"/>
  <c r="AF295" i="4"/>
  <c r="AC295" i="4"/>
  <c r="H44" i="6" s="1"/>
  <c r="AB295" i="4"/>
  <c r="AG295" i="4" s="1"/>
  <c r="AA295" i="4"/>
  <c r="Z295" i="4"/>
  <c r="Y295" i="4"/>
  <c r="X295" i="4"/>
  <c r="W295" i="4"/>
  <c r="V295" i="4"/>
  <c r="U295" i="4"/>
  <c r="T295" i="4"/>
  <c r="S295" i="4"/>
  <c r="R295" i="4"/>
  <c r="Q295" i="4"/>
  <c r="F295" i="4"/>
  <c r="AH294" i="4"/>
  <c r="AF294" i="4"/>
  <c r="AC294" i="4"/>
  <c r="H43" i="6" s="1"/>
  <c r="AB294" i="4"/>
  <c r="AG294" i="4" s="1"/>
  <c r="AA294" i="4"/>
  <c r="Z294" i="4"/>
  <c r="Y294" i="4"/>
  <c r="X294" i="4"/>
  <c r="W294" i="4"/>
  <c r="V294" i="4"/>
  <c r="U294" i="4"/>
  <c r="T294" i="4"/>
  <c r="S294" i="4"/>
  <c r="R294" i="4"/>
  <c r="Q294" i="4"/>
  <c r="F294" i="4"/>
  <c r="AH293" i="4"/>
  <c r="AC293" i="4"/>
  <c r="H42" i="6" s="1"/>
  <c r="AA293" i="4"/>
  <c r="AB293" i="4" s="1"/>
  <c r="AG293" i="4" s="1"/>
  <c r="Z293" i="4"/>
  <c r="Y293" i="4"/>
  <c r="X293" i="4"/>
  <c r="W293" i="4"/>
  <c r="V293" i="4"/>
  <c r="U293" i="4"/>
  <c r="T293" i="4"/>
  <c r="S293" i="4"/>
  <c r="R293" i="4"/>
  <c r="Q293" i="4"/>
  <c r="F293" i="4"/>
  <c r="AH292" i="4"/>
  <c r="AF292" i="4"/>
  <c r="AC292" i="4"/>
  <c r="H41" i="6" s="1"/>
  <c r="AA292" i="4"/>
  <c r="AB292" i="4" s="1"/>
  <c r="AG292" i="4" s="1"/>
  <c r="Z292" i="4"/>
  <c r="Y292" i="4"/>
  <c r="X292" i="4"/>
  <c r="W292" i="4"/>
  <c r="V292" i="4"/>
  <c r="U292" i="4"/>
  <c r="T292" i="4"/>
  <c r="S292" i="4"/>
  <c r="R292" i="4"/>
  <c r="Q292" i="4"/>
  <c r="F292" i="4"/>
  <c r="AH291" i="4"/>
  <c r="AC291" i="4"/>
  <c r="H40" i="6" s="1"/>
  <c r="AA291" i="4"/>
  <c r="AF291" i="4" s="1"/>
  <c r="Z291" i="4"/>
  <c r="Y291" i="4"/>
  <c r="X291" i="4"/>
  <c r="W291" i="4"/>
  <c r="V291" i="4"/>
  <c r="U291" i="4"/>
  <c r="T291" i="4"/>
  <c r="S291" i="4"/>
  <c r="R291" i="4"/>
  <c r="Q291" i="4"/>
  <c r="F291" i="4"/>
  <c r="AH290" i="4"/>
  <c r="AC290" i="4"/>
  <c r="Z290" i="4"/>
  <c r="Y290" i="4"/>
  <c r="X290" i="4"/>
  <c r="W290" i="4"/>
  <c r="V290" i="4"/>
  <c r="U290" i="4"/>
  <c r="T290" i="4"/>
  <c r="S290" i="4"/>
  <c r="R290" i="4"/>
  <c r="Q290" i="4"/>
  <c r="F290" i="4"/>
  <c r="AH289" i="4"/>
  <c r="AC289" i="4"/>
  <c r="H38" i="6" s="1"/>
  <c r="AA289" i="4"/>
  <c r="AF289" i="4" s="1"/>
  <c r="Z289" i="4"/>
  <c r="Y289" i="4"/>
  <c r="X289" i="4"/>
  <c r="W289" i="4"/>
  <c r="V289" i="4"/>
  <c r="U289" i="4"/>
  <c r="T289" i="4"/>
  <c r="S289" i="4"/>
  <c r="R289" i="4"/>
  <c r="Q289" i="4"/>
  <c r="F289" i="4"/>
  <c r="AH288" i="4"/>
  <c r="AC288" i="4"/>
  <c r="Z288" i="4"/>
  <c r="Y288" i="4"/>
  <c r="X288" i="4"/>
  <c r="W288" i="4"/>
  <c r="V288" i="4"/>
  <c r="U288" i="4"/>
  <c r="T288" i="4"/>
  <c r="S288" i="4"/>
  <c r="R288" i="4"/>
  <c r="Q288" i="4"/>
  <c r="F288" i="4"/>
  <c r="AH287" i="4"/>
  <c r="AC287" i="4"/>
  <c r="Z287" i="4"/>
  <c r="Y287" i="4"/>
  <c r="X287" i="4"/>
  <c r="W287" i="4"/>
  <c r="V287" i="4"/>
  <c r="U287" i="4"/>
  <c r="T287" i="4"/>
  <c r="S287" i="4"/>
  <c r="R287" i="4"/>
  <c r="Q287" i="4"/>
  <c r="F287" i="4"/>
  <c r="AH286" i="4"/>
  <c r="AC286" i="4"/>
  <c r="Z286" i="4"/>
  <c r="Y286" i="4"/>
  <c r="X286" i="4"/>
  <c r="W286" i="4"/>
  <c r="V286" i="4"/>
  <c r="U286" i="4"/>
  <c r="T286" i="4"/>
  <c r="S286" i="4"/>
  <c r="R286" i="4"/>
  <c r="Q286" i="4"/>
  <c r="F286" i="4"/>
  <c r="AH285" i="4"/>
  <c r="AC285" i="4"/>
  <c r="H34" i="6" s="1"/>
  <c r="AA285" i="4"/>
  <c r="AF285" i="4" s="1"/>
  <c r="Z285" i="4"/>
  <c r="Y285" i="4"/>
  <c r="X285" i="4"/>
  <c r="W285" i="4"/>
  <c r="V285" i="4"/>
  <c r="U285" i="4"/>
  <c r="T285" i="4"/>
  <c r="S285" i="4"/>
  <c r="R285" i="4"/>
  <c r="Q285" i="4"/>
  <c r="F285" i="4"/>
  <c r="AH284" i="4"/>
  <c r="AC284" i="4"/>
  <c r="Z284" i="4"/>
  <c r="Y284" i="4"/>
  <c r="X284" i="4"/>
  <c r="W284" i="4"/>
  <c r="V284" i="4"/>
  <c r="U284" i="4"/>
  <c r="T284" i="4"/>
  <c r="S284" i="4"/>
  <c r="R284" i="4"/>
  <c r="Q284" i="4"/>
  <c r="F284" i="4"/>
  <c r="AH283" i="4"/>
  <c r="AC283" i="4"/>
  <c r="Z283" i="4"/>
  <c r="Y283" i="4"/>
  <c r="X283" i="4"/>
  <c r="W283" i="4"/>
  <c r="V283" i="4"/>
  <c r="U283" i="4"/>
  <c r="T283" i="4"/>
  <c r="S283" i="4"/>
  <c r="R283" i="4"/>
  <c r="Q283" i="4"/>
  <c r="F283" i="4"/>
  <c r="AH282" i="4"/>
  <c r="AC282" i="4"/>
  <c r="Z282" i="4"/>
  <c r="Y282" i="4"/>
  <c r="X282" i="4"/>
  <c r="W282" i="4"/>
  <c r="V282" i="4"/>
  <c r="AA282" i="4" s="1"/>
  <c r="U282" i="4"/>
  <c r="T282" i="4"/>
  <c r="S282" i="4"/>
  <c r="R282" i="4"/>
  <c r="Q282" i="4"/>
  <c r="F282" i="4"/>
  <c r="AH281" i="4"/>
  <c r="AC281" i="4"/>
  <c r="Z281" i="4"/>
  <c r="Y281" i="4"/>
  <c r="X281" i="4"/>
  <c r="W281" i="4"/>
  <c r="AA281" i="4" s="1"/>
  <c r="V281" i="4"/>
  <c r="U281" i="4"/>
  <c r="T281" i="4"/>
  <c r="S281" i="4"/>
  <c r="R281" i="4"/>
  <c r="Q281" i="4"/>
  <c r="F281" i="4"/>
  <c r="AH280" i="4"/>
  <c r="AC280" i="4"/>
  <c r="Z280" i="4"/>
  <c r="Y280" i="4"/>
  <c r="X280" i="4"/>
  <c r="W280" i="4"/>
  <c r="V280" i="4"/>
  <c r="U280" i="4"/>
  <c r="T280" i="4"/>
  <c r="S280" i="4"/>
  <c r="R280" i="4"/>
  <c r="AA280" i="4" s="1"/>
  <c r="Q280" i="4"/>
  <c r="F280" i="4"/>
  <c r="AH279" i="4"/>
  <c r="AC279" i="4"/>
  <c r="Z279" i="4"/>
  <c r="Y279" i="4"/>
  <c r="X279" i="4"/>
  <c r="W279" i="4"/>
  <c r="V279" i="4"/>
  <c r="U279" i="4"/>
  <c r="T279" i="4"/>
  <c r="S279" i="4"/>
  <c r="R279" i="4"/>
  <c r="Q279" i="4"/>
  <c r="F279" i="4"/>
  <c r="AH278" i="4"/>
  <c r="AC278" i="4"/>
  <c r="Z278" i="4"/>
  <c r="Y278" i="4"/>
  <c r="X278" i="4"/>
  <c r="W278" i="4"/>
  <c r="V278" i="4"/>
  <c r="U278" i="4"/>
  <c r="T278" i="4"/>
  <c r="S278" i="4"/>
  <c r="R278" i="4"/>
  <c r="Q278" i="4"/>
  <c r="F278" i="4"/>
  <c r="AH277" i="4"/>
  <c r="AC277" i="4"/>
  <c r="Z277" i="4"/>
  <c r="Y277" i="4"/>
  <c r="X277" i="4"/>
  <c r="W277" i="4"/>
  <c r="V277" i="4"/>
  <c r="U277" i="4"/>
  <c r="T277" i="4"/>
  <c r="S277" i="4"/>
  <c r="R277" i="4"/>
  <c r="Q277" i="4"/>
  <c r="F277" i="4"/>
  <c r="AH276" i="4"/>
  <c r="AC276" i="4"/>
  <c r="Z276" i="4"/>
  <c r="Y276" i="4"/>
  <c r="X276" i="4"/>
  <c r="W276" i="4"/>
  <c r="V276" i="4"/>
  <c r="U276" i="4"/>
  <c r="T276" i="4"/>
  <c r="S276" i="4"/>
  <c r="R276" i="4"/>
  <c r="Q276" i="4"/>
  <c r="F276" i="4"/>
  <c r="AH275" i="4"/>
  <c r="AC275" i="4"/>
  <c r="AA275" i="4"/>
  <c r="AF275" i="4" s="1"/>
  <c r="Z275" i="4"/>
  <c r="Y275" i="4"/>
  <c r="X275" i="4"/>
  <c r="W275" i="4"/>
  <c r="V275" i="4"/>
  <c r="U275" i="4"/>
  <c r="T275" i="4"/>
  <c r="S275" i="4"/>
  <c r="R275" i="4"/>
  <c r="Q275" i="4"/>
  <c r="F275" i="4"/>
  <c r="AH274" i="4"/>
  <c r="AC274" i="4"/>
  <c r="Z274" i="4"/>
  <c r="Y274" i="4"/>
  <c r="X274" i="4"/>
  <c r="W274" i="4"/>
  <c r="V274" i="4"/>
  <c r="U274" i="4"/>
  <c r="T274" i="4"/>
  <c r="S274" i="4"/>
  <c r="R274" i="4"/>
  <c r="Q274" i="4"/>
  <c r="F274" i="4"/>
  <c r="AH273" i="4"/>
  <c r="AC273" i="4"/>
  <c r="Z273" i="4"/>
  <c r="Y273" i="4"/>
  <c r="X273" i="4"/>
  <c r="W273" i="4"/>
  <c r="V273" i="4"/>
  <c r="U273" i="4"/>
  <c r="T273" i="4"/>
  <c r="S273" i="4"/>
  <c r="R273" i="4"/>
  <c r="Q273" i="4"/>
  <c r="F273" i="4"/>
  <c r="AH272" i="4"/>
  <c r="AC272" i="4"/>
  <c r="Z272" i="4"/>
  <c r="Y272" i="4"/>
  <c r="X272" i="4"/>
  <c r="AA272" i="4" s="1"/>
  <c r="AF272" i="4" s="1"/>
  <c r="W272" i="4"/>
  <c r="V272" i="4"/>
  <c r="U272" i="4"/>
  <c r="T272" i="4"/>
  <c r="S272" i="4"/>
  <c r="R272" i="4"/>
  <c r="Q272" i="4"/>
  <c r="F272" i="4"/>
  <c r="AH271" i="4"/>
  <c r="AC271" i="4"/>
  <c r="H20" i="6" s="1"/>
  <c r="AA271" i="4"/>
  <c r="AF271" i="4" s="1"/>
  <c r="Z271" i="4"/>
  <c r="Y271" i="4"/>
  <c r="X271" i="4"/>
  <c r="W271" i="4"/>
  <c r="V271" i="4"/>
  <c r="U271" i="4"/>
  <c r="T271" i="4"/>
  <c r="S271" i="4"/>
  <c r="R271" i="4"/>
  <c r="Q271" i="4"/>
  <c r="F271" i="4"/>
  <c r="AH270" i="4"/>
  <c r="AC270" i="4"/>
  <c r="Z270" i="4"/>
  <c r="Y270" i="4"/>
  <c r="X270" i="4"/>
  <c r="W270" i="4"/>
  <c r="V270" i="4"/>
  <c r="U270" i="4"/>
  <c r="T270" i="4"/>
  <c r="S270" i="4"/>
  <c r="R270" i="4"/>
  <c r="Q270" i="4"/>
  <c r="AA270" i="4" s="1"/>
  <c r="F270" i="4"/>
  <c r="AH269" i="4"/>
  <c r="AC269" i="4"/>
  <c r="Z269" i="4"/>
  <c r="Y269" i="4"/>
  <c r="X269" i="4"/>
  <c r="W269" i="4"/>
  <c r="V269" i="4"/>
  <c r="U269" i="4"/>
  <c r="T269" i="4"/>
  <c r="S269" i="4"/>
  <c r="R269" i="4"/>
  <c r="Q269" i="4"/>
  <c r="AA269" i="4" s="1"/>
  <c r="F269" i="4"/>
  <c r="AH268" i="4"/>
  <c r="AC268" i="4"/>
  <c r="Z268" i="4"/>
  <c r="Y268" i="4"/>
  <c r="X268" i="4"/>
  <c r="W268" i="4"/>
  <c r="V268" i="4"/>
  <c r="U268" i="4"/>
  <c r="T268" i="4"/>
  <c r="S268" i="4"/>
  <c r="R268" i="4"/>
  <c r="Q268" i="4"/>
  <c r="F268" i="4"/>
  <c r="AH267" i="4"/>
  <c r="AC267" i="4"/>
  <c r="Z267" i="4"/>
  <c r="Y267" i="4"/>
  <c r="X267" i="4"/>
  <c r="W267" i="4"/>
  <c r="V267" i="4"/>
  <c r="U267" i="4"/>
  <c r="T267" i="4"/>
  <c r="S267" i="4"/>
  <c r="R267" i="4"/>
  <c r="Q267" i="4"/>
  <c r="F267" i="4"/>
  <c r="AH266" i="4"/>
  <c r="AC266" i="4"/>
  <c r="Z266" i="4"/>
  <c r="Y266" i="4"/>
  <c r="X266" i="4"/>
  <c r="W266" i="4"/>
  <c r="V266" i="4"/>
  <c r="U266" i="4"/>
  <c r="T266" i="4"/>
  <c r="S266" i="4"/>
  <c r="R266" i="4"/>
  <c r="Q266" i="4"/>
  <c r="AA266" i="4" s="1"/>
  <c r="F266" i="4"/>
  <c r="AH265" i="4"/>
  <c r="AC265" i="4"/>
  <c r="H14" i="6" s="1"/>
  <c r="AB265" i="4"/>
  <c r="AG265" i="4" s="1"/>
  <c r="AA265" i="4"/>
  <c r="AF265" i="4" s="1"/>
  <c r="Z265" i="4"/>
  <c r="Y265" i="4"/>
  <c r="X265" i="4"/>
  <c r="W265" i="4"/>
  <c r="V265" i="4"/>
  <c r="U265" i="4"/>
  <c r="T265" i="4"/>
  <c r="S265" i="4"/>
  <c r="R265" i="4"/>
  <c r="Q265" i="4"/>
  <c r="F265" i="4"/>
  <c r="AH264" i="4"/>
  <c r="AC264" i="4"/>
  <c r="Z264" i="4"/>
  <c r="Y264" i="4"/>
  <c r="X264" i="4"/>
  <c r="W264" i="4"/>
  <c r="V264" i="4"/>
  <c r="U264" i="4"/>
  <c r="T264" i="4"/>
  <c r="S264" i="4"/>
  <c r="AA264" i="4" s="1"/>
  <c r="R264" i="4"/>
  <c r="Q264" i="4"/>
  <c r="F264" i="4"/>
  <c r="AH263" i="4"/>
  <c r="AC263" i="4"/>
  <c r="Z263" i="4"/>
  <c r="Y263" i="4"/>
  <c r="X263" i="4"/>
  <c r="W263" i="4"/>
  <c r="V263" i="4"/>
  <c r="U263" i="4"/>
  <c r="T263" i="4"/>
  <c r="S263" i="4"/>
  <c r="R263" i="4"/>
  <c r="Q263" i="4"/>
  <c r="AA263" i="4" s="1"/>
  <c r="F263" i="4"/>
  <c r="AH262" i="4"/>
  <c r="AC262" i="4"/>
  <c r="Z262" i="4"/>
  <c r="Y262" i="4"/>
  <c r="X262" i="4"/>
  <c r="W262" i="4"/>
  <c r="V262" i="4"/>
  <c r="U262" i="4"/>
  <c r="T262" i="4"/>
  <c r="S262" i="4"/>
  <c r="R262" i="4"/>
  <c r="Q262" i="4"/>
  <c r="AA262" i="4" s="1"/>
  <c r="F262" i="4"/>
  <c r="AH261" i="4"/>
  <c r="AC261" i="4"/>
  <c r="Z261" i="4"/>
  <c r="Y261" i="4"/>
  <c r="X261" i="4"/>
  <c r="W261" i="4"/>
  <c r="V261" i="4"/>
  <c r="U261" i="4"/>
  <c r="T261" i="4"/>
  <c r="S261" i="4"/>
  <c r="R261" i="4"/>
  <c r="Q261" i="4"/>
  <c r="AA261" i="4" s="1"/>
  <c r="AF261" i="4" s="1"/>
  <c r="F261" i="4"/>
  <c r="AH260" i="4"/>
  <c r="AC260" i="4"/>
  <c r="Z260" i="4"/>
  <c r="Y260" i="4"/>
  <c r="X260" i="4"/>
  <c r="W260" i="4"/>
  <c r="V260" i="4"/>
  <c r="U260" i="4"/>
  <c r="T260" i="4"/>
  <c r="S260" i="4"/>
  <c r="R260" i="4"/>
  <c r="Q260" i="4"/>
  <c r="AA260" i="4" s="1"/>
  <c r="F260" i="4"/>
  <c r="AH259" i="4"/>
  <c r="AC259" i="4"/>
  <c r="Z259" i="4"/>
  <c r="Y259" i="4"/>
  <c r="X259" i="4"/>
  <c r="W259" i="4"/>
  <c r="V259" i="4"/>
  <c r="U259" i="4"/>
  <c r="T259" i="4"/>
  <c r="S259" i="4"/>
  <c r="R259" i="4"/>
  <c r="Q259" i="4"/>
  <c r="F259" i="4"/>
  <c r="AH258" i="4"/>
  <c r="AC258" i="4"/>
  <c r="Z258" i="4"/>
  <c r="Y258" i="4"/>
  <c r="X258" i="4"/>
  <c r="W258" i="4"/>
  <c r="V258" i="4"/>
  <c r="U258" i="4"/>
  <c r="T258" i="4"/>
  <c r="S258" i="4"/>
  <c r="R258" i="4"/>
  <c r="Q258" i="4"/>
  <c r="AA258" i="4" s="1"/>
  <c r="AF258" i="4" s="1"/>
  <c r="F258" i="4"/>
  <c r="AH257" i="4"/>
  <c r="AC257" i="4"/>
  <c r="Z257" i="4"/>
  <c r="Y257" i="4"/>
  <c r="X257" i="4"/>
  <c r="W257" i="4"/>
  <c r="V257" i="4"/>
  <c r="U257" i="4"/>
  <c r="T257" i="4"/>
  <c r="S257" i="4"/>
  <c r="R257" i="4"/>
  <c r="Q257" i="4"/>
  <c r="F257" i="4"/>
  <c r="AH256" i="4"/>
  <c r="AC256" i="4"/>
  <c r="Z256" i="4"/>
  <c r="Y256" i="4"/>
  <c r="X256" i="4"/>
  <c r="W256" i="4"/>
  <c r="V256" i="4"/>
  <c r="U256" i="4"/>
  <c r="T256" i="4"/>
  <c r="S256" i="4"/>
  <c r="R256" i="4"/>
  <c r="Q256" i="4"/>
  <c r="F256" i="4"/>
  <c r="AH255" i="4"/>
  <c r="AC255" i="4"/>
  <c r="Z255" i="4"/>
  <c r="Y255" i="4"/>
  <c r="X255" i="4"/>
  <c r="W255" i="4"/>
  <c r="V255" i="4"/>
  <c r="U255" i="4"/>
  <c r="T255" i="4"/>
  <c r="S255" i="4"/>
  <c r="R255" i="4"/>
  <c r="Q255" i="4"/>
  <c r="F255" i="4"/>
  <c r="AH254" i="4"/>
  <c r="AC254" i="4"/>
  <c r="G45" i="6" s="1"/>
  <c r="AA254" i="4"/>
  <c r="Z254" i="4"/>
  <c r="Y254" i="4"/>
  <c r="X254" i="4"/>
  <c r="W254" i="4"/>
  <c r="V254" i="4"/>
  <c r="U254" i="4"/>
  <c r="T254" i="4"/>
  <c r="S254" i="4"/>
  <c r="R254" i="4"/>
  <c r="Q254" i="4"/>
  <c r="F254" i="4"/>
  <c r="AH253" i="4"/>
  <c r="AF253" i="4"/>
  <c r="AC253" i="4"/>
  <c r="G44" i="6" s="1"/>
  <c r="AB253" i="4"/>
  <c r="AG253" i="4" s="1"/>
  <c r="AA253" i="4"/>
  <c r="Z253" i="4"/>
  <c r="Y253" i="4"/>
  <c r="X253" i="4"/>
  <c r="W253" i="4"/>
  <c r="V253" i="4"/>
  <c r="U253" i="4"/>
  <c r="T253" i="4"/>
  <c r="S253" i="4"/>
  <c r="R253" i="4"/>
  <c r="Q253" i="4"/>
  <c r="F253" i="4"/>
  <c r="AH252" i="4"/>
  <c r="AC252" i="4"/>
  <c r="G43" i="6" s="1"/>
  <c r="AB252" i="4"/>
  <c r="AG252" i="4" s="1"/>
  <c r="AA252" i="4"/>
  <c r="AF252" i="4" s="1"/>
  <c r="Z252" i="4"/>
  <c r="Y252" i="4"/>
  <c r="X252" i="4"/>
  <c r="W252" i="4"/>
  <c r="V252" i="4"/>
  <c r="U252" i="4"/>
  <c r="T252" i="4"/>
  <c r="S252" i="4"/>
  <c r="R252" i="4"/>
  <c r="Q252" i="4"/>
  <c r="F252" i="4"/>
  <c r="AH251" i="4"/>
  <c r="AC251" i="4"/>
  <c r="G42" i="6" s="1"/>
  <c r="AB251" i="4"/>
  <c r="AG251" i="4" s="1"/>
  <c r="AA251" i="4"/>
  <c r="AF251" i="4" s="1"/>
  <c r="Z251" i="4"/>
  <c r="Y251" i="4"/>
  <c r="X251" i="4"/>
  <c r="W251" i="4"/>
  <c r="V251" i="4"/>
  <c r="U251" i="4"/>
  <c r="T251" i="4"/>
  <c r="S251" i="4"/>
  <c r="R251" i="4"/>
  <c r="Q251" i="4"/>
  <c r="F251" i="4"/>
  <c r="AH250" i="4"/>
  <c r="AF250" i="4"/>
  <c r="AC250" i="4"/>
  <c r="G41" i="6" s="1"/>
  <c r="AA250" i="4"/>
  <c r="AB250" i="4" s="1"/>
  <c r="AG250" i="4" s="1"/>
  <c r="Z250" i="4"/>
  <c r="Y250" i="4"/>
  <c r="X250" i="4"/>
  <c r="W250" i="4"/>
  <c r="V250" i="4"/>
  <c r="U250" i="4"/>
  <c r="T250" i="4"/>
  <c r="S250" i="4"/>
  <c r="R250" i="4"/>
  <c r="Q250" i="4"/>
  <c r="F250" i="4"/>
  <c r="AH249" i="4"/>
  <c r="AF249" i="4"/>
  <c r="AC249" i="4"/>
  <c r="G40" i="6" s="1"/>
  <c r="AB249" i="4"/>
  <c r="AG249" i="4" s="1"/>
  <c r="AA249" i="4"/>
  <c r="Z249" i="4"/>
  <c r="Y249" i="4"/>
  <c r="X249" i="4"/>
  <c r="W249" i="4"/>
  <c r="V249" i="4"/>
  <c r="U249" i="4"/>
  <c r="T249" i="4"/>
  <c r="S249" i="4"/>
  <c r="R249" i="4"/>
  <c r="Q249" i="4"/>
  <c r="F249" i="4"/>
  <c r="AH248" i="4"/>
  <c r="AC248" i="4"/>
  <c r="Z248" i="4"/>
  <c r="Y248" i="4"/>
  <c r="X248" i="4"/>
  <c r="W248" i="4"/>
  <c r="V248" i="4"/>
  <c r="AA248" i="4" s="1"/>
  <c r="U248" i="4"/>
  <c r="T248" i="4"/>
  <c r="S248" i="4"/>
  <c r="R248" i="4"/>
  <c r="Q248" i="4"/>
  <c r="F248" i="4"/>
  <c r="AH247" i="4"/>
  <c r="AC247" i="4"/>
  <c r="G38" i="6" s="1"/>
  <c r="AA247" i="4"/>
  <c r="AF247" i="4" s="1"/>
  <c r="Z247" i="4"/>
  <c r="Y247" i="4"/>
  <c r="X247" i="4"/>
  <c r="W247" i="4"/>
  <c r="V247" i="4"/>
  <c r="U247" i="4"/>
  <c r="T247" i="4"/>
  <c r="S247" i="4"/>
  <c r="R247" i="4"/>
  <c r="Q247" i="4"/>
  <c r="F247" i="4"/>
  <c r="AH246" i="4"/>
  <c r="AF246" i="4"/>
  <c r="AC246" i="4"/>
  <c r="G37" i="6" s="1"/>
  <c r="AB246" i="4"/>
  <c r="AG246" i="4" s="1"/>
  <c r="AA246" i="4"/>
  <c r="Z246" i="4"/>
  <c r="Y246" i="4"/>
  <c r="X246" i="4"/>
  <c r="W246" i="4"/>
  <c r="V246" i="4"/>
  <c r="U246" i="4"/>
  <c r="T246" i="4"/>
  <c r="S246" i="4"/>
  <c r="R246" i="4"/>
  <c r="Q246" i="4"/>
  <c r="F246" i="4"/>
  <c r="AH245" i="4"/>
  <c r="AC245" i="4"/>
  <c r="Z245" i="4"/>
  <c r="Y245" i="4"/>
  <c r="X245" i="4"/>
  <c r="W245" i="4"/>
  <c r="V245" i="4"/>
  <c r="U245" i="4"/>
  <c r="T245" i="4"/>
  <c r="S245" i="4"/>
  <c r="R245" i="4"/>
  <c r="Q245" i="4"/>
  <c r="F245" i="4"/>
  <c r="AH244" i="4"/>
  <c r="AC244" i="4"/>
  <c r="Z244" i="4"/>
  <c r="Y244" i="4"/>
  <c r="X244" i="4"/>
  <c r="W244" i="4"/>
  <c r="V244" i="4"/>
  <c r="U244" i="4"/>
  <c r="T244" i="4"/>
  <c r="S244" i="4"/>
  <c r="R244" i="4"/>
  <c r="Q244" i="4"/>
  <c r="F244" i="4"/>
  <c r="AH243" i="4"/>
  <c r="AC243" i="4"/>
  <c r="G34" i="6" s="1"/>
  <c r="AA243" i="4"/>
  <c r="AF243" i="4" s="1"/>
  <c r="Z243" i="4"/>
  <c r="Y243" i="4"/>
  <c r="X243" i="4"/>
  <c r="W243" i="4"/>
  <c r="V243" i="4"/>
  <c r="U243" i="4"/>
  <c r="T243" i="4"/>
  <c r="S243" i="4"/>
  <c r="R243" i="4"/>
  <c r="Q243" i="4"/>
  <c r="F243" i="4"/>
  <c r="AH242" i="4"/>
  <c r="AC242" i="4"/>
  <c r="G33" i="6" s="1"/>
  <c r="AA242" i="4"/>
  <c r="AB242" i="4" s="1"/>
  <c r="AG242" i="4" s="1"/>
  <c r="Z242" i="4"/>
  <c r="Y242" i="4"/>
  <c r="X242" i="4"/>
  <c r="W242" i="4"/>
  <c r="V242" i="4"/>
  <c r="U242" i="4"/>
  <c r="T242" i="4"/>
  <c r="S242" i="4"/>
  <c r="R242" i="4"/>
  <c r="Q242" i="4"/>
  <c r="F242" i="4"/>
  <c r="AH241" i="4"/>
  <c r="AC241" i="4"/>
  <c r="Z241" i="4"/>
  <c r="Y241" i="4"/>
  <c r="X241" i="4"/>
  <c r="W241" i="4"/>
  <c r="V241" i="4"/>
  <c r="U241" i="4"/>
  <c r="T241" i="4"/>
  <c r="S241" i="4"/>
  <c r="R241" i="4"/>
  <c r="Q241" i="4"/>
  <c r="F241" i="4"/>
  <c r="AH240" i="4"/>
  <c r="AC240" i="4"/>
  <c r="Z240" i="4"/>
  <c r="Y240" i="4"/>
  <c r="X240" i="4"/>
  <c r="W240" i="4"/>
  <c r="V240" i="4"/>
  <c r="U240" i="4"/>
  <c r="T240" i="4"/>
  <c r="S240" i="4"/>
  <c r="AA240" i="4" s="1"/>
  <c r="R240" i="4"/>
  <c r="Q240" i="4"/>
  <c r="F240" i="4"/>
  <c r="AH239" i="4"/>
  <c r="AC239" i="4"/>
  <c r="Z239" i="4"/>
  <c r="Y239" i="4"/>
  <c r="X239" i="4"/>
  <c r="W239" i="4"/>
  <c r="V239" i="4"/>
  <c r="U239" i="4"/>
  <c r="T239" i="4"/>
  <c r="S239" i="4"/>
  <c r="R239" i="4"/>
  <c r="Q239" i="4"/>
  <c r="F239" i="4"/>
  <c r="AH238" i="4"/>
  <c r="AC238" i="4"/>
  <c r="Z238" i="4"/>
  <c r="Y238" i="4"/>
  <c r="X238" i="4"/>
  <c r="W238" i="4"/>
  <c r="V238" i="4"/>
  <c r="U238" i="4"/>
  <c r="T238" i="4"/>
  <c r="AA238" i="4" s="1"/>
  <c r="S238" i="4"/>
  <c r="R238" i="4"/>
  <c r="Q238" i="4"/>
  <c r="F238" i="4"/>
  <c r="AH237" i="4"/>
  <c r="AC237" i="4"/>
  <c r="Z237" i="4"/>
  <c r="Y237" i="4"/>
  <c r="X237" i="4"/>
  <c r="W237" i="4"/>
  <c r="V237" i="4"/>
  <c r="U237" i="4"/>
  <c r="T237" i="4"/>
  <c r="S237" i="4"/>
  <c r="R237" i="4"/>
  <c r="Q237" i="4"/>
  <c r="F237" i="4"/>
  <c r="AH236" i="4"/>
  <c r="AC236" i="4"/>
  <c r="Z236" i="4"/>
  <c r="Y236" i="4"/>
  <c r="X236" i="4"/>
  <c r="W236" i="4"/>
  <c r="V236" i="4"/>
  <c r="U236" i="4"/>
  <c r="T236" i="4"/>
  <c r="S236" i="4"/>
  <c r="R236" i="4"/>
  <c r="AA236" i="4" s="1"/>
  <c r="Q236" i="4"/>
  <c r="F236" i="4"/>
  <c r="AH235" i="4"/>
  <c r="AC235" i="4"/>
  <c r="Z235" i="4"/>
  <c r="AA235" i="4" s="1"/>
  <c r="Y235" i="4"/>
  <c r="X235" i="4"/>
  <c r="W235" i="4"/>
  <c r="V235" i="4"/>
  <c r="U235" i="4"/>
  <c r="T235" i="4"/>
  <c r="S235" i="4"/>
  <c r="R235" i="4"/>
  <c r="Q235" i="4"/>
  <c r="F235" i="4"/>
  <c r="AH234" i="4"/>
  <c r="AC234" i="4"/>
  <c r="Z234" i="4"/>
  <c r="Y234" i="4"/>
  <c r="X234" i="4"/>
  <c r="W234" i="4"/>
  <c r="V234" i="4"/>
  <c r="U234" i="4"/>
  <c r="T234" i="4"/>
  <c r="S234" i="4"/>
  <c r="R234" i="4"/>
  <c r="Q234" i="4"/>
  <c r="F234" i="4"/>
  <c r="AH233" i="4"/>
  <c r="AC233" i="4"/>
  <c r="Z233" i="4"/>
  <c r="Y233" i="4"/>
  <c r="X233" i="4"/>
  <c r="W233" i="4"/>
  <c r="V233" i="4"/>
  <c r="U233" i="4"/>
  <c r="T233" i="4"/>
  <c r="S233" i="4"/>
  <c r="R233" i="4"/>
  <c r="Q233" i="4"/>
  <c r="F233" i="4"/>
  <c r="AH232" i="4"/>
  <c r="AC232" i="4"/>
  <c r="Z232" i="4"/>
  <c r="Y232" i="4"/>
  <c r="AA232" i="4" s="1"/>
  <c r="X232" i="4"/>
  <c r="W232" i="4"/>
  <c r="V232" i="4"/>
  <c r="U232" i="4"/>
  <c r="T232" i="4"/>
  <c r="S232" i="4"/>
  <c r="R232" i="4"/>
  <c r="Q232" i="4"/>
  <c r="F232" i="4"/>
  <c r="AH231" i="4"/>
  <c r="AC231" i="4"/>
  <c r="Z231" i="4"/>
  <c r="Y231" i="4"/>
  <c r="X231" i="4"/>
  <c r="W231" i="4"/>
  <c r="V231" i="4"/>
  <c r="U231" i="4"/>
  <c r="T231" i="4"/>
  <c r="S231" i="4"/>
  <c r="R231" i="4"/>
  <c r="Q231" i="4"/>
  <c r="AA231" i="4" s="1"/>
  <c r="F231" i="4"/>
  <c r="AH230" i="4"/>
  <c r="AC230" i="4"/>
  <c r="Z230" i="4"/>
  <c r="Y230" i="4"/>
  <c r="X230" i="4"/>
  <c r="W230" i="4"/>
  <c r="V230" i="4"/>
  <c r="U230" i="4"/>
  <c r="T230" i="4"/>
  <c r="S230" i="4"/>
  <c r="R230" i="4"/>
  <c r="Q230" i="4"/>
  <c r="AA230" i="4" s="1"/>
  <c r="F230" i="4"/>
  <c r="AH229" i="4"/>
  <c r="AF229" i="4"/>
  <c r="AC229" i="4"/>
  <c r="G20" i="6" s="1"/>
  <c r="AA229" i="4"/>
  <c r="AB229" i="4" s="1"/>
  <c r="AG229" i="4" s="1"/>
  <c r="Z229" i="4"/>
  <c r="Y229" i="4"/>
  <c r="X229" i="4"/>
  <c r="W229" i="4"/>
  <c r="V229" i="4"/>
  <c r="U229" i="4"/>
  <c r="T229" i="4"/>
  <c r="S229" i="4"/>
  <c r="R229" i="4"/>
  <c r="Q229" i="4"/>
  <c r="F229" i="4"/>
  <c r="AH228" i="4"/>
  <c r="AC228" i="4"/>
  <c r="G19" i="6" s="1"/>
  <c r="AA228" i="4"/>
  <c r="Z228" i="4"/>
  <c r="Y228" i="4"/>
  <c r="X228" i="4"/>
  <c r="W228" i="4"/>
  <c r="V228" i="4"/>
  <c r="U228" i="4"/>
  <c r="T228" i="4"/>
  <c r="S228" i="4"/>
  <c r="R228" i="4"/>
  <c r="Q228" i="4"/>
  <c r="F228" i="4"/>
  <c r="AH227" i="4"/>
  <c r="AF227" i="4"/>
  <c r="AC227" i="4"/>
  <c r="G18" i="6" s="1"/>
  <c r="AB227" i="4"/>
  <c r="AG227" i="4" s="1"/>
  <c r="AA227" i="4"/>
  <c r="Z227" i="4"/>
  <c r="Y227" i="4"/>
  <c r="X227" i="4"/>
  <c r="W227" i="4"/>
  <c r="V227" i="4"/>
  <c r="U227" i="4"/>
  <c r="T227" i="4"/>
  <c r="S227" i="4"/>
  <c r="R227" i="4"/>
  <c r="Q227" i="4"/>
  <c r="F227" i="4"/>
  <c r="AH226" i="4"/>
  <c r="AC226" i="4"/>
  <c r="G17" i="6" s="1"/>
  <c r="AA226" i="4"/>
  <c r="AF226" i="4" s="1"/>
  <c r="Z226" i="4"/>
  <c r="Y226" i="4"/>
  <c r="X226" i="4"/>
  <c r="W226" i="4"/>
  <c r="V226" i="4"/>
  <c r="U226" i="4"/>
  <c r="T226" i="4"/>
  <c r="S226" i="4"/>
  <c r="R226" i="4"/>
  <c r="Q226" i="4"/>
  <c r="F226" i="4"/>
  <c r="AH225" i="4"/>
  <c r="AF225" i="4"/>
  <c r="AC225" i="4"/>
  <c r="G16" i="6" s="1"/>
  <c r="AA225" i="4"/>
  <c r="AB225" i="4" s="1"/>
  <c r="AG225" i="4" s="1"/>
  <c r="Z225" i="4"/>
  <c r="Y225" i="4"/>
  <c r="X225" i="4"/>
  <c r="W225" i="4"/>
  <c r="V225" i="4"/>
  <c r="U225" i="4"/>
  <c r="T225" i="4"/>
  <c r="S225" i="4"/>
  <c r="R225" i="4"/>
  <c r="Q225" i="4"/>
  <c r="F225" i="4"/>
  <c r="AH224" i="4"/>
  <c r="AF224" i="4"/>
  <c r="AC224" i="4"/>
  <c r="G15" i="6" s="1"/>
  <c r="AA224" i="4"/>
  <c r="AB224" i="4" s="1"/>
  <c r="AG224" i="4" s="1"/>
  <c r="Z224" i="4"/>
  <c r="Y224" i="4"/>
  <c r="X224" i="4"/>
  <c r="W224" i="4"/>
  <c r="V224" i="4"/>
  <c r="U224" i="4"/>
  <c r="T224" i="4"/>
  <c r="S224" i="4"/>
  <c r="R224" i="4"/>
  <c r="Q224" i="4"/>
  <c r="F224" i="4"/>
  <c r="AH223" i="4"/>
  <c r="AC223" i="4"/>
  <c r="G14" i="6" s="1"/>
  <c r="AA223" i="4"/>
  <c r="Z223" i="4"/>
  <c r="Y223" i="4"/>
  <c r="X223" i="4"/>
  <c r="W223" i="4"/>
  <c r="V223" i="4"/>
  <c r="U223" i="4"/>
  <c r="T223" i="4"/>
  <c r="S223" i="4"/>
  <c r="R223" i="4"/>
  <c r="Q223" i="4"/>
  <c r="F223" i="4"/>
  <c r="AH222" i="4"/>
  <c r="AF222" i="4"/>
  <c r="AC222" i="4"/>
  <c r="G13" i="6" s="1"/>
  <c r="AB222" i="4"/>
  <c r="AG222" i="4" s="1"/>
  <c r="AA222" i="4"/>
  <c r="Z222" i="4"/>
  <c r="Y222" i="4"/>
  <c r="X222" i="4"/>
  <c r="W222" i="4"/>
  <c r="V222" i="4"/>
  <c r="U222" i="4"/>
  <c r="T222" i="4"/>
  <c r="S222" i="4"/>
  <c r="R222" i="4"/>
  <c r="Q222" i="4"/>
  <c r="F222" i="4"/>
  <c r="AH221" i="4"/>
  <c r="AC221" i="4"/>
  <c r="G12" i="6" s="1"/>
  <c r="AB221" i="4"/>
  <c r="AG221" i="4" s="1"/>
  <c r="AA221" i="4"/>
  <c r="AF221" i="4" s="1"/>
  <c r="Z221" i="4"/>
  <c r="Y221" i="4"/>
  <c r="X221" i="4"/>
  <c r="W221" i="4"/>
  <c r="V221" i="4"/>
  <c r="U221" i="4"/>
  <c r="T221" i="4"/>
  <c r="S221" i="4"/>
  <c r="R221" i="4"/>
  <c r="Q221" i="4"/>
  <c r="F221" i="4"/>
  <c r="AH220" i="4"/>
  <c r="AF220" i="4"/>
  <c r="AC220" i="4"/>
  <c r="G11" i="6" s="1"/>
  <c r="AB220" i="4"/>
  <c r="AG220" i="4" s="1"/>
  <c r="AA220" i="4"/>
  <c r="Z220" i="4"/>
  <c r="Y220" i="4"/>
  <c r="X220" i="4"/>
  <c r="W220" i="4"/>
  <c r="V220" i="4"/>
  <c r="U220" i="4"/>
  <c r="T220" i="4"/>
  <c r="S220" i="4"/>
  <c r="R220" i="4"/>
  <c r="Q220" i="4"/>
  <c r="F220" i="4"/>
  <c r="AH219" i="4"/>
  <c r="AF219" i="4"/>
  <c r="AC219" i="4"/>
  <c r="G10" i="6" s="1"/>
  <c r="AB219" i="4"/>
  <c r="AG219" i="4" s="1"/>
  <c r="AA219" i="4"/>
  <c r="Z219" i="4"/>
  <c r="Y219" i="4"/>
  <c r="X219" i="4"/>
  <c r="W219" i="4"/>
  <c r="V219" i="4"/>
  <c r="U219" i="4"/>
  <c r="T219" i="4"/>
  <c r="S219" i="4"/>
  <c r="R219" i="4"/>
  <c r="Q219" i="4"/>
  <c r="F219" i="4"/>
  <c r="AH218" i="4"/>
  <c r="AC218" i="4"/>
  <c r="G9" i="6" s="1"/>
  <c r="AA218" i="4"/>
  <c r="AF218" i="4" s="1"/>
  <c r="Z218" i="4"/>
  <c r="Y218" i="4"/>
  <c r="X218" i="4"/>
  <c r="W218" i="4"/>
  <c r="V218" i="4"/>
  <c r="U218" i="4"/>
  <c r="T218" i="4"/>
  <c r="S218" i="4"/>
  <c r="R218" i="4"/>
  <c r="Q218" i="4"/>
  <c r="F218" i="4"/>
  <c r="AH217" i="4"/>
  <c r="AC217" i="4"/>
  <c r="G8" i="6" s="1"/>
  <c r="AA217" i="4"/>
  <c r="AB217" i="4" s="1"/>
  <c r="AG217" i="4" s="1"/>
  <c r="Z217" i="4"/>
  <c r="Y217" i="4"/>
  <c r="X217" i="4"/>
  <c r="W217" i="4"/>
  <c r="V217" i="4"/>
  <c r="U217" i="4"/>
  <c r="T217" i="4"/>
  <c r="S217" i="4"/>
  <c r="R217" i="4"/>
  <c r="Q217" i="4"/>
  <c r="F217" i="4"/>
  <c r="AH216" i="4"/>
  <c r="AF216" i="4"/>
  <c r="AC216" i="4"/>
  <c r="G7" i="6" s="1"/>
  <c r="AA216" i="4"/>
  <c r="AB216" i="4" s="1"/>
  <c r="AG216" i="4" s="1"/>
  <c r="Z216" i="4"/>
  <c r="Y216" i="4"/>
  <c r="X216" i="4"/>
  <c r="W216" i="4"/>
  <c r="V216" i="4"/>
  <c r="U216" i="4"/>
  <c r="T216" i="4"/>
  <c r="S216" i="4"/>
  <c r="R216" i="4"/>
  <c r="Q216" i="4"/>
  <c r="F216" i="4"/>
  <c r="AH215" i="4"/>
  <c r="AF215" i="4"/>
  <c r="AC215" i="4"/>
  <c r="G6" i="6" s="1"/>
  <c r="AB215" i="4"/>
  <c r="AG215" i="4" s="1"/>
  <c r="AA215" i="4"/>
  <c r="Z215" i="4"/>
  <c r="Y215" i="4"/>
  <c r="X215" i="4"/>
  <c r="W215" i="4"/>
  <c r="V215" i="4"/>
  <c r="U215" i="4"/>
  <c r="T215" i="4"/>
  <c r="S215" i="4"/>
  <c r="R215" i="4"/>
  <c r="Q215" i="4"/>
  <c r="F215" i="4"/>
  <c r="AH214" i="4"/>
  <c r="AF214" i="4"/>
  <c r="AC214" i="4"/>
  <c r="G5" i="6" s="1"/>
  <c r="AB214" i="4"/>
  <c r="AG214" i="4" s="1"/>
  <c r="AA214" i="4"/>
  <c r="Z214" i="4"/>
  <c r="Y214" i="4"/>
  <c r="X214" i="4"/>
  <c r="W214" i="4"/>
  <c r="V214" i="4"/>
  <c r="U214" i="4"/>
  <c r="T214" i="4"/>
  <c r="S214" i="4"/>
  <c r="R214" i="4"/>
  <c r="Q214" i="4"/>
  <c r="F214" i="4"/>
  <c r="AH213" i="4"/>
  <c r="AC213" i="4"/>
  <c r="AA213" i="4"/>
  <c r="AF213" i="4" s="1"/>
  <c r="Z213" i="4"/>
  <c r="Y213" i="4"/>
  <c r="X213" i="4"/>
  <c r="W213" i="4"/>
  <c r="V213" i="4"/>
  <c r="U213" i="4"/>
  <c r="T213" i="4"/>
  <c r="S213" i="4"/>
  <c r="R213" i="4"/>
  <c r="Q213" i="4"/>
  <c r="F213" i="4"/>
  <c r="AH212" i="4"/>
  <c r="AF212" i="4"/>
  <c r="AC212" i="4"/>
  <c r="F45" i="6" s="1"/>
  <c r="AB212" i="4"/>
  <c r="AG212" i="4" s="1"/>
  <c r="AA212" i="4"/>
  <c r="Z212" i="4"/>
  <c r="Y212" i="4"/>
  <c r="X212" i="4"/>
  <c r="W212" i="4"/>
  <c r="V212" i="4"/>
  <c r="U212" i="4"/>
  <c r="T212" i="4"/>
  <c r="S212" i="4"/>
  <c r="R212" i="4"/>
  <c r="Q212" i="4"/>
  <c r="F212" i="4"/>
  <c r="AH211" i="4"/>
  <c r="AC211" i="4"/>
  <c r="F44" i="6" s="1"/>
  <c r="AA211" i="4"/>
  <c r="AF211" i="4" s="1"/>
  <c r="Z211" i="4"/>
  <c r="Y211" i="4"/>
  <c r="X211" i="4"/>
  <c r="W211" i="4"/>
  <c r="V211" i="4"/>
  <c r="U211" i="4"/>
  <c r="T211" i="4"/>
  <c r="S211" i="4"/>
  <c r="R211" i="4"/>
  <c r="Q211" i="4"/>
  <c r="F211" i="4"/>
  <c r="AH210" i="4"/>
  <c r="AF210" i="4"/>
  <c r="AC210" i="4"/>
  <c r="F43" i="6" s="1"/>
  <c r="AA210" i="4"/>
  <c r="AB210" i="4" s="1"/>
  <c r="AG210" i="4" s="1"/>
  <c r="Z210" i="4"/>
  <c r="Y210" i="4"/>
  <c r="X210" i="4"/>
  <c r="W210" i="4"/>
  <c r="V210" i="4"/>
  <c r="U210" i="4"/>
  <c r="T210" i="4"/>
  <c r="S210" i="4"/>
  <c r="R210" i="4"/>
  <c r="Q210" i="4"/>
  <c r="F210" i="4"/>
  <c r="AH209" i="4"/>
  <c r="AC209" i="4"/>
  <c r="F42" i="6" s="1"/>
  <c r="AA209" i="4"/>
  <c r="Z209" i="4"/>
  <c r="Y209" i="4"/>
  <c r="X209" i="4"/>
  <c r="W209" i="4"/>
  <c r="V209" i="4"/>
  <c r="U209" i="4"/>
  <c r="T209" i="4"/>
  <c r="S209" i="4"/>
  <c r="R209" i="4"/>
  <c r="Q209" i="4"/>
  <c r="F209" i="4"/>
  <c r="AH208" i="4"/>
  <c r="AF208" i="4"/>
  <c r="AC208" i="4"/>
  <c r="F41" i="6" s="1"/>
  <c r="AB208" i="4"/>
  <c r="AG208" i="4" s="1"/>
  <c r="AA208" i="4"/>
  <c r="Z208" i="4"/>
  <c r="Y208" i="4"/>
  <c r="X208" i="4"/>
  <c r="W208" i="4"/>
  <c r="V208" i="4"/>
  <c r="U208" i="4"/>
  <c r="T208" i="4"/>
  <c r="S208" i="4"/>
  <c r="R208" i="4"/>
  <c r="Q208" i="4"/>
  <c r="F208" i="4"/>
  <c r="AH207" i="4"/>
  <c r="AC207" i="4"/>
  <c r="F40" i="6" s="1"/>
  <c r="AB207" i="4"/>
  <c r="AG207" i="4" s="1"/>
  <c r="AA207" i="4"/>
  <c r="AF207" i="4" s="1"/>
  <c r="Z207" i="4"/>
  <c r="Y207" i="4"/>
  <c r="X207" i="4"/>
  <c r="W207" i="4"/>
  <c r="V207" i="4"/>
  <c r="U207" i="4"/>
  <c r="T207" i="4"/>
  <c r="S207" i="4"/>
  <c r="R207" i="4"/>
  <c r="Q207" i="4"/>
  <c r="F207" i="4"/>
  <c r="AH206" i="4"/>
  <c r="AF206" i="4"/>
  <c r="AC206" i="4"/>
  <c r="F39" i="6" s="1"/>
  <c r="AB206" i="4"/>
  <c r="AG206" i="4" s="1"/>
  <c r="AA206" i="4"/>
  <c r="Z206" i="4"/>
  <c r="Y206" i="4"/>
  <c r="X206" i="4"/>
  <c r="W206" i="4"/>
  <c r="V206" i="4"/>
  <c r="U206" i="4"/>
  <c r="T206" i="4"/>
  <c r="S206" i="4"/>
  <c r="R206" i="4"/>
  <c r="Q206" i="4"/>
  <c r="F206" i="4"/>
  <c r="AH205" i="4"/>
  <c r="AF205" i="4"/>
  <c r="AC205" i="4"/>
  <c r="F38" i="6" s="1"/>
  <c r="AB205" i="4"/>
  <c r="AG205" i="4" s="1"/>
  <c r="AA205" i="4"/>
  <c r="Z205" i="4"/>
  <c r="Y205" i="4"/>
  <c r="X205" i="4"/>
  <c r="W205" i="4"/>
  <c r="V205" i="4"/>
  <c r="U205" i="4"/>
  <c r="T205" i="4"/>
  <c r="S205" i="4"/>
  <c r="R205" i="4"/>
  <c r="Q205" i="4"/>
  <c r="F205" i="4"/>
  <c r="AH204" i="4"/>
  <c r="AC204" i="4"/>
  <c r="F37" i="6" s="1"/>
  <c r="AA204" i="4"/>
  <c r="AF204" i="4" s="1"/>
  <c r="Z204" i="4"/>
  <c r="Y204" i="4"/>
  <c r="X204" i="4"/>
  <c r="W204" i="4"/>
  <c r="V204" i="4"/>
  <c r="U204" i="4"/>
  <c r="T204" i="4"/>
  <c r="S204" i="4"/>
  <c r="R204" i="4"/>
  <c r="Q204" i="4"/>
  <c r="F204" i="4"/>
  <c r="AH203" i="4"/>
  <c r="AF203" i="4"/>
  <c r="AC203" i="4"/>
  <c r="F36" i="6" s="1"/>
  <c r="AA203" i="4"/>
  <c r="AB203" i="4" s="1"/>
  <c r="AG203" i="4" s="1"/>
  <c r="Z203" i="4"/>
  <c r="Y203" i="4"/>
  <c r="X203" i="4"/>
  <c r="W203" i="4"/>
  <c r="V203" i="4"/>
  <c r="U203" i="4"/>
  <c r="T203" i="4"/>
  <c r="S203" i="4"/>
  <c r="R203" i="4"/>
  <c r="Q203" i="4"/>
  <c r="F203" i="4"/>
  <c r="AH202" i="4"/>
  <c r="AF202" i="4"/>
  <c r="AC202" i="4"/>
  <c r="F35" i="6" s="1"/>
  <c r="AA202" i="4"/>
  <c r="AB202" i="4" s="1"/>
  <c r="AG202" i="4" s="1"/>
  <c r="Z202" i="4"/>
  <c r="Y202" i="4"/>
  <c r="X202" i="4"/>
  <c r="W202" i="4"/>
  <c r="V202" i="4"/>
  <c r="U202" i="4"/>
  <c r="T202" i="4"/>
  <c r="S202" i="4"/>
  <c r="R202" i="4"/>
  <c r="Q202" i="4"/>
  <c r="F202" i="4"/>
  <c r="AH201" i="4"/>
  <c r="AF201" i="4"/>
  <c r="AC201" i="4"/>
  <c r="F34" i="6" s="1"/>
  <c r="AB201" i="4"/>
  <c r="AG201" i="4" s="1"/>
  <c r="AA201" i="4"/>
  <c r="Z201" i="4"/>
  <c r="Y201" i="4"/>
  <c r="X201" i="4"/>
  <c r="W201" i="4"/>
  <c r="V201" i="4"/>
  <c r="U201" i="4"/>
  <c r="T201" i="4"/>
  <c r="S201" i="4"/>
  <c r="R201" i="4"/>
  <c r="Q201" i="4"/>
  <c r="F201" i="4"/>
  <c r="AH200" i="4"/>
  <c r="AF200" i="4"/>
  <c r="AC200" i="4"/>
  <c r="F33" i="6" s="1"/>
  <c r="AB200" i="4"/>
  <c r="AG200" i="4" s="1"/>
  <c r="AA200" i="4"/>
  <c r="Z200" i="4"/>
  <c r="Y200" i="4"/>
  <c r="X200" i="4"/>
  <c r="W200" i="4"/>
  <c r="V200" i="4"/>
  <c r="U200" i="4"/>
  <c r="T200" i="4"/>
  <c r="S200" i="4"/>
  <c r="R200" i="4"/>
  <c r="Q200" i="4"/>
  <c r="F200" i="4"/>
  <c r="AH199" i="4"/>
  <c r="AC199" i="4"/>
  <c r="F32" i="6" s="1"/>
  <c r="AA199" i="4"/>
  <c r="AF199" i="4" s="1"/>
  <c r="Z199" i="4"/>
  <c r="Y199" i="4"/>
  <c r="X199" i="4"/>
  <c r="W199" i="4"/>
  <c r="V199" i="4"/>
  <c r="U199" i="4"/>
  <c r="T199" i="4"/>
  <c r="S199" i="4"/>
  <c r="R199" i="4"/>
  <c r="Q199" i="4"/>
  <c r="F199" i="4"/>
  <c r="AH198" i="4"/>
  <c r="AF198" i="4"/>
  <c r="AC198" i="4"/>
  <c r="F31" i="6" s="1"/>
  <c r="AB198" i="4"/>
  <c r="AG198" i="4" s="1"/>
  <c r="AA198" i="4"/>
  <c r="Z198" i="4"/>
  <c r="Y198" i="4"/>
  <c r="X198" i="4"/>
  <c r="W198" i="4"/>
  <c r="V198" i="4"/>
  <c r="U198" i="4"/>
  <c r="T198" i="4"/>
  <c r="S198" i="4"/>
  <c r="R198" i="4"/>
  <c r="Q198" i="4"/>
  <c r="F198" i="4"/>
  <c r="AH197" i="4"/>
  <c r="AC197" i="4"/>
  <c r="F30" i="6" s="1"/>
  <c r="AA197" i="4"/>
  <c r="AF197" i="4" s="1"/>
  <c r="Z197" i="4"/>
  <c r="Y197" i="4"/>
  <c r="X197" i="4"/>
  <c r="W197" i="4"/>
  <c r="V197" i="4"/>
  <c r="U197" i="4"/>
  <c r="T197" i="4"/>
  <c r="S197" i="4"/>
  <c r="R197" i="4"/>
  <c r="Q197" i="4"/>
  <c r="F197" i="4"/>
  <c r="AH196" i="4"/>
  <c r="AF196" i="4"/>
  <c r="AC196" i="4"/>
  <c r="F29" i="6" s="1"/>
  <c r="AA196" i="4"/>
  <c r="AB196" i="4" s="1"/>
  <c r="AG196" i="4" s="1"/>
  <c r="Z196" i="4"/>
  <c r="Y196" i="4"/>
  <c r="X196" i="4"/>
  <c r="W196" i="4"/>
  <c r="V196" i="4"/>
  <c r="U196" i="4"/>
  <c r="T196" i="4"/>
  <c r="S196" i="4"/>
  <c r="R196" i="4"/>
  <c r="Q196" i="4"/>
  <c r="F196" i="4"/>
  <c r="AH195" i="4"/>
  <c r="AC195" i="4"/>
  <c r="F28" i="6" s="1"/>
  <c r="AA195" i="4"/>
  <c r="Z195" i="4"/>
  <c r="Y195" i="4"/>
  <c r="X195" i="4"/>
  <c r="W195" i="4"/>
  <c r="V195" i="4"/>
  <c r="U195" i="4"/>
  <c r="T195" i="4"/>
  <c r="S195" i="4"/>
  <c r="R195" i="4"/>
  <c r="Q195" i="4"/>
  <c r="F195" i="4"/>
  <c r="AH194" i="4"/>
  <c r="AF194" i="4"/>
  <c r="AC194" i="4"/>
  <c r="F27" i="6" s="1"/>
  <c r="AB194" i="4"/>
  <c r="AG194" i="4" s="1"/>
  <c r="AA194" i="4"/>
  <c r="Z194" i="4"/>
  <c r="Y194" i="4"/>
  <c r="X194" i="4"/>
  <c r="W194" i="4"/>
  <c r="V194" i="4"/>
  <c r="U194" i="4"/>
  <c r="T194" i="4"/>
  <c r="S194" i="4"/>
  <c r="R194" i="4"/>
  <c r="Q194" i="4"/>
  <c r="F194" i="4"/>
  <c r="AH193" i="4"/>
  <c r="AC193" i="4"/>
  <c r="F26" i="6" s="1"/>
  <c r="AA193" i="4"/>
  <c r="AF193" i="4" s="1"/>
  <c r="Z193" i="4"/>
  <c r="Y193" i="4"/>
  <c r="X193" i="4"/>
  <c r="W193" i="4"/>
  <c r="V193" i="4"/>
  <c r="U193" i="4"/>
  <c r="T193" i="4"/>
  <c r="S193" i="4"/>
  <c r="R193" i="4"/>
  <c r="Q193" i="4"/>
  <c r="F193" i="4"/>
  <c r="AH192" i="4"/>
  <c r="AF192" i="4"/>
  <c r="AC192" i="4"/>
  <c r="F25" i="6" s="1"/>
  <c r="AB192" i="4"/>
  <c r="AG192" i="4" s="1"/>
  <c r="AA192" i="4"/>
  <c r="Z192" i="4"/>
  <c r="Y192" i="4"/>
  <c r="X192" i="4"/>
  <c r="W192" i="4"/>
  <c r="V192" i="4"/>
  <c r="U192" i="4"/>
  <c r="T192" i="4"/>
  <c r="S192" i="4"/>
  <c r="R192" i="4"/>
  <c r="Q192" i="4"/>
  <c r="F192" i="4"/>
  <c r="AH191" i="4"/>
  <c r="AF191" i="4"/>
  <c r="AC191" i="4"/>
  <c r="F24" i="6" s="1"/>
  <c r="AB191" i="4"/>
  <c r="AG191" i="4" s="1"/>
  <c r="AA191" i="4"/>
  <c r="Z191" i="4"/>
  <c r="Y191" i="4"/>
  <c r="X191" i="4"/>
  <c r="W191" i="4"/>
  <c r="V191" i="4"/>
  <c r="U191" i="4"/>
  <c r="T191" i="4"/>
  <c r="S191" i="4"/>
  <c r="R191" i="4"/>
  <c r="Q191" i="4"/>
  <c r="F191" i="4"/>
  <c r="AH190" i="4"/>
  <c r="AC190" i="4"/>
  <c r="F23" i="6" s="1"/>
  <c r="AA190" i="4"/>
  <c r="AF190" i="4" s="1"/>
  <c r="Z190" i="4"/>
  <c r="Y190" i="4"/>
  <c r="X190" i="4"/>
  <c r="W190" i="4"/>
  <c r="V190" i="4"/>
  <c r="U190" i="4"/>
  <c r="T190" i="4"/>
  <c r="S190" i="4"/>
  <c r="R190" i="4"/>
  <c r="Q190" i="4"/>
  <c r="F190" i="4"/>
  <c r="AH189" i="4"/>
  <c r="AC189" i="4"/>
  <c r="F22" i="6" s="1"/>
  <c r="AA189" i="4"/>
  <c r="AB189" i="4" s="1"/>
  <c r="AG189" i="4" s="1"/>
  <c r="Z189" i="4"/>
  <c r="Y189" i="4"/>
  <c r="X189" i="4"/>
  <c r="W189" i="4"/>
  <c r="V189" i="4"/>
  <c r="U189" i="4"/>
  <c r="T189" i="4"/>
  <c r="S189" i="4"/>
  <c r="R189" i="4"/>
  <c r="Q189" i="4"/>
  <c r="F189" i="4"/>
  <c r="AH188" i="4"/>
  <c r="AF188" i="4"/>
  <c r="AC188" i="4"/>
  <c r="F21" i="6" s="1"/>
  <c r="AB188" i="4"/>
  <c r="AG188" i="4" s="1"/>
  <c r="AA188" i="4"/>
  <c r="Z188" i="4"/>
  <c r="Y188" i="4"/>
  <c r="X188" i="4"/>
  <c r="W188" i="4"/>
  <c r="V188" i="4"/>
  <c r="U188" i="4"/>
  <c r="T188" i="4"/>
  <c r="S188" i="4"/>
  <c r="R188" i="4"/>
  <c r="Q188" i="4"/>
  <c r="F188" i="4"/>
  <c r="AH187" i="4"/>
  <c r="AF187" i="4"/>
  <c r="AC187" i="4"/>
  <c r="F20" i="6" s="1"/>
  <c r="AB187" i="4"/>
  <c r="AG187" i="4" s="1"/>
  <c r="AA187" i="4"/>
  <c r="Z187" i="4"/>
  <c r="Y187" i="4"/>
  <c r="X187" i="4"/>
  <c r="W187" i="4"/>
  <c r="V187" i="4"/>
  <c r="U187" i="4"/>
  <c r="T187" i="4"/>
  <c r="S187" i="4"/>
  <c r="R187" i="4"/>
  <c r="Q187" i="4"/>
  <c r="F187" i="4"/>
  <c r="AH186" i="4"/>
  <c r="AF186" i="4"/>
  <c r="AC186" i="4"/>
  <c r="F19" i="6" s="1"/>
  <c r="AB186" i="4"/>
  <c r="AG186" i="4" s="1"/>
  <c r="AA186" i="4"/>
  <c r="Z186" i="4"/>
  <c r="Y186" i="4"/>
  <c r="X186" i="4"/>
  <c r="W186" i="4"/>
  <c r="V186" i="4"/>
  <c r="U186" i="4"/>
  <c r="T186" i="4"/>
  <c r="S186" i="4"/>
  <c r="R186" i="4"/>
  <c r="Q186" i="4"/>
  <c r="F186" i="4"/>
  <c r="AH185" i="4"/>
  <c r="AC185" i="4"/>
  <c r="F18" i="6" s="1"/>
  <c r="AA185" i="4"/>
  <c r="AF185" i="4" s="1"/>
  <c r="Z185" i="4"/>
  <c r="Y185" i="4"/>
  <c r="X185" i="4"/>
  <c r="W185" i="4"/>
  <c r="V185" i="4"/>
  <c r="U185" i="4"/>
  <c r="T185" i="4"/>
  <c r="S185" i="4"/>
  <c r="R185" i="4"/>
  <c r="Q185" i="4"/>
  <c r="F185" i="4"/>
  <c r="AH184" i="4"/>
  <c r="AF184" i="4"/>
  <c r="AC184" i="4"/>
  <c r="F17" i="6" s="1"/>
  <c r="AA184" i="4"/>
  <c r="AB184" i="4" s="1"/>
  <c r="AG184" i="4" s="1"/>
  <c r="Z184" i="4"/>
  <c r="Y184" i="4"/>
  <c r="X184" i="4"/>
  <c r="W184" i="4"/>
  <c r="V184" i="4"/>
  <c r="U184" i="4"/>
  <c r="T184" i="4"/>
  <c r="S184" i="4"/>
  <c r="R184" i="4"/>
  <c r="Q184" i="4"/>
  <c r="F184" i="4"/>
  <c r="AH183" i="4"/>
  <c r="AC183" i="4"/>
  <c r="F16" i="6" s="1"/>
  <c r="AB183" i="4"/>
  <c r="AG183" i="4" s="1"/>
  <c r="AA183" i="4"/>
  <c r="AF183" i="4" s="1"/>
  <c r="Z183" i="4"/>
  <c r="Y183" i="4"/>
  <c r="X183" i="4"/>
  <c r="W183" i="4"/>
  <c r="V183" i="4"/>
  <c r="U183" i="4"/>
  <c r="T183" i="4"/>
  <c r="S183" i="4"/>
  <c r="R183" i="4"/>
  <c r="Q183" i="4"/>
  <c r="F183" i="4"/>
  <c r="AH182" i="4"/>
  <c r="AF182" i="4"/>
  <c r="AC182" i="4"/>
  <c r="F15" i="6" s="1"/>
  <c r="AA182" i="4"/>
  <c r="AB182" i="4" s="1"/>
  <c r="AG182" i="4" s="1"/>
  <c r="Z182" i="4"/>
  <c r="Y182" i="4"/>
  <c r="X182" i="4"/>
  <c r="W182" i="4"/>
  <c r="V182" i="4"/>
  <c r="U182" i="4"/>
  <c r="T182" i="4"/>
  <c r="S182" i="4"/>
  <c r="R182" i="4"/>
  <c r="Q182" i="4"/>
  <c r="F182" i="4"/>
  <c r="AH181" i="4"/>
  <c r="AC181" i="4"/>
  <c r="F14" i="6" s="1"/>
  <c r="AA181" i="4"/>
  <c r="Z181" i="4"/>
  <c r="Y181" i="4"/>
  <c r="X181" i="4"/>
  <c r="W181" i="4"/>
  <c r="V181" i="4"/>
  <c r="U181" i="4"/>
  <c r="T181" i="4"/>
  <c r="S181" i="4"/>
  <c r="R181" i="4"/>
  <c r="Q181" i="4"/>
  <c r="F181" i="4"/>
  <c r="AH180" i="4"/>
  <c r="AF180" i="4"/>
  <c r="AC180" i="4"/>
  <c r="F13" i="6" s="1"/>
  <c r="AB180" i="4"/>
  <c r="AG180" i="4" s="1"/>
  <c r="AA180" i="4"/>
  <c r="Z180" i="4"/>
  <c r="Y180" i="4"/>
  <c r="X180" i="4"/>
  <c r="W180" i="4"/>
  <c r="V180" i="4"/>
  <c r="U180" i="4"/>
  <c r="T180" i="4"/>
  <c r="S180" i="4"/>
  <c r="R180" i="4"/>
  <c r="Q180" i="4"/>
  <c r="F180" i="4"/>
  <c r="AH179" i="4"/>
  <c r="AC179" i="4"/>
  <c r="F12" i="6" s="1"/>
  <c r="AA179" i="4"/>
  <c r="AF179" i="4" s="1"/>
  <c r="Z179" i="4"/>
  <c r="Y179" i="4"/>
  <c r="X179" i="4"/>
  <c r="W179" i="4"/>
  <c r="V179" i="4"/>
  <c r="U179" i="4"/>
  <c r="T179" i="4"/>
  <c r="S179" i="4"/>
  <c r="R179" i="4"/>
  <c r="Q179" i="4"/>
  <c r="F179" i="4"/>
  <c r="AH178" i="4"/>
  <c r="AF178" i="4"/>
  <c r="AC178" i="4"/>
  <c r="F11" i="6" s="1"/>
  <c r="AB178" i="4"/>
  <c r="AG178" i="4" s="1"/>
  <c r="AA178" i="4"/>
  <c r="Z178" i="4"/>
  <c r="Y178" i="4"/>
  <c r="X178" i="4"/>
  <c r="W178" i="4"/>
  <c r="V178" i="4"/>
  <c r="U178" i="4"/>
  <c r="T178" i="4"/>
  <c r="S178" i="4"/>
  <c r="R178" i="4"/>
  <c r="Q178" i="4"/>
  <c r="F178" i="4"/>
  <c r="AH177" i="4"/>
  <c r="AF177" i="4"/>
  <c r="AC177" i="4"/>
  <c r="F10" i="6" s="1"/>
  <c r="AB177" i="4"/>
  <c r="AG177" i="4" s="1"/>
  <c r="AA177" i="4"/>
  <c r="Z177" i="4"/>
  <c r="Y177" i="4"/>
  <c r="X177" i="4"/>
  <c r="W177" i="4"/>
  <c r="V177" i="4"/>
  <c r="U177" i="4"/>
  <c r="T177" i="4"/>
  <c r="S177" i="4"/>
  <c r="R177" i="4"/>
  <c r="Q177" i="4"/>
  <c r="F177" i="4"/>
  <c r="AH176" i="4"/>
  <c r="AC176" i="4"/>
  <c r="F9" i="6" s="1"/>
  <c r="AA176" i="4"/>
  <c r="AF176" i="4" s="1"/>
  <c r="Z176" i="4"/>
  <c r="Y176" i="4"/>
  <c r="X176" i="4"/>
  <c r="W176" i="4"/>
  <c r="V176" i="4"/>
  <c r="U176" i="4"/>
  <c r="T176" i="4"/>
  <c r="S176" i="4"/>
  <c r="R176" i="4"/>
  <c r="Q176" i="4"/>
  <c r="F176" i="4"/>
  <c r="AH175" i="4"/>
  <c r="AF175" i="4"/>
  <c r="AC175" i="4"/>
  <c r="F8" i="6" s="1"/>
  <c r="AA175" i="4"/>
  <c r="AB175" i="4" s="1"/>
  <c r="AG175" i="4" s="1"/>
  <c r="Z175" i="4"/>
  <c r="Y175" i="4"/>
  <c r="X175" i="4"/>
  <c r="W175" i="4"/>
  <c r="V175" i="4"/>
  <c r="U175" i="4"/>
  <c r="T175" i="4"/>
  <c r="S175" i="4"/>
  <c r="R175" i="4"/>
  <c r="Q175" i="4"/>
  <c r="F175" i="4"/>
  <c r="AH174" i="4"/>
  <c r="AF174" i="4"/>
  <c r="AC174" i="4"/>
  <c r="F7" i="6" s="1"/>
  <c r="AB174" i="4"/>
  <c r="AG174" i="4" s="1"/>
  <c r="AA174" i="4"/>
  <c r="Z174" i="4"/>
  <c r="Y174" i="4"/>
  <c r="X174" i="4"/>
  <c r="W174" i="4"/>
  <c r="V174" i="4"/>
  <c r="U174" i="4"/>
  <c r="T174" i="4"/>
  <c r="S174" i="4"/>
  <c r="R174" i="4"/>
  <c r="Q174" i="4"/>
  <c r="F174" i="4"/>
  <c r="AH173" i="4"/>
  <c r="AF173" i="4"/>
  <c r="AC173" i="4"/>
  <c r="F6" i="6" s="1"/>
  <c r="AB173" i="4"/>
  <c r="AG173" i="4" s="1"/>
  <c r="AA173" i="4"/>
  <c r="Z173" i="4"/>
  <c r="Y173" i="4"/>
  <c r="X173" i="4"/>
  <c r="W173" i="4"/>
  <c r="V173" i="4"/>
  <c r="U173" i="4"/>
  <c r="T173" i="4"/>
  <c r="S173" i="4"/>
  <c r="R173" i="4"/>
  <c r="Q173" i="4"/>
  <c r="F173" i="4"/>
  <c r="AH172" i="4"/>
  <c r="AF172" i="4"/>
  <c r="AC172" i="4"/>
  <c r="F5" i="6" s="1"/>
  <c r="AB172" i="4"/>
  <c r="AG172" i="4" s="1"/>
  <c r="AA172" i="4"/>
  <c r="Z172" i="4"/>
  <c r="Y172" i="4"/>
  <c r="X172" i="4"/>
  <c r="W172" i="4"/>
  <c r="V172" i="4"/>
  <c r="U172" i="4"/>
  <c r="T172" i="4"/>
  <c r="S172" i="4"/>
  <c r="R172" i="4"/>
  <c r="Q172" i="4"/>
  <c r="F172" i="4"/>
  <c r="AH171" i="4"/>
  <c r="AC171" i="4"/>
  <c r="AA171" i="4"/>
  <c r="AF171" i="4" s="1"/>
  <c r="Z171" i="4"/>
  <c r="Y171" i="4"/>
  <c r="X171" i="4"/>
  <c r="W171" i="4"/>
  <c r="V171" i="4"/>
  <c r="U171" i="4"/>
  <c r="T171" i="4"/>
  <c r="S171" i="4"/>
  <c r="R171" i="4"/>
  <c r="Q171" i="4"/>
  <c r="F171" i="4"/>
  <c r="AH170" i="4"/>
  <c r="AC170" i="4"/>
  <c r="E45" i="6" s="1"/>
  <c r="AA170" i="4"/>
  <c r="AF170" i="4" s="1"/>
  <c r="Z170" i="4"/>
  <c r="Y170" i="4"/>
  <c r="X170" i="4"/>
  <c r="W170" i="4"/>
  <c r="V170" i="4"/>
  <c r="U170" i="4"/>
  <c r="T170" i="4"/>
  <c r="S170" i="4"/>
  <c r="R170" i="4"/>
  <c r="Q170" i="4"/>
  <c r="F170" i="4"/>
  <c r="AH169" i="4"/>
  <c r="AF169" i="4"/>
  <c r="AC169" i="4"/>
  <c r="E44" i="6" s="1"/>
  <c r="AB169" i="4"/>
  <c r="AG169" i="4" s="1"/>
  <c r="AA169" i="4"/>
  <c r="Z169" i="4"/>
  <c r="Y169" i="4"/>
  <c r="X169" i="4"/>
  <c r="W169" i="4"/>
  <c r="V169" i="4"/>
  <c r="U169" i="4"/>
  <c r="T169" i="4"/>
  <c r="S169" i="4"/>
  <c r="R169" i="4"/>
  <c r="Q169" i="4"/>
  <c r="F169" i="4"/>
  <c r="AH168" i="4"/>
  <c r="AF168" i="4"/>
  <c r="AC168" i="4"/>
  <c r="E43" i="6" s="1"/>
  <c r="AA168" i="4"/>
  <c r="AB168" i="4" s="1"/>
  <c r="AG168" i="4" s="1"/>
  <c r="Z168" i="4"/>
  <c r="Y168" i="4"/>
  <c r="X168" i="4"/>
  <c r="W168" i="4"/>
  <c r="V168" i="4"/>
  <c r="U168" i="4"/>
  <c r="T168" i="4"/>
  <c r="S168" i="4"/>
  <c r="R168" i="4"/>
  <c r="Q168" i="4"/>
  <c r="F168" i="4"/>
  <c r="AH167" i="4"/>
  <c r="AC167" i="4"/>
  <c r="E42" i="6" s="1"/>
  <c r="AA167" i="4"/>
  <c r="Z167" i="4"/>
  <c r="Y167" i="4"/>
  <c r="X167" i="4"/>
  <c r="W167" i="4"/>
  <c r="V167" i="4"/>
  <c r="U167" i="4"/>
  <c r="T167" i="4"/>
  <c r="S167" i="4"/>
  <c r="R167" i="4"/>
  <c r="Q167" i="4"/>
  <c r="F167" i="4"/>
  <c r="AH166" i="4"/>
  <c r="AC166" i="4"/>
  <c r="E41" i="6" s="1"/>
  <c r="AA166" i="4"/>
  <c r="AF166" i="4" s="1"/>
  <c r="Z166" i="4"/>
  <c r="Y166" i="4"/>
  <c r="X166" i="4"/>
  <c r="W166" i="4"/>
  <c r="V166" i="4"/>
  <c r="U166" i="4"/>
  <c r="T166" i="4"/>
  <c r="S166" i="4"/>
  <c r="R166" i="4"/>
  <c r="Q166" i="4"/>
  <c r="F166" i="4"/>
  <c r="AH165" i="4"/>
  <c r="AF165" i="4"/>
  <c r="AC165" i="4"/>
  <c r="E40" i="6" s="1"/>
  <c r="AB165" i="4"/>
  <c r="AG165" i="4" s="1"/>
  <c r="AA165" i="4"/>
  <c r="Z165" i="4"/>
  <c r="Y165" i="4"/>
  <c r="X165" i="4"/>
  <c r="W165" i="4"/>
  <c r="V165" i="4"/>
  <c r="U165" i="4"/>
  <c r="T165" i="4"/>
  <c r="S165" i="4"/>
  <c r="R165" i="4"/>
  <c r="Q165" i="4"/>
  <c r="F165" i="4"/>
  <c r="AH164" i="4"/>
  <c r="AC164" i="4"/>
  <c r="E39" i="6" s="1"/>
  <c r="AA164" i="4"/>
  <c r="AF164" i="4" s="1"/>
  <c r="Z164" i="4"/>
  <c r="Y164" i="4"/>
  <c r="X164" i="4"/>
  <c r="W164" i="4"/>
  <c r="V164" i="4"/>
  <c r="U164" i="4"/>
  <c r="T164" i="4"/>
  <c r="S164" i="4"/>
  <c r="R164" i="4"/>
  <c r="Q164" i="4"/>
  <c r="F164" i="4"/>
  <c r="AH163" i="4"/>
  <c r="AF163" i="4"/>
  <c r="AC163" i="4"/>
  <c r="E38" i="6" s="1"/>
  <c r="AB163" i="4"/>
  <c r="AG163" i="4" s="1"/>
  <c r="AA163" i="4"/>
  <c r="Z163" i="4"/>
  <c r="Y163" i="4"/>
  <c r="X163" i="4"/>
  <c r="W163" i="4"/>
  <c r="V163" i="4"/>
  <c r="U163" i="4"/>
  <c r="T163" i="4"/>
  <c r="S163" i="4"/>
  <c r="R163" i="4"/>
  <c r="Q163" i="4"/>
  <c r="F163" i="4"/>
  <c r="AH162" i="4"/>
  <c r="AC162" i="4"/>
  <c r="E37" i="6" s="1"/>
  <c r="AB162" i="4"/>
  <c r="AG162" i="4" s="1"/>
  <c r="AA162" i="4"/>
  <c r="AF162" i="4" s="1"/>
  <c r="Z162" i="4"/>
  <c r="Y162" i="4"/>
  <c r="X162" i="4"/>
  <c r="W162" i="4"/>
  <c r="V162" i="4"/>
  <c r="U162" i="4"/>
  <c r="T162" i="4"/>
  <c r="S162" i="4"/>
  <c r="R162" i="4"/>
  <c r="Q162" i="4"/>
  <c r="F162" i="4"/>
  <c r="AH161" i="4"/>
  <c r="AF161" i="4"/>
  <c r="AC161" i="4"/>
  <c r="E36" i="6" s="1"/>
  <c r="AB161" i="4"/>
  <c r="AG161" i="4" s="1"/>
  <c r="AA161" i="4"/>
  <c r="Z161" i="4"/>
  <c r="Y161" i="4"/>
  <c r="X161" i="4"/>
  <c r="W161" i="4"/>
  <c r="V161" i="4"/>
  <c r="U161" i="4"/>
  <c r="T161" i="4"/>
  <c r="S161" i="4"/>
  <c r="R161" i="4"/>
  <c r="Q161" i="4"/>
  <c r="F161" i="4"/>
  <c r="AH160" i="4"/>
  <c r="AC160" i="4"/>
  <c r="E35" i="6" s="1"/>
  <c r="AA160" i="4"/>
  <c r="AF160" i="4" s="1"/>
  <c r="Z160" i="4"/>
  <c r="Y160" i="4"/>
  <c r="X160" i="4"/>
  <c r="W160" i="4"/>
  <c r="V160" i="4"/>
  <c r="U160" i="4"/>
  <c r="T160" i="4"/>
  <c r="S160" i="4"/>
  <c r="R160" i="4"/>
  <c r="Q160" i="4"/>
  <c r="F160" i="4"/>
  <c r="AH159" i="4"/>
  <c r="AF159" i="4"/>
  <c r="AC159" i="4"/>
  <c r="E34" i="6" s="1"/>
  <c r="AB159" i="4"/>
  <c r="AG159" i="4" s="1"/>
  <c r="AA159" i="4"/>
  <c r="Z159" i="4"/>
  <c r="Y159" i="4"/>
  <c r="X159" i="4"/>
  <c r="W159" i="4"/>
  <c r="V159" i="4"/>
  <c r="U159" i="4"/>
  <c r="T159" i="4"/>
  <c r="S159" i="4"/>
  <c r="R159" i="4"/>
  <c r="Q159" i="4"/>
  <c r="F159" i="4"/>
  <c r="AH158" i="4"/>
  <c r="AF158" i="4"/>
  <c r="AC158" i="4"/>
  <c r="E33" i="6" s="1"/>
  <c r="AB158" i="4"/>
  <c r="AG158" i="4" s="1"/>
  <c r="AA158" i="4"/>
  <c r="Z158" i="4"/>
  <c r="Y158" i="4"/>
  <c r="X158" i="4"/>
  <c r="W158" i="4"/>
  <c r="V158" i="4"/>
  <c r="U158" i="4"/>
  <c r="T158" i="4"/>
  <c r="S158" i="4"/>
  <c r="R158" i="4"/>
  <c r="Q158" i="4"/>
  <c r="F158" i="4"/>
  <c r="AH157" i="4"/>
  <c r="AC157" i="4"/>
  <c r="E32" i="6" s="1"/>
  <c r="AA157" i="4"/>
  <c r="AF157" i="4" s="1"/>
  <c r="Z157" i="4"/>
  <c r="Y157" i="4"/>
  <c r="X157" i="4"/>
  <c r="W157" i="4"/>
  <c r="V157" i="4"/>
  <c r="U157" i="4"/>
  <c r="T157" i="4"/>
  <c r="S157" i="4"/>
  <c r="R157" i="4"/>
  <c r="Q157" i="4"/>
  <c r="F157" i="4"/>
  <c r="AH156" i="4"/>
  <c r="AF156" i="4"/>
  <c r="AC156" i="4"/>
  <c r="E31" i="6" s="1"/>
  <c r="AA156" i="4"/>
  <c r="AB156" i="4" s="1"/>
  <c r="AG156" i="4" s="1"/>
  <c r="Z156" i="4"/>
  <c r="Y156" i="4"/>
  <c r="X156" i="4"/>
  <c r="W156" i="4"/>
  <c r="V156" i="4"/>
  <c r="U156" i="4"/>
  <c r="T156" i="4"/>
  <c r="S156" i="4"/>
  <c r="R156" i="4"/>
  <c r="Q156" i="4"/>
  <c r="F156" i="4"/>
  <c r="AH155" i="4"/>
  <c r="AF155" i="4"/>
  <c r="AC155" i="4"/>
  <c r="E30" i="6" s="1"/>
  <c r="AB155" i="4"/>
  <c r="AG155" i="4" s="1"/>
  <c r="AA155" i="4"/>
  <c r="Z155" i="4"/>
  <c r="Y155" i="4"/>
  <c r="X155" i="4"/>
  <c r="W155" i="4"/>
  <c r="V155" i="4"/>
  <c r="U155" i="4"/>
  <c r="T155" i="4"/>
  <c r="S155" i="4"/>
  <c r="R155" i="4"/>
  <c r="Q155" i="4"/>
  <c r="F155" i="4"/>
  <c r="AH154" i="4"/>
  <c r="AF154" i="4"/>
  <c r="AC154" i="4"/>
  <c r="E29" i="6" s="1"/>
  <c r="AA154" i="4"/>
  <c r="AB154" i="4" s="1"/>
  <c r="AG154" i="4" s="1"/>
  <c r="Z154" i="4"/>
  <c r="Y154" i="4"/>
  <c r="X154" i="4"/>
  <c r="W154" i="4"/>
  <c r="V154" i="4"/>
  <c r="U154" i="4"/>
  <c r="T154" i="4"/>
  <c r="S154" i="4"/>
  <c r="R154" i="4"/>
  <c r="Q154" i="4"/>
  <c r="F154" i="4"/>
  <c r="AH153" i="4"/>
  <c r="AC153" i="4"/>
  <c r="AA153" i="4"/>
  <c r="Z153" i="4"/>
  <c r="Y153" i="4"/>
  <c r="X153" i="4"/>
  <c r="W153" i="4"/>
  <c r="V153" i="4"/>
  <c r="U153" i="4"/>
  <c r="T153" i="4"/>
  <c r="S153" i="4"/>
  <c r="R153" i="4"/>
  <c r="Q153" i="4"/>
  <c r="F153" i="4"/>
  <c r="AH152" i="4"/>
  <c r="AF152" i="4"/>
  <c r="AC152" i="4"/>
  <c r="E27" i="6" s="1"/>
  <c r="AA152" i="4"/>
  <c r="AB152" i="4" s="1"/>
  <c r="AG152" i="4" s="1"/>
  <c r="Z152" i="4"/>
  <c r="Y152" i="4"/>
  <c r="X152" i="4"/>
  <c r="W152" i="4"/>
  <c r="V152" i="4"/>
  <c r="U152" i="4"/>
  <c r="T152" i="4"/>
  <c r="S152" i="4"/>
  <c r="R152" i="4"/>
  <c r="Q152" i="4"/>
  <c r="F152" i="4"/>
  <c r="AH151" i="4"/>
  <c r="AC151" i="4"/>
  <c r="E26" i="6" s="1"/>
  <c r="AB151" i="4"/>
  <c r="AG151" i="4" s="1"/>
  <c r="AA151" i="4"/>
  <c r="AF151" i="4" s="1"/>
  <c r="Z151" i="4"/>
  <c r="Y151" i="4"/>
  <c r="X151" i="4"/>
  <c r="W151" i="4"/>
  <c r="V151" i="4"/>
  <c r="U151" i="4"/>
  <c r="T151" i="4"/>
  <c r="S151" i="4"/>
  <c r="R151" i="4"/>
  <c r="Q151" i="4"/>
  <c r="F151" i="4"/>
  <c r="AH150" i="4"/>
  <c r="AF150" i="4"/>
  <c r="AC150" i="4"/>
  <c r="E25" i="6" s="1"/>
  <c r="AB150" i="4"/>
  <c r="AG150" i="4" s="1"/>
  <c r="AA150" i="4"/>
  <c r="Z150" i="4"/>
  <c r="Y150" i="4"/>
  <c r="X150" i="4"/>
  <c r="W150" i="4"/>
  <c r="V150" i="4"/>
  <c r="U150" i="4"/>
  <c r="T150" i="4"/>
  <c r="S150" i="4"/>
  <c r="R150" i="4"/>
  <c r="Q150" i="4"/>
  <c r="F150" i="4"/>
  <c r="AH149" i="4"/>
  <c r="AF149" i="4"/>
  <c r="AC149" i="4"/>
  <c r="E24" i="6" s="1"/>
  <c r="AB149" i="4"/>
  <c r="AG149" i="4" s="1"/>
  <c r="AA149" i="4"/>
  <c r="Z149" i="4"/>
  <c r="Y149" i="4"/>
  <c r="X149" i="4"/>
  <c r="W149" i="4"/>
  <c r="V149" i="4"/>
  <c r="U149" i="4"/>
  <c r="T149" i="4"/>
  <c r="S149" i="4"/>
  <c r="R149" i="4"/>
  <c r="Q149" i="4"/>
  <c r="F149" i="4"/>
  <c r="AH148" i="4"/>
  <c r="AC148" i="4"/>
  <c r="E23" i="6" s="1"/>
  <c r="AB148" i="4"/>
  <c r="AG148" i="4" s="1"/>
  <c r="AA148" i="4"/>
  <c r="AF148" i="4" s="1"/>
  <c r="Z148" i="4"/>
  <c r="Y148" i="4"/>
  <c r="X148" i="4"/>
  <c r="W148" i="4"/>
  <c r="V148" i="4"/>
  <c r="U148" i="4"/>
  <c r="T148" i="4"/>
  <c r="S148" i="4"/>
  <c r="R148" i="4"/>
  <c r="Q148" i="4"/>
  <c r="F148" i="4"/>
  <c r="AH147" i="4"/>
  <c r="AC147" i="4"/>
  <c r="E22" i="6" s="1"/>
  <c r="AA147" i="4"/>
  <c r="AF147" i="4" s="1"/>
  <c r="Z147" i="4"/>
  <c r="Y147" i="4"/>
  <c r="X147" i="4"/>
  <c r="W147" i="4"/>
  <c r="V147" i="4"/>
  <c r="U147" i="4"/>
  <c r="T147" i="4"/>
  <c r="S147" i="4"/>
  <c r="R147" i="4"/>
  <c r="Q147" i="4"/>
  <c r="F147" i="4"/>
  <c r="AH146" i="4"/>
  <c r="AC146" i="4"/>
  <c r="E21" i="6" s="1"/>
  <c r="AA146" i="4"/>
  <c r="AF146" i="4" s="1"/>
  <c r="Z146" i="4"/>
  <c r="Y146" i="4"/>
  <c r="X146" i="4"/>
  <c r="W146" i="4"/>
  <c r="V146" i="4"/>
  <c r="U146" i="4"/>
  <c r="T146" i="4"/>
  <c r="S146" i="4"/>
  <c r="R146" i="4"/>
  <c r="Q146" i="4"/>
  <c r="F146" i="4"/>
  <c r="AH145" i="4"/>
  <c r="AF145" i="4"/>
  <c r="AC145" i="4"/>
  <c r="E20" i="6" s="1"/>
  <c r="AB145" i="4"/>
  <c r="AG145" i="4" s="1"/>
  <c r="AA145" i="4"/>
  <c r="Z145" i="4"/>
  <c r="Y145" i="4"/>
  <c r="X145" i="4"/>
  <c r="W145" i="4"/>
  <c r="V145" i="4"/>
  <c r="U145" i="4"/>
  <c r="T145" i="4"/>
  <c r="S145" i="4"/>
  <c r="R145" i="4"/>
  <c r="Q145" i="4"/>
  <c r="F145" i="4"/>
  <c r="AH144" i="4"/>
  <c r="AF144" i="4"/>
  <c r="AC144" i="4"/>
  <c r="E19" i="6" s="1"/>
  <c r="AA144" i="4"/>
  <c r="AB144" i="4" s="1"/>
  <c r="AG144" i="4" s="1"/>
  <c r="Z144" i="4"/>
  <c r="Y144" i="4"/>
  <c r="X144" i="4"/>
  <c r="W144" i="4"/>
  <c r="V144" i="4"/>
  <c r="U144" i="4"/>
  <c r="T144" i="4"/>
  <c r="S144" i="4"/>
  <c r="R144" i="4"/>
  <c r="Q144" i="4"/>
  <c r="F144" i="4"/>
  <c r="AH143" i="4"/>
  <c r="AC143" i="4"/>
  <c r="E18" i="6" s="1"/>
  <c r="AB143" i="4"/>
  <c r="AG143" i="4" s="1"/>
  <c r="AA143" i="4"/>
  <c r="AF143" i="4" s="1"/>
  <c r="Z143" i="4"/>
  <c r="Y143" i="4"/>
  <c r="X143" i="4"/>
  <c r="W143" i="4"/>
  <c r="V143" i="4"/>
  <c r="U143" i="4"/>
  <c r="T143" i="4"/>
  <c r="S143" i="4"/>
  <c r="R143" i="4"/>
  <c r="Q143" i="4"/>
  <c r="F143" i="4"/>
  <c r="AH142" i="4"/>
  <c r="AC142" i="4"/>
  <c r="E17" i="6" s="1"/>
  <c r="AA142" i="4"/>
  <c r="AF142" i="4" s="1"/>
  <c r="Z142" i="4"/>
  <c r="Y142" i="4"/>
  <c r="X142" i="4"/>
  <c r="W142" i="4"/>
  <c r="V142" i="4"/>
  <c r="U142" i="4"/>
  <c r="T142" i="4"/>
  <c r="S142" i="4"/>
  <c r="R142" i="4"/>
  <c r="Q142" i="4"/>
  <c r="F142" i="4"/>
  <c r="AH141" i="4"/>
  <c r="AF141" i="4"/>
  <c r="AC141" i="4"/>
  <c r="E16" i="6" s="1"/>
  <c r="AA141" i="4"/>
  <c r="AB141" i="4" s="1"/>
  <c r="AG141" i="4" s="1"/>
  <c r="Z141" i="4"/>
  <c r="Y141" i="4"/>
  <c r="X141" i="4"/>
  <c r="W141" i="4"/>
  <c r="V141" i="4"/>
  <c r="U141" i="4"/>
  <c r="T141" i="4"/>
  <c r="S141" i="4"/>
  <c r="R141" i="4"/>
  <c r="Q141" i="4"/>
  <c r="F141" i="4"/>
  <c r="AH140" i="4"/>
  <c r="AC140" i="4"/>
  <c r="E15" i="6" s="1"/>
  <c r="AA140" i="4"/>
  <c r="AB140" i="4" s="1"/>
  <c r="AG140" i="4" s="1"/>
  <c r="Z140" i="4"/>
  <c r="Y140" i="4"/>
  <c r="X140" i="4"/>
  <c r="W140" i="4"/>
  <c r="V140" i="4"/>
  <c r="U140" i="4"/>
  <c r="T140" i="4"/>
  <c r="S140" i="4"/>
  <c r="R140" i="4"/>
  <c r="Q140" i="4"/>
  <c r="F140" i="4"/>
  <c r="AH139" i="4"/>
  <c r="AF139" i="4"/>
  <c r="AC139" i="4"/>
  <c r="E14" i="6" s="1"/>
  <c r="AA139" i="4"/>
  <c r="AB139" i="4" s="1"/>
  <c r="AG139" i="4" s="1"/>
  <c r="Z139" i="4"/>
  <c r="Y139" i="4"/>
  <c r="X139" i="4"/>
  <c r="W139" i="4"/>
  <c r="V139" i="4"/>
  <c r="U139" i="4"/>
  <c r="T139" i="4"/>
  <c r="S139" i="4"/>
  <c r="R139" i="4"/>
  <c r="Q139" i="4"/>
  <c r="F139" i="4"/>
  <c r="AH138" i="4"/>
  <c r="AF138" i="4"/>
  <c r="AC138" i="4"/>
  <c r="E13" i="6" s="1"/>
  <c r="AB138" i="4"/>
  <c r="AG138" i="4" s="1"/>
  <c r="AA138" i="4"/>
  <c r="Z138" i="4"/>
  <c r="Y138" i="4"/>
  <c r="X138" i="4"/>
  <c r="W138" i="4"/>
  <c r="V138" i="4"/>
  <c r="U138" i="4"/>
  <c r="T138" i="4"/>
  <c r="S138" i="4"/>
  <c r="R138" i="4"/>
  <c r="Q138" i="4"/>
  <c r="F138" i="4"/>
  <c r="AH137" i="4"/>
  <c r="AF137" i="4"/>
  <c r="AC137" i="4"/>
  <c r="E12" i="6" s="1"/>
  <c r="AB137" i="4"/>
  <c r="AG137" i="4" s="1"/>
  <c r="AA137" i="4"/>
  <c r="Z137" i="4"/>
  <c r="Y137" i="4"/>
  <c r="X137" i="4"/>
  <c r="W137" i="4"/>
  <c r="V137" i="4"/>
  <c r="U137" i="4"/>
  <c r="T137" i="4"/>
  <c r="S137" i="4"/>
  <c r="R137" i="4"/>
  <c r="Q137" i="4"/>
  <c r="F137" i="4"/>
  <c r="AH136" i="4"/>
  <c r="AC136" i="4"/>
  <c r="E11" i="6" s="1"/>
  <c r="AA136" i="4"/>
  <c r="AF136" i="4" s="1"/>
  <c r="Z136" i="4"/>
  <c r="Y136" i="4"/>
  <c r="X136" i="4"/>
  <c r="W136" i="4"/>
  <c r="V136" i="4"/>
  <c r="U136" i="4"/>
  <c r="T136" i="4"/>
  <c r="S136" i="4"/>
  <c r="R136" i="4"/>
  <c r="Q136" i="4"/>
  <c r="F136" i="4"/>
  <c r="AH135" i="4"/>
  <c r="AF135" i="4"/>
  <c r="AC135" i="4"/>
  <c r="E10" i="6" s="1"/>
  <c r="AB135" i="4"/>
  <c r="AG135" i="4" s="1"/>
  <c r="AA135" i="4"/>
  <c r="Z135" i="4"/>
  <c r="Y135" i="4"/>
  <c r="X135" i="4"/>
  <c r="W135" i="4"/>
  <c r="V135" i="4"/>
  <c r="U135" i="4"/>
  <c r="T135" i="4"/>
  <c r="S135" i="4"/>
  <c r="R135" i="4"/>
  <c r="Q135" i="4"/>
  <c r="F135" i="4"/>
  <c r="AH134" i="4"/>
  <c r="AC134" i="4"/>
  <c r="E9" i="6" s="1"/>
  <c r="AA134" i="4"/>
  <c r="AF134" i="4" s="1"/>
  <c r="Z134" i="4"/>
  <c r="Y134" i="4"/>
  <c r="X134" i="4"/>
  <c r="W134" i="4"/>
  <c r="V134" i="4"/>
  <c r="U134" i="4"/>
  <c r="T134" i="4"/>
  <c r="S134" i="4"/>
  <c r="R134" i="4"/>
  <c r="Q134" i="4"/>
  <c r="F134" i="4"/>
  <c r="AH133" i="4"/>
  <c r="AF133" i="4"/>
  <c r="AC133" i="4"/>
  <c r="E8" i="6" s="1"/>
  <c r="AB133" i="4"/>
  <c r="AG133" i="4" s="1"/>
  <c r="AA133" i="4"/>
  <c r="Z133" i="4"/>
  <c r="Y133" i="4"/>
  <c r="X133" i="4"/>
  <c r="W133" i="4"/>
  <c r="V133" i="4"/>
  <c r="U133" i="4"/>
  <c r="T133" i="4"/>
  <c r="S133" i="4"/>
  <c r="R133" i="4"/>
  <c r="Q133" i="4"/>
  <c r="F133" i="4"/>
  <c r="AH132" i="4"/>
  <c r="AF132" i="4"/>
  <c r="AC132" i="4"/>
  <c r="E7" i="6" s="1"/>
  <c r="AB132" i="4"/>
  <c r="AG132" i="4" s="1"/>
  <c r="AA132" i="4"/>
  <c r="Z132" i="4"/>
  <c r="Y132" i="4"/>
  <c r="X132" i="4"/>
  <c r="W132" i="4"/>
  <c r="V132" i="4"/>
  <c r="U132" i="4"/>
  <c r="T132" i="4"/>
  <c r="S132" i="4"/>
  <c r="R132" i="4"/>
  <c r="Q132" i="4"/>
  <c r="F132" i="4"/>
  <c r="AH131" i="4"/>
  <c r="AF131" i="4"/>
  <c r="AC131" i="4"/>
  <c r="E6" i="6" s="1"/>
  <c r="AB131" i="4"/>
  <c r="AG131" i="4" s="1"/>
  <c r="AA131" i="4"/>
  <c r="Z131" i="4"/>
  <c r="Y131" i="4"/>
  <c r="X131" i="4"/>
  <c r="W131" i="4"/>
  <c r="V131" i="4"/>
  <c r="U131" i="4"/>
  <c r="T131" i="4"/>
  <c r="S131" i="4"/>
  <c r="R131" i="4"/>
  <c r="Q131" i="4"/>
  <c r="F131" i="4"/>
  <c r="AH130" i="4"/>
  <c r="AF130" i="4"/>
  <c r="AC130" i="4"/>
  <c r="E5" i="6" s="1"/>
  <c r="AA130" i="4"/>
  <c r="AB130" i="4" s="1"/>
  <c r="AG130" i="4" s="1"/>
  <c r="Z130" i="4"/>
  <c r="Y130" i="4"/>
  <c r="X130" i="4"/>
  <c r="W130" i="4"/>
  <c r="V130" i="4"/>
  <c r="U130" i="4"/>
  <c r="T130" i="4"/>
  <c r="S130" i="4"/>
  <c r="R130" i="4"/>
  <c r="Q130" i="4"/>
  <c r="F130" i="4"/>
  <c r="AH129" i="4"/>
  <c r="AC129" i="4"/>
  <c r="AA129" i="4"/>
  <c r="AF129" i="4" s="1"/>
  <c r="Z129" i="4"/>
  <c r="Y129" i="4"/>
  <c r="X129" i="4"/>
  <c r="W129" i="4"/>
  <c r="V129" i="4"/>
  <c r="U129" i="4"/>
  <c r="T129" i="4"/>
  <c r="S129" i="4"/>
  <c r="R129" i="4"/>
  <c r="Q129" i="4"/>
  <c r="F129" i="4"/>
  <c r="AH128" i="4"/>
  <c r="AC128" i="4"/>
  <c r="D45" i="6" s="1"/>
  <c r="AB128" i="4"/>
  <c r="AG128" i="4" s="1"/>
  <c r="AA128" i="4"/>
  <c r="AF128" i="4" s="1"/>
  <c r="Z128" i="4"/>
  <c r="Y128" i="4"/>
  <c r="X128" i="4"/>
  <c r="W128" i="4"/>
  <c r="V128" i="4"/>
  <c r="U128" i="4"/>
  <c r="T128" i="4"/>
  <c r="S128" i="4"/>
  <c r="R128" i="4"/>
  <c r="Q128" i="4"/>
  <c r="F128" i="4"/>
  <c r="AH127" i="4"/>
  <c r="AF127" i="4"/>
  <c r="AC127" i="4"/>
  <c r="D44" i="6" s="1"/>
  <c r="AB127" i="4"/>
  <c r="AG127" i="4" s="1"/>
  <c r="AA127" i="4"/>
  <c r="Z127" i="4"/>
  <c r="Y127" i="4"/>
  <c r="X127" i="4"/>
  <c r="W127" i="4"/>
  <c r="V127" i="4"/>
  <c r="U127" i="4"/>
  <c r="T127" i="4"/>
  <c r="S127" i="4"/>
  <c r="R127" i="4"/>
  <c r="Q127" i="4"/>
  <c r="F127" i="4"/>
  <c r="AH126" i="4"/>
  <c r="AF126" i="4"/>
  <c r="AC126" i="4"/>
  <c r="D43" i="6" s="1"/>
  <c r="AA126" i="4"/>
  <c r="AB126" i="4" s="1"/>
  <c r="AG126" i="4" s="1"/>
  <c r="Z126" i="4"/>
  <c r="Y126" i="4"/>
  <c r="X126" i="4"/>
  <c r="W126" i="4"/>
  <c r="V126" i="4"/>
  <c r="U126" i="4"/>
  <c r="T126" i="4"/>
  <c r="S126" i="4"/>
  <c r="R126" i="4"/>
  <c r="Q126" i="4"/>
  <c r="F126" i="4"/>
  <c r="AH125" i="4"/>
  <c r="AC125" i="4"/>
  <c r="D42" i="6" s="1"/>
  <c r="AA125" i="4"/>
  <c r="AB125" i="4" s="1"/>
  <c r="AG125" i="4" s="1"/>
  <c r="Z125" i="4"/>
  <c r="Y125" i="4"/>
  <c r="X125" i="4"/>
  <c r="W125" i="4"/>
  <c r="V125" i="4"/>
  <c r="U125" i="4"/>
  <c r="T125" i="4"/>
  <c r="S125" i="4"/>
  <c r="R125" i="4"/>
  <c r="Q125" i="4"/>
  <c r="F125" i="4"/>
  <c r="AH124" i="4"/>
  <c r="AC124" i="4"/>
  <c r="D41" i="6" s="1"/>
  <c r="AA124" i="4"/>
  <c r="AF124" i="4" s="1"/>
  <c r="Z124" i="4"/>
  <c r="Y124" i="4"/>
  <c r="X124" i="4"/>
  <c r="W124" i="4"/>
  <c r="V124" i="4"/>
  <c r="U124" i="4"/>
  <c r="T124" i="4"/>
  <c r="S124" i="4"/>
  <c r="R124" i="4"/>
  <c r="Q124" i="4"/>
  <c r="F124" i="4"/>
  <c r="AH123" i="4"/>
  <c r="AF123" i="4"/>
  <c r="AC123" i="4"/>
  <c r="D40" i="6" s="1"/>
  <c r="AA123" i="4"/>
  <c r="AB123" i="4" s="1"/>
  <c r="AG123" i="4" s="1"/>
  <c r="Z123" i="4"/>
  <c r="Y123" i="4"/>
  <c r="X123" i="4"/>
  <c r="W123" i="4"/>
  <c r="V123" i="4"/>
  <c r="U123" i="4"/>
  <c r="T123" i="4"/>
  <c r="S123" i="4"/>
  <c r="R123" i="4"/>
  <c r="Q123" i="4"/>
  <c r="F123" i="4"/>
  <c r="AH122" i="4"/>
  <c r="AC122" i="4"/>
  <c r="D39" i="6" s="1"/>
  <c r="AB122" i="4"/>
  <c r="AG122" i="4" s="1"/>
  <c r="AA122" i="4"/>
  <c r="AF122" i="4" s="1"/>
  <c r="Z122" i="4"/>
  <c r="Y122" i="4"/>
  <c r="X122" i="4"/>
  <c r="W122" i="4"/>
  <c r="V122" i="4"/>
  <c r="U122" i="4"/>
  <c r="T122" i="4"/>
  <c r="S122" i="4"/>
  <c r="R122" i="4"/>
  <c r="Q122" i="4"/>
  <c r="F122" i="4"/>
  <c r="AH121" i="4"/>
  <c r="AF121" i="4"/>
  <c r="AC121" i="4"/>
  <c r="D38" i="6" s="1"/>
  <c r="AB121" i="4"/>
  <c r="AG121" i="4" s="1"/>
  <c r="AA121" i="4"/>
  <c r="Z121" i="4"/>
  <c r="Y121" i="4"/>
  <c r="X121" i="4"/>
  <c r="W121" i="4"/>
  <c r="V121" i="4"/>
  <c r="U121" i="4"/>
  <c r="T121" i="4"/>
  <c r="S121" i="4"/>
  <c r="R121" i="4"/>
  <c r="Q121" i="4"/>
  <c r="F121" i="4"/>
  <c r="AH120" i="4"/>
  <c r="AC120" i="4"/>
  <c r="D37" i="6" s="1"/>
  <c r="AB120" i="4"/>
  <c r="AG120" i="4" s="1"/>
  <c r="AA120" i="4"/>
  <c r="AF120" i="4" s="1"/>
  <c r="Z120" i="4"/>
  <c r="Y120" i="4"/>
  <c r="X120" i="4"/>
  <c r="W120" i="4"/>
  <c r="V120" i="4"/>
  <c r="U120" i="4"/>
  <c r="T120" i="4"/>
  <c r="S120" i="4"/>
  <c r="R120" i="4"/>
  <c r="Q120" i="4"/>
  <c r="F120" i="4"/>
  <c r="AH119" i="4"/>
  <c r="AC119" i="4"/>
  <c r="D36" i="6" s="1"/>
  <c r="AA119" i="4"/>
  <c r="AF119" i="4" s="1"/>
  <c r="Z119" i="4"/>
  <c r="Y119" i="4"/>
  <c r="X119" i="4"/>
  <c r="W119" i="4"/>
  <c r="V119" i="4"/>
  <c r="U119" i="4"/>
  <c r="T119" i="4"/>
  <c r="S119" i="4"/>
  <c r="R119" i="4"/>
  <c r="Q119" i="4"/>
  <c r="F119" i="4"/>
  <c r="AH118" i="4"/>
  <c r="AF118" i="4"/>
  <c r="AC118" i="4"/>
  <c r="D35" i="6" s="1"/>
  <c r="AA118" i="4"/>
  <c r="AB118" i="4" s="1"/>
  <c r="AG118" i="4" s="1"/>
  <c r="Z118" i="4"/>
  <c r="Y118" i="4"/>
  <c r="X118" i="4"/>
  <c r="W118" i="4"/>
  <c r="V118" i="4"/>
  <c r="U118" i="4"/>
  <c r="T118" i="4"/>
  <c r="S118" i="4"/>
  <c r="R118" i="4"/>
  <c r="Q118" i="4"/>
  <c r="F118" i="4"/>
  <c r="AH117" i="4"/>
  <c r="AF117" i="4"/>
  <c r="AC117" i="4"/>
  <c r="D34" i="6" s="1"/>
  <c r="AB117" i="4"/>
  <c r="AG117" i="4" s="1"/>
  <c r="AA117" i="4"/>
  <c r="Z117" i="4"/>
  <c r="Y117" i="4"/>
  <c r="X117" i="4"/>
  <c r="W117" i="4"/>
  <c r="V117" i="4"/>
  <c r="U117" i="4"/>
  <c r="T117" i="4"/>
  <c r="S117" i="4"/>
  <c r="R117" i="4"/>
  <c r="Q117" i="4"/>
  <c r="F117" i="4"/>
  <c r="AH116" i="4"/>
  <c r="AF116" i="4"/>
  <c r="AC116" i="4"/>
  <c r="D33" i="6" s="1"/>
  <c r="AA116" i="4"/>
  <c r="AB116" i="4" s="1"/>
  <c r="AG116" i="4" s="1"/>
  <c r="Z116" i="4"/>
  <c r="Y116" i="4"/>
  <c r="X116" i="4"/>
  <c r="W116" i="4"/>
  <c r="V116" i="4"/>
  <c r="U116" i="4"/>
  <c r="T116" i="4"/>
  <c r="S116" i="4"/>
  <c r="R116" i="4"/>
  <c r="Q116" i="4"/>
  <c r="F116" i="4"/>
  <c r="AH115" i="4"/>
  <c r="AC115" i="4"/>
  <c r="D32" i="6" s="1"/>
  <c r="AB115" i="4"/>
  <c r="AG115" i="4" s="1"/>
  <c r="AA115" i="4"/>
  <c r="AF115" i="4" s="1"/>
  <c r="Z115" i="4"/>
  <c r="Y115" i="4"/>
  <c r="X115" i="4"/>
  <c r="W115" i="4"/>
  <c r="V115" i="4"/>
  <c r="U115" i="4"/>
  <c r="T115" i="4"/>
  <c r="S115" i="4"/>
  <c r="R115" i="4"/>
  <c r="Q115" i="4"/>
  <c r="F115" i="4"/>
  <c r="AH114" i="4"/>
  <c r="AC114" i="4"/>
  <c r="D31" i="6" s="1"/>
  <c r="AA114" i="4"/>
  <c r="AF114" i="4" s="1"/>
  <c r="Z114" i="4"/>
  <c r="Y114" i="4"/>
  <c r="X114" i="4"/>
  <c r="W114" i="4"/>
  <c r="V114" i="4"/>
  <c r="U114" i="4"/>
  <c r="T114" i="4"/>
  <c r="S114" i="4"/>
  <c r="R114" i="4"/>
  <c r="Q114" i="4"/>
  <c r="F114" i="4"/>
  <c r="AH113" i="4"/>
  <c r="AF113" i="4"/>
  <c r="AC113" i="4"/>
  <c r="D30" i="6" s="1"/>
  <c r="AB113" i="4"/>
  <c r="AG113" i="4" s="1"/>
  <c r="AA113" i="4"/>
  <c r="Z113" i="4"/>
  <c r="Y113" i="4"/>
  <c r="X113" i="4"/>
  <c r="W113" i="4"/>
  <c r="V113" i="4"/>
  <c r="U113" i="4"/>
  <c r="T113" i="4"/>
  <c r="S113" i="4"/>
  <c r="R113" i="4"/>
  <c r="Q113" i="4"/>
  <c r="F113" i="4"/>
  <c r="AH112" i="4"/>
  <c r="AC112" i="4"/>
  <c r="D29" i="6" s="1"/>
  <c r="AA112" i="4"/>
  <c r="AB112" i="4" s="1"/>
  <c r="AG112" i="4" s="1"/>
  <c r="Z112" i="4"/>
  <c r="Y112" i="4"/>
  <c r="X112" i="4"/>
  <c r="W112" i="4"/>
  <c r="V112" i="4"/>
  <c r="U112" i="4"/>
  <c r="T112" i="4"/>
  <c r="S112" i="4"/>
  <c r="R112" i="4"/>
  <c r="Q112" i="4"/>
  <c r="F112" i="4"/>
  <c r="AH111" i="4"/>
  <c r="AC111" i="4"/>
  <c r="D28" i="6" s="1"/>
  <c r="AA111" i="4"/>
  <c r="AB111" i="4" s="1"/>
  <c r="AG111" i="4" s="1"/>
  <c r="Z111" i="4"/>
  <c r="Y111" i="4"/>
  <c r="X111" i="4"/>
  <c r="W111" i="4"/>
  <c r="V111" i="4"/>
  <c r="U111" i="4"/>
  <c r="T111" i="4"/>
  <c r="S111" i="4"/>
  <c r="R111" i="4"/>
  <c r="Q111" i="4"/>
  <c r="F111" i="4"/>
  <c r="AH110" i="4"/>
  <c r="AC110" i="4"/>
  <c r="D27" i="6" s="1"/>
  <c r="AB110" i="4"/>
  <c r="AG110" i="4" s="1"/>
  <c r="AA110" i="4"/>
  <c r="AF110" i="4" s="1"/>
  <c r="Z110" i="4"/>
  <c r="Y110" i="4"/>
  <c r="X110" i="4"/>
  <c r="W110" i="4"/>
  <c r="V110" i="4"/>
  <c r="U110" i="4"/>
  <c r="T110" i="4"/>
  <c r="S110" i="4"/>
  <c r="R110" i="4"/>
  <c r="Q110" i="4"/>
  <c r="F110" i="4"/>
  <c r="AH109" i="4"/>
  <c r="AF109" i="4"/>
  <c r="AC109" i="4"/>
  <c r="D26" i="6" s="1"/>
  <c r="AB109" i="4"/>
  <c r="AG109" i="4" s="1"/>
  <c r="AA109" i="4"/>
  <c r="Z109" i="4"/>
  <c r="Y109" i="4"/>
  <c r="X109" i="4"/>
  <c r="W109" i="4"/>
  <c r="V109" i="4"/>
  <c r="U109" i="4"/>
  <c r="T109" i="4"/>
  <c r="S109" i="4"/>
  <c r="R109" i="4"/>
  <c r="Q109" i="4"/>
  <c r="F109" i="4"/>
  <c r="AH108" i="4"/>
  <c r="AC108" i="4"/>
  <c r="D25" i="6" s="1"/>
  <c r="AA108" i="4"/>
  <c r="AF108" i="4" s="1"/>
  <c r="Z108" i="4"/>
  <c r="Y108" i="4"/>
  <c r="X108" i="4"/>
  <c r="W108" i="4"/>
  <c r="V108" i="4"/>
  <c r="U108" i="4"/>
  <c r="T108" i="4"/>
  <c r="S108" i="4"/>
  <c r="R108" i="4"/>
  <c r="Q108" i="4"/>
  <c r="F108" i="4"/>
  <c r="AH107" i="4"/>
  <c r="AF107" i="4"/>
  <c r="AC107" i="4"/>
  <c r="D24" i="6" s="1"/>
  <c r="AB107" i="4"/>
  <c r="AG107" i="4" s="1"/>
  <c r="AA107" i="4"/>
  <c r="Z107" i="4"/>
  <c r="Y107" i="4"/>
  <c r="X107" i="4"/>
  <c r="W107" i="4"/>
  <c r="V107" i="4"/>
  <c r="U107" i="4"/>
  <c r="T107" i="4"/>
  <c r="S107" i="4"/>
  <c r="R107" i="4"/>
  <c r="Q107" i="4"/>
  <c r="F107" i="4"/>
  <c r="AH106" i="4"/>
  <c r="AC106" i="4"/>
  <c r="D23" i="6" s="1"/>
  <c r="AA106" i="4"/>
  <c r="AF106" i="4" s="1"/>
  <c r="Z106" i="4"/>
  <c r="Y106" i="4"/>
  <c r="X106" i="4"/>
  <c r="W106" i="4"/>
  <c r="V106" i="4"/>
  <c r="U106" i="4"/>
  <c r="T106" i="4"/>
  <c r="S106" i="4"/>
  <c r="R106" i="4"/>
  <c r="Q106" i="4"/>
  <c r="F106" i="4"/>
  <c r="AH105" i="4"/>
  <c r="AC105" i="4"/>
  <c r="D22" i="6" s="1"/>
  <c r="AB105" i="4"/>
  <c r="AG105" i="4" s="1"/>
  <c r="AA105" i="4"/>
  <c r="AF105" i="4" s="1"/>
  <c r="Z105" i="4"/>
  <c r="Y105" i="4"/>
  <c r="X105" i="4"/>
  <c r="W105" i="4"/>
  <c r="V105" i="4"/>
  <c r="U105" i="4"/>
  <c r="T105" i="4"/>
  <c r="S105" i="4"/>
  <c r="R105" i="4"/>
  <c r="Q105" i="4"/>
  <c r="F105" i="4"/>
  <c r="AH104" i="4"/>
  <c r="AF104" i="4"/>
  <c r="AC104" i="4"/>
  <c r="D21" i="6" s="1"/>
  <c r="AB104" i="4"/>
  <c r="AG104" i="4" s="1"/>
  <c r="AA104" i="4"/>
  <c r="Z104" i="4"/>
  <c r="Y104" i="4"/>
  <c r="X104" i="4"/>
  <c r="W104" i="4"/>
  <c r="V104" i="4"/>
  <c r="U104" i="4"/>
  <c r="T104" i="4"/>
  <c r="S104" i="4"/>
  <c r="R104" i="4"/>
  <c r="Q104" i="4"/>
  <c r="F104" i="4"/>
  <c r="AH103" i="4"/>
  <c r="AF103" i="4"/>
  <c r="AC103" i="4"/>
  <c r="D20" i="6" s="1"/>
  <c r="AB103" i="4"/>
  <c r="AG103" i="4" s="1"/>
  <c r="AA103" i="4"/>
  <c r="Z103" i="4"/>
  <c r="Y103" i="4"/>
  <c r="X103" i="4"/>
  <c r="W103" i="4"/>
  <c r="V103" i="4"/>
  <c r="U103" i="4"/>
  <c r="T103" i="4"/>
  <c r="S103" i="4"/>
  <c r="R103" i="4"/>
  <c r="Q103" i="4"/>
  <c r="F103" i="4"/>
  <c r="AH102" i="4"/>
  <c r="AF102" i="4"/>
  <c r="AC102" i="4"/>
  <c r="D19" i="6" s="1"/>
  <c r="AA102" i="4"/>
  <c r="AB102" i="4" s="1"/>
  <c r="AG102" i="4" s="1"/>
  <c r="Z102" i="4"/>
  <c r="Y102" i="4"/>
  <c r="X102" i="4"/>
  <c r="W102" i="4"/>
  <c r="V102" i="4"/>
  <c r="U102" i="4"/>
  <c r="T102" i="4"/>
  <c r="S102" i="4"/>
  <c r="R102" i="4"/>
  <c r="Q102" i="4"/>
  <c r="F102" i="4"/>
  <c r="AH101" i="4"/>
  <c r="AC101" i="4"/>
  <c r="D18" i="6" s="1"/>
  <c r="AB101" i="4"/>
  <c r="AG101" i="4" s="1"/>
  <c r="AA101" i="4"/>
  <c r="AF101" i="4" s="1"/>
  <c r="Z101" i="4"/>
  <c r="Y101" i="4"/>
  <c r="X101" i="4"/>
  <c r="W101" i="4"/>
  <c r="V101" i="4"/>
  <c r="U101" i="4"/>
  <c r="T101" i="4"/>
  <c r="S101" i="4"/>
  <c r="R101" i="4"/>
  <c r="Q101" i="4"/>
  <c r="F101" i="4"/>
  <c r="AH100" i="4"/>
  <c r="AC100" i="4"/>
  <c r="D17" i="6" s="1"/>
  <c r="AA100" i="4"/>
  <c r="AF100" i="4" s="1"/>
  <c r="Z100" i="4"/>
  <c r="Y100" i="4"/>
  <c r="X100" i="4"/>
  <c r="W100" i="4"/>
  <c r="V100" i="4"/>
  <c r="U100" i="4"/>
  <c r="T100" i="4"/>
  <c r="S100" i="4"/>
  <c r="R100" i="4"/>
  <c r="Q100" i="4"/>
  <c r="F100" i="4"/>
  <c r="AH99" i="4"/>
  <c r="AC99" i="4"/>
  <c r="D16" i="6" s="1"/>
  <c r="AA99" i="4"/>
  <c r="AF99" i="4" s="1"/>
  <c r="Z99" i="4"/>
  <c r="Y99" i="4"/>
  <c r="X99" i="4"/>
  <c r="W99" i="4"/>
  <c r="V99" i="4"/>
  <c r="U99" i="4"/>
  <c r="T99" i="4"/>
  <c r="S99" i="4"/>
  <c r="R99" i="4"/>
  <c r="Q99" i="4"/>
  <c r="F99" i="4"/>
  <c r="AH98" i="4"/>
  <c r="AF98" i="4"/>
  <c r="AC98" i="4"/>
  <c r="D15" i="6" s="1"/>
  <c r="AA98" i="4"/>
  <c r="AB98" i="4" s="1"/>
  <c r="AG98" i="4" s="1"/>
  <c r="Z98" i="4"/>
  <c r="Y98" i="4"/>
  <c r="X98" i="4"/>
  <c r="W98" i="4"/>
  <c r="V98" i="4"/>
  <c r="U98" i="4"/>
  <c r="T98" i="4"/>
  <c r="S98" i="4"/>
  <c r="R98" i="4"/>
  <c r="Q98" i="4"/>
  <c r="F98" i="4"/>
  <c r="AH97" i="4"/>
  <c r="AC97" i="4"/>
  <c r="D14" i="6" s="1"/>
  <c r="AA97" i="4"/>
  <c r="AB97" i="4" s="1"/>
  <c r="AG97" i="4" s="1"/>
  <c r="Z97" i="4"/>
  <c r="Y97" i="4"/>
  <c r="X97" i="4"/>
  <c r="W97" i="4"/>
  <c r="V97" i="4"/>
  <c r="U97" i="4"/>
  <c r="T97" i="4"/>
  <c r="S97" i="4"/>
  <c r="R97" i="4"/>
  <c r="Q97" i="4"/>
  <c r="F97" i="4"/>
  <c r="AH96" i="4"/>
  <c r="AC96" i="4"/>
  <c r="D13" i="6" s="1"/>
  <c r="AA96" i="4"/>
  <c r="AF96" i="4" s="1"/>
  <c r="Z96" i="4"/>
  <c r="Y96" i="4"/>
  <c r="X96" i="4"/>
  <c r="W96" i="4"/>
  <c r="V96" i="4"/>
  <c r="U96" i="4"/>
  <c r="T96" i="4"/>
  <c r="S96" i="4"/>
  <c r="R96" i="4"/>
  <c r="Q96" i="4"/>
  <c r="F96" i="4"/>
  <c r="AH95" i="4"/>
  <c r="AF95" i="4"/>
  <c r="AC95" i="4"/>
  <c r="D12" i="6" s="1"/>
  <c r="AB95" i="4"/>
  <c r="AG95" i="4" s="1"/>
  <c r="AA95" i="4"/>
  <c r="Z95" i="4"/>
  <c r="Y95" i="4"/>
  <c r="X95" i="4"/>
  <c r="W95" i="4"/>
  <c r="V95" i="4"/>
  <c r="U95" i="4"/>
  <c r="T95" i="4"/>
  <c r="S95" i="4"/>
  <c r="R95" i="4"/>
  <c r="Q95" i="4"/>
  <c r="F95" i="4"/>
  <c r="AH94" i="4"/>
  <c r="AC94" i="4"/>
  <c r="D11" i="6" s="1"/>
  <c r="AA94" i="4"/>
  <c r="AF94" i="4" s="1"/>
  <c r="Z94" i="4"/>
  <c r="Y94" i="4"/>
  <c r="X94" i="4"/>
  <c r="W94" i="4"/>
  <c r="V94" i="4"/>
  <c r="U94" i="4"/>
  <c r="T94" i="4"/>
  <c r="S94" i="4"/>
  <c r="R94" i="4"/>
  <c r="Q94" i="4"/>
  <c r="F94" i="4"/>
  <c r="AH93" i="4"/>
  <c r="AF93" i="4"/>
  <c r="AC93" i="4"/>
  <c r="D10" i="6" s="1"/>
  <c r="AB93" i="4"/>
  <c r="AG93" i="4" s="1"/>
  <c r="AA93" i="4"/>
  <c r="Z93" i="4"/>
  <c r="Y93" i="4"/>
  <c r="X93" i="4"/>
  <c r="W93" i="4"/>
  <c r="V93" i="4"/>
  <c r="U93" i="4"/>
  <c r="T93" i="4"/>
  <c r="S93" i="4"/>
  <c r="R93" i="4"/>
  <c r="Q93" i="4"/>
  <c r="F93" i="4"/>
  <c r="AH92" i="4"/>
  <c r="AC92" i="4"/>
  <c r="D9" i="6" s="1"/>
  <c r="AB92" i="4"/>
  <c r="AG92" i="4" s="1"/>
  <c r="AA92" i="4"/>
  <c r="AF92" i="4" s="1"/>
  <c r="Z92" i="4"/>
  <c r="Y92" i="4"/>
  <c r="X92" i="4"/>
  <c r="W92" i="4"/>
  <c r="V92" i="4"/>
  <c r="U92" i="4"/>
  <c r="T92" i="4"/>
  <c r="S92" i="4"/>
  <c r="R92" i="4"/>
  <c r="Q92" i="4"/>
  <c r="F92" i="4"/>
  <c r="AH91" i="4"/>
  <c r="AC91" i="4"/>
  <c r="D8" i="6" s="1"/>
  <c r="AA91" i="4"/>
  <c r="AF91" i="4" s="1"/>
  <c r="Z91" i="4"/>
  <c r="Y91" i="4"/>
  <c r="X91" i="4"/>
  <c r="W91" i="4"/>
  <c r="V91" i="4"/>
  <c r="U91" i="4"/>
  <c r="T91" i="4"/>
  <c r="S91" i="4"/>
  <c r="R91" i="4"/>
  <c r="Q91" i="4"/>
  <c r="F91" i="4"/>
  <c r="AH90" i="4"/>
  <c r="AF90" i="4"/>
  <c r="AC90" i="4"/>
  <c r="D7" i="6" s="1"/>
  <c r="AB90" i="4"/>
  <c r="AG90" i="4" s="1"/>
  <c r="AA90" i="4"/>
  <c r="Z90" i="4"/>
  <c r="Y90" i="4"/>
  <c r="X90" i="4"/>
  <c r="W90" i="4"/>
  <c r="V90" i="4"/>
  <c r="U90" i="4"/>
  <c r="T90" i="4"/>
  <c r="S90" i="4"/>
  <c r="R90" i="4"/>
  <c r="Q90" i="4"/>
  <c r="F90" i="4"/>
  <c r="AH89" i="4"/>
  <c r="AC89" i="4"/>
  <c r="D6" i="6" s="1"/>
  <c r="AA89" i="4"/>
  <c r="AF89" i="4" s="1"/>
  <c r="Z89" i="4"/>
  <c r="Y89" i="4"/>
  <c r="X89" i="4"/>
  <c r="W89" i="4"/>
  <c r="V89" i="4"/>
  <c r="U89" i="4"/>
  <c r="T89" i="4"/>
  <c r="S89" i="4"/>
  <c r="R89" i="4"/>
  <c r="Q89" i="4"/>
  <c r="F89" i="4"/>
  <c r="AH88" i="4"/>
  <c r="AF88" i="4"/>
  <c r="AC88" i="4"/>
  <c r="D5" i="6" s="1"/>
  <c r="AB88" i="4"/>
  <c r="AG88" i="4" s="1"/>
  <c r="AA88" i="4"/>
  <c r="Z88" i="4"/>
  <c r="Y88" i="4"/>
  <c r="X88" i="4"/>
  <c r="W88" i="4"/>
  <c r="V88" i="4"/>
  <c r="U88" i="4"/>
  <c r="T88" i="4"/>
  <c r="S88" i="4"/>
  <c r="R88" i="4"/>
  <c r="Q88" i="4"/>
  <c r="F88" i="4"/>
  <c r="AH87" i="4"/>
  <c r="AC87" i="4"/>
  <c r="AB87" i="4"/>
  <c r="AG87" i="4" s="1"/>
  <c r="AA87" i="4"/>
  <c r="AF87" i="4" s="1"/>
  <c r="Z87" i="4"/>
  <c r="Y87" i="4"/>
  <c r="X87" i="4"/>
  <c r="W87" i="4"/>
  <c r="V87" i="4"/>
  <c r="U87" i="4"/>
  <c r="T87" i="4"/>
  <c r="S87" i="4"/>
  <c r="R87" i="4"/>
  <c r="Q87" i="4"/>
  <c r="F87" i="4"/>
  <c r="AH86" i="4"/>
  <c r="AF86" i="4"/>
  <c r="AC86" i="4"/>
  <c r="C45" i="6" s="1"/>
  <c r="AB86" i="4"/>
  <c r="AG86" i="4" s="1"/>
  <c r="AA86" i="4"/>
  <c r="Z86" i="4"/>
  <c r="Y86" i="4"/>
  <c r="X86" i="4"/>
  <c r="W86" i="4"/>
  <c r="V86" i="4"/>
  <c r="U86" i="4"/>
  <c r="T86" i="4"/>
  <c r="S86" i="4"/>
  <c r="R86" i="4"/>
  <c r="Q86" i="4"/>
  <c r="F86" i="4"/>
  <c r="AH85" i="4"/>
  <c r="AC85" i="4"/>
  <c r="C44" i="6" s="1"/>
  <c r="AA85" i="4"/>
  <c r="AF85" i="4" s="1"/>
  <c r="Z85" i="4"/>
  <c r="Y85" i="4"/>
  <c r="X85" i="4"/>
  <c r="W85" i="4"/>
  <c r="V85" i="4"/>
  <c r="U85" i="4"/>
  <c r="T85" i="4"/>
  <c r="S85" i="4"/>
  <c r="R85" i="4"/>
  <c r="Q85" i="4"/>
  <c r="F85" i="4"/>
  <c r="AH84" i="4"/>
  <c r="AF84" i="4"/>
  <c r="AC84" i="4"/>
  <c r="C43" i="6" s="1"/>
  <c r="AB84" i="4"/>
  <c r="AG84" i="4" s="1"/>
  <c r="AA84" i="4"/>
  <c r="Z84" i="4"/>
  <c r="Y84" i="4"/>
  <c r="X84" i="4"/>
  <c r="W84" i="4"/>
  <c r="V84" i="4"/>
  <c r="U84" i="4"/>
  <c r="T84" i="4"/>
  <c r="S84" i="4"/>
  <c r="R84" i="4"/>
  <c r="Q84" i="4"/>
  <c r="F84" i="4"/>
  <c r="AH83" i="4"/>
  <c r="AC83" i="4"/>
  <c r="C42" i="6" s="1"/>
  <c r="AA83" i="4"/>
  <c r="AB83" i="4" s="1"/>
  <c r="AG83" i="4" s="1"/>
  <c r="Z83" i="4"/>
  <c r="Y83" i="4"/>
  <c r="X83" i="4"/>
  <c r="W83" i="4"/>
  <c r="V83" i="4"/>
  <c r="U83" i="4"/>
  <c r="T83" i="4"/>
  <c r="S83" i="4"/>
  <c r="R83" i="4"/>
  <c r="Q83" i="4"/>
  <c r="F83" i="4"/>
  <c r="AH82" i="4"/>
  <c r="AC82" i="4"/>
  <c r="C41" i="6" s="1"/>
  <c r="AA82" i="4"/>
  <c r="AF82" i="4" s="1"/>
  <c r="Z82" i="4"/>
  <c r="Y82" i="4"/>
  <c r="X82" i="4"/>
  <c r="W82" i="4"/>
  <c r="V82" i="4"/>
  <c r="U82" i="4"/>
  <c r="T82" i="4"/>
  <c r="S82" i="4"/>
  <c r="R82" i="4"/>
  <c r="Q82" i="4"/>
  <c r="F82" i="4"/>
  <c r="AH81" i="4"/>
  <c r="AF81" i="4"/>
  <c r="AC81" i="4"/>
  <c r="C40" i="6" s="1"/>
  <c r="AA81" i="4"/>
  <c r="AB81" i="4" s="1"/>
  <c r="AG81" i="4" s="1"/>
  <c r="Z81" i="4"/>
  <c r="Y81" i="4"/>
  <c r="X81" i="4"/>
  <c r="W81" i="4"/>
  <c r="V81" i="4"/>
  <c r="U81" i="4"/>
  <c r="T81" i="4"/>
  <c r="S81" i="4"/>
  <c r="R81" i="4"/>
  <c r="Q81" i="4"/>
  <c r="F81" i="4"/>
  <c r="AH80" i="4"/>
  <c r="AF80" i="4"/>
  <c r="AC80" i="4"/>
  <c r="C39" i="6" s="1"/>
  <c r="AB80" i="4"/>
  <c r="AG80" i="4" s="1"/>
  <c r="AA80" i="4"/>
  <c r="Z80" i="4"/>
  <c r="Y80" i="4"/>
  <c r="X80" i="4"/>
  <c r="W80" i="4"/>
  <c r="V80" i="4"/>
  <c r="U80" i="4"/>
  <c r="T80" i="4"/>
  <c r="S80" i="4"/>
  <c r="R80" i="4"/>
  <c r="Q80" i="4"/>
  <c r="F80" i="4"/>
  <c r="AH79" i="4"/>
  <c r="AF79" i="4"/>
  <c r="AC79" i="4"/>
  <c r="C38" i="6" s="1"/>
  <c r="AB79" i="4"/>
  <c r="AG79" i="4" s="1"/>
  <c r="AA79" i="4"/>
  <c r="Z79" i="4"/>
  <c r="Y79" i="4"/>
  <c r="X79" i="4"/>
  <c r="W79" i="4"/>
  <c r="V79" i="4"/>
  <c r="U79" i="4"/>
  <c r="T79" i="4"/>
  <c r="S79" i="4"/>
  <c r="R79" i="4"/>
  <c r="Q79" i="4"/>
  <c r="F79" i="4"/>
  <c r="AH78" i="4"/>
  <c r="AC78" i="4"/>
  <c r="C37" i="6" s="1"/>
  <c r="AA78" i="4"/>
  <c r="AF78" i="4" s="1"/>
  <c r="Z78" i="4"/>
  <c r="Y78" i="4"/>
  <c r="X78" i="4"/>
  <c r="W78" i="4"/>
  <c r="V78" i="4"/>
  <c r="U78" i="4"/>
  <c r="T78" i="4"/>
  <c r="S78" i="4"/>
  <c r="R78" i="4"/>
  <c r="Q78" i="4"/>
  <c r="F78" i="4"/>
  <c r="AH77" i="4"/>
  <c r="AC77" i="4"/>
  <c r="C36" i="6" s="1"/>
  <c r="AA77" i="4"/>
  <c r="AF77" i="4" s="1"/>
  <c r="Z77" i="4"/>
  <c r="Y77" i="4"/>
  <c r="X77" i="4"/>
  <c r="W77" i="4"/>
  <c r="V77" i="4"/>
  <c r="U77" i="4"/>
  <c r="T77" i="4"/>
  <c r="S77" i="4"/>
  <c r="R77" i="4"/>
  <c r="Q77" i="4"/>
  <c r="F77" i="4"/>
  <c r="AH76" i="4"/>
  <c r="AF76" i="4"/>
  <c r="AC76" i="4"/>
  <c r="C35" i="6" s="1"/>
  <c r="AA76" i="4"/>
  <c r="AB76" i="4" s="1"/>
  <c r="AG76" i="4" s="1"/>
  <c r="Z76" i="4"/>
  <c r="Y76" i="4"/>
  <c r="X76" i="4"/>
  <c r="W76" i="4"/>
  <c r="V76" i="4"/>
  <c r="U76" i="4"/>
  <c r="T76" i="4"/>
  <c r="S76" i="4"/>
  <c r="R76" i="4"/>
  <c r="Q76" i="4"/>
  <c r="F76" i="4"/>
  <c r="AH75" i="4"/>
  <c r="AF75" i="4"/>
  <c r="AC75" i="4"/>
  <c r="C34" i="6" s="1"/>
  <c r="AB75" i="4"/>
  <c r="AG75" i="4" s="1"/>
  <c r="AA75" i="4"/>
  <c r="Z75" i="4"/>
  <c r="Y75" i="4"/>
  <c r="X75" i="4"/>
  <c r="W75" i="4"/>
  <c r="V75" i="4"/>
  <c r="U75" i="4"/>
  <c r="T75" i="4"/>
  <c r="S75" i="4"/>
  <c r="R75" i="4"/>
  <c r="Q75" i="4"/>
  <c r="F75" i="4"/>
  <c r="AH74" i="4"/>
  <c r="AF74" i="4"/>
  <c r="AC74" i="4"/>
  <c r="C33" i="6" s="1"/>
  <c r="AB74" i="4"/>
  <c r="AG74" i="4" s="1"/>
  <c r="AA74" i="4"/>
  <c r="Z74" i="4"/>
  <c r="Y74" i="4"/>
  <c r="X74" i="4"/>
  <c r="W74" i="4"/>
  <c r="V74" i="4"/>
  <c r="U74" i="4"/>
  <c r="T74" i="4"/>
  <c r="S74" i="4"/>
  <c r="R74" i="4"/>
  <c r="Q74" i="4"/>
  <c r="F74" i="4"/>
  <c r="AH73" i="4"/>
  <c r="AC73" i="4"/>
  <c r="C32" i="6" s="1"/>
  <c r="AB73" i="4"/>
  <c r="AG73" i="4" s="1"/>
  <c r="AA73" i="4"/>
  <c r="AF73" i="4" s="1"/>
  <c r="Z73" i="4"/>
  <c r="Y73" i="4"/>
  <c r="X73" i="4"/>
  <c r="W73" i="4"/>
  <c r="V73" i="4"/>
  <c r="U73" i="4"/>
  <c r="T73" i="4"/>
  <c r="S73" i="4"/>
  <c r="R73" i="4"/>
  <c r="Q73" i="4"/>
  <c r="F73" i="4"/>
  <c r="AH72" i="4"/>
  <c r="AC72" i="4"/>
  <c r="C31" i="6" s="1"/>
  <c r="AB72" i="4"/>
  <c r="AG72" i="4" s="1"/>
  <c r="AA72" i="4"/>
  <c r="AF72" i="4" s="1"/>
  <c r="Z72" i="4"/>
  <c r="Y72" i="4"/>
  <c r="X72" i="4"/>
  <c r="W72" i="4"/>
  <c r="V72" i="4"/>
  <c r="U72" i="4"/>
  <c r="T72" i="4"/>
  <c r="S72" i="4"/>
  <c r="R72" i="4"/>
  <c r="Q72" i="4"/>
  <c r="F72" i="4"/>
  <c r="AH71" i="4"/>
  <c r="AF71" i="4"/>
  <c r="AC71" i="4"/>
  <c r="C30" i="6" s="1"/>
  <c r="AB71" i="4"/>
  <c r="AG71" i="4" s="1"/>
  <c r="AA71" i="4"/>
  <c r="Z71" i="4"/>
  <c r="Y71" i="4"/>
  <c r="X71" i="4"/>
  <c r="W71" i="4"/>
  <c r="V71" i="4"/>
  <c r="U71" i="4"/>
  <c r="T71" i="4"/>
  <c r="S71" i="4"/>
  <c r="R71" i="4"/>
  <c r="Q71" i="4"/>
  <c r="F71" i="4"/>
  <c r="AH70" i="4"/>
  <c r="AC70" i="4"/>
  <c r="C29" i="6" s="1"/>
  <c r="AA70" i="4"/>
  <c r="AF70" i="4" s="1"/>
  <c r="Z70" i="4"/>
  <c r="Y70" i="4"/>
  <c r="X70" i="4"/>
  <c r="W70" i="4"/>
  <c r="V70" i="4"/>
  <c r="U70" i="4"/>
  <c r="T70" i="4"/>
  <c r="S70" i="4"/>
  <c r="R70" i="4"/>
  <c r="Q70" i="4"/>
  <c r="F70" i="4"/>
  <c r="AH69" i="4"/>
  <c r="AC69" i="4"/>
  <c r="C28" i="6" s="1"/>
  <c r="AA69" i="4"/>
  <c r="AB69" i="4" s="1"/>
  <c r="AG69" i="4" s="1"/>
  <c r="Z69" i="4"/>
  <c r="Y69" i="4"/>
  <c r="X69" i="4"/>
  <c r="W69" i="4"/>
  <c r="V69" i="4"/>
  <c r="U69" i="4"/>
  <c r="T69" i="4"/>
  <c r="S69" i="4"/>
  <c r="R69" i="4"/>
  <c r="Q69" i="4"/>
  <c r="F69" i="4"/>
  <c r="AH68" i="4"/>
  <c r="AC68" i="4"/>
  <c r="C27" i="6" s="1"/>
  <c r="AA68" i="4"/>
  <c r="AF68" i="4" s="1"/>
  <c r="Z68" i="4"/>
  <c r="Y68" i="4"/>
  <c r="X68" i="4"/>
  <c r="W68" i="4"/>
  <c r="V68" i="4"/>
  <c r="U68" i="4"/>
  <c r="T68" i="4"/>
  <c r="S68" i="4"/>
  <c r="R68" i="4"/>
  <c r="Q68" i="4"/>
  <c r="F68" i="4"/>
  <c r="AH67" i="4"/>
  <c r="AC67" i="4"/>
  <c r="C26" i="6" s="1"/>
  <c r="AA67" i="4"/>
  <c r="AF67" i="4" s="1"/>
  <c r="Z67" i="4"/>
  <c r="Y67" i="4"/>
  <c r="X67" i="4"/>
  <c r="W67" i="4"/>
  <c r="V67" i="4"/>
  <c r="U67" i="4"/>
  <c r="T67" i="4"/>
  <c r="S67" i="4"/>
  <c r="R67" i="4"/>
  <c r="Q67" i="4"/>
  <c r="F67" i="4"/>
  <c r="AH66" i="4"/>
  <c r="AF66" i="4"/>
  <c r="AC66" i="4"/>
  <c r="C25" i="6" s="1"/>
  <c r="AB66" i="4"/>
  <c r="AG66" i="4" s="1"/>
  <c r="AA66" i="4"/>
  <c r="Z66" i="4"/>
  <c r="Y66" i="4"/>
  <c r="X66" i="4"/>
  <c r="W66" i="4"/>
  <c r="V66" i="4"/>
  <c r="U66" i="4"/>
  <c r="T66" i="4"/>
  <c r="S66" i="4"/>
  <c r="R66" i="4"/>
  <c r="Q66" i="4"/>
  <c r="F66" i="4"/>
  <c r="AH65" i="4"/>
  <c r="AF65" i="4"/>
  <c r="AC65" i="4"/>
  <c r="C24" i="6" s="1"/>
  <c r="AB65" i="4"/>
  <c r="AG65" i="4" s="1"/>
  <c r="AA65" i="4"/>
  <c r="Z65" i="4"/>
  <c r="Y65" i="4"/>
  <c r="X65" i="4"/>
  <c r="W65" i="4"/>
  <c r="V65" i="4"/>
  <c r="U65" i="4"/>
  <c r="T65" i="4"/>
  <c r="S65" i="4"/>
  <c r="R65" i="4"/>
  <c r="Q65" i="4"/>
  <c r="F65" i="4"/>
  <c r="AH64" i="4"/>
  <c r="AC64" i="4"/>
  <c r="C23" i="6" s="1"/>
  <c r="AB64" i="4"/>
  <c r="AG64" i="4" s="1"/>
  <c r="AA64" i="4"/>
  <c r="AF64" i="4" s="1"/>
  <c r="Z64" i="4"/>
  <c r="Y64" i="4"/>
  <c r="X64" i="4"/>
  <c r="W64" i="4"/>
  <c r="V64" i="4"/>
  <c r="U64" i="4"/>
  <c r="T64" i="4"/>
  <c r="S64" i="4"/>
  <c r="R64" i="4"/>
  <c r="Q64" i="4"/>
  <c r="F64" i="4"/>
  <c r="AH63" i="4"/>
  <c r="AC63" i="4"/>
  <c r="C22" i="6" s="1"/>
  <c r="AA63" i="4"/>
  <c r="AF63" i="4" s="1"/>
  <c r="Z63" i="4"/>
  <c r="Y63" i="4"/>
  <c r="X63" i="4"/>
  <c r="W63" i="4"/>
  <c r="V63" i="4"/>
  <c r="U63" i="4"/>
  <c r="T63" i="4"/>
  <c r="S63" i="4"/>
  <c r="R63" i="4"/>
  <c r="Q63" i="4"/>
  <c r="F63" i="4"/>
  <c r="AH62" i="4"/>
  <c r="AC62" i="4"/>
  <c r="C21" i="6" s="1"/>
  <c r="AA62" i="4"/>
  <c r="AF62" i="4" s="1"/>
  <c r="Z62" i="4"/>
  <c r="Y62" i="4"/>
  <c r="X62" i="4"/>
  <c r="W62" i="4"/>
  <c r="V62" i="4"/>
  <c r="U62" i="4"/>
  <c r="T62" i="4"/>
  <c r="S62" i="4"/>
  <c r="R62" i="4"/>
  <c r="Q62" i="4"/>
  <c r="F62" i="4"/>
  <c r="AH61" i="4"/>
  <c r="AF61" i="4"/>
  <c r="AC61" i="4"/>
  <c r="C20" i="6" s="1"/>
  <c r="AB61" i="4"/>
  <c r="AG61" i="4" s="1"/>
  <c r="AA61" i="4"/>
  <c r="Z61" i="4"/>
  <c r="Y61" i="4"/>
  <c r="X61" i="4"/>
  <c r="W61" i="4"/>
  <c r="V61" i="4"/>
  <c r="U61" i="4"/>
  <c r="T61" i="4"/>
  <c r="S61" i="4"/>
  <c r="R61" i="4"/>
  <c r="Q61" i="4"/>
  <c r="F61" i="4"/>
  <c r="AH60" i="4"/>
  <c r="AF60" i="4"/>
  <c r="AC60" i="4"/>
  <c r="C19" i="6" s="1"/>
  <c r="AB60" i="4"/>
  <c r="AG60" i="4" s="1"/>
  <c r="AA60" i="4"/>
  <c r="Z60" i="4"/>
  <c r="Y60" i="4"/>
  <c r="X60" i="4"/>
  <c r="W60" i="4"/>
  <c r="V60" i="4"/>
  <c r="U60" i="4"/>
  <c r="T60" i="4"/>
  <c r="S60" i="4"/>
  <c r="R60" i="4"/>
  <c r="Q60" i="4"/>
  <c r="F60" i="4"/>
  <c r="AH59" i="4"/>
  <c r="AC59" i="4"/>
  <c r="C18" i="6" s="1"/>
  <c r="AA59" i="4"/>
  <c r="AF59" i="4" s="1"/>
  <c r="Z59" i="4"/>
  <c r="Y59" i="4"/>
  <c r="X59" i="4"/>
  <c r="W59" i="4"/>
  <c r="V59" i="4"/>
  <c r="U59" i="4"/>
  <c r="T59" i="4"/>
  <c r="S59" i="4"/>
  <c r="R59" i="4"/>
  <c r="Q59" i="4"/>
  <c r="F59" i="4"/>
  <c r="AH58" i="4"/>
  <c r="AF58" i="4"/>
  <c r="AC58" i="4"/>
  <c r="C17" i="6" s="1"/>
  <c r="AB58" i="4"/>
  <c r="AG58" i="4" s="1"/>
  <c r="AA58" i="4"/>
  <c r="Z58" i="4"/>
  <c r="Y58" i="4"/>
  <c r="X58" i="4"/>
  <c r="W58" i="4"/>
  <c r="V58" i="4"/>
  <c r="U58" i="4"/>
  <c r="T58" i="4"/>
  <c r="S58" i="4"/>
  <c r="R58" i="4"/>
  <c r="Q58" i="4"/>
  <c r="F58" i="4"/>
  <c r="AH57" i="4"/>
  <c r="AC57" i="4"/>
  <c r="C16" i="6" s="1"/>
  <c r="AA57" i="4"/>
  <c r="AF57" i="4" s="1"/>
  <c r="Z57" i="4"/>
  <c r="Y57" i="4"/>
  <c r="X57" i="4"/>
  <c r="W57" i="4"/>
  <c r="V57" i="4"/>
  <c r="U57" i="4"/>
  <c r="T57" i="4"/>
  <c r="S57" i="4"/>
  <c r="R57" i="4"/>
  <c r="Q57" i="4"/>
  <c r="F57" i="4"/>
  <c r="AH56" i="4"/>
  <c r="AC56" i="4"/>
  <c r="C15" i="6" s="1"/>
  <c r="AA56" i="4"/>
  <c r="AF56" i="4" s="1"/>
  <c r="Z56" i="4"/>
  <c r="Y56" i="4"/>
  <c r="X56" i="4"/>
  <c r="W56" i="4"/>
  <c r="V56" i="4"/>
  <c r="U56" i="4"/>
  <c r="T56" i="4"/>
  <c r="S56" i="4"/>
  <c r="R56" i="4"/>
  <c r="Q56" i="4"/>
  <c r="F56" i="4"/>
  <c r="AH55" i="4"/>
  <c r="AF55" i="4"/>
  <c r="AC55" i="4"/>
  <c r="C14" i="6" s="1"/>
  <c r="AA55" i="4"/>
  <c r="AB55" i="4" s="1"/>
  <c r="AG55" i="4" s="1"/>
  <c r="Z55" i="4"/>
  <c r="Y55" i="4"/>
  <c r="X55" i="4"/>
  <c r="W55" i="4"/>
  <c r="V55" i="4"/>
  <c r="U55" i="4"/>
  <c r="T55" i="4"/>
  <c r="S55" i="4"/>
  <c r="R55" i="4"/>
  <c r="Q55" i="4"/>
  <c r="F55" i="4"/>
  <c r="AH54" i="4"/>
  <c r="AF54" i="4"/>
  <c r="AC54" i="4"/>
  <c r="C13" i="6" s="1"/>
  <c r="AB54" i="4"/>
  <c r="AG54" i="4" s="1"/>
  <c r="AA54" i="4"/>
  <c r="Z54" i="4"/>
  <c r="Y54" i="4"/>
  <c r="X54" i="4"/>
  <c r="W54" i="4"/>
  <c r="V54" i="4"/>
  <c r="U54" i="4"/>
  <c r="T54" i="4"/>
  <c r="S54" i="4"/>
  <c r="R54" i="4"/>
  <c r="Q54" i="4"/>
  <c r="F54" i="4"/>
  <c r="AH53" i="4"/>
  <c r="AC53" i="4"/>
  <c r="C12" i="6" s="1"/>
  <c r="AA53" i="4"/>
  <c r="AF53" i="4" s="1"/>
  <c r="Z53" i="4"/>
  <c r="Y53" i="4"/>
  <c r="X53" i="4"/>
  <c r="W53" i="4"/>
  <c r="V53" i="4"/>
  <c r="U53" i="4"/>
  <c r="T53" i="4"/>
  <c r="S53" i="4"/>
  <c r="R53" i="4"/>
  <c r="Q53" i="4"/>
  <c r="F53" i="4"/>
  <c r="AH52" i="4"/>
  <c r="AF52" i="4"/>
  <c r="AC52" i="4"/>
  <c r="C11" i="6" s="1"/>
  <c r="AB52" i="4"/>
  <c r="AG52" i="4" s="1"/>
  <c r="AA52" i="4"/>
  <c r="Z52" i="4"/>
  <c r="Y52" i="4"/>
  <c r="X52" i="4"/>
  <c r="W52" i="4"/>
  <c r="V52" i="4"/>
  <c r="U52" i="4"/>
  <c r="T52" i="4"/>
  <c r="S52" i="4"/>
  <c r="R52" i="4"/>
  <c r="Q52" i="4"/>
  <c r="F52" i="4"/>
  <c r="AH51" i="4"/>
  <c r="AF51" i="4"/>
  <c r="AC51" i="4"/>
  <c r="C10" i="6" s="1"/>
  <c r="AB51" i="4"/>
  <c r="AG51" i="4" s="1"/>
  <c r="AA51" i="4"/>
  <c r="Z51" i="4"/>
  <c r="Y51" i="4"/>
  <c r="X51" i="4"/>
  <c r="W51" i="4"/>
  <c r="V51" i="4"/>
  <c r="U51" i="4"/>
  <c r="T51" i="4"/>
  <c r="S51" i="4"/>
  <c r="R51" i="4"/>
  <c r="Q51" i="4"/>
  <c r="F51" i="4"/>
  <c r="AH50" i="4"/>
  <c r="AC50" i="4"/>
  <c r="C9" i="6" s="1"/>
  <c r="AB50" i="4"/>
  <c r="AG50" i="4" s="1"/>
  <c r="AA50" i="4"/>
  <c r="AF50" i="4" s="1"/>
  <c r="Z50" i="4"/>
  <c r="Y50" i="4"/>
  <c r="X50" i="4"/>
  <c r="W50" i="4"/>
  <c r="V50" i="4"/>
  <c r="U50" i="4"/>
  <c r="T50" i="4"/>
  <c r="S50" i="4"/>
  <c r="R50" i="4"/>
  <c r="Q50" i="4"/>
  <c r="F50" i="4"/>
  <c r="AH49" i="4"/>
  <c r="AF49" i="4"/>
  <c r="AC49" i="4"/>
  <c r="C8" i="6" s="1"/>
  <c r="AB49" i="4"/>
  <c r="AG49" i="4" s="1"/>
  <c r="AA49" i="4"/>
  <c r="Z49" i="4"/>
  <c r="Y49" i="4"/>
  <c r="X49" i="4"/>
  <c r="W49" i="4"/>
  <c r="V49" i="4"/>
  <c r="U49" i="4"/>
  <c r="T49" i="4"/>
  <c r="S49" i="4"/>
  <c r="R49" i="4"/>
  <c r="Q49" i="4"/>
  <c r="F49" i="4"/>
  <c r="AH48" i="4"/>
  <c r="AC48" i="4"/>
  <c r="C7" i="6" s="1"/>
  <c r="AA48" i="4"/>
  <c r="AF48" i="4" s="1"/>
  <c r="Z48" i="4"/>
  <c r="Y48" i="4"/>
  <c r="X48" i="4"/>
  <c r="W48" i="4"/>
  <c r="V48" i="4"/>
  <c r="U48" i="4"/>
  <c r="T48" i="4"/>
  <c r="S48" i="4"/>
  <c r="R48" i="4"/>
  <c r="Q48" i="4"/>
  <c r="F48" i="4"/>
  <c r="AH47" i="4"/>
  <c r="AF47" i="4"/>
  <c r="AC47" i="4"/>
  <c r="C6" i="6" s="1"/>
  <c r="AB47" i="4"/>
  <c r="AG47" i="4" s="1"/>
  <c r="AA47" i="4"/>
  <c r="Z47" i="4"/>
  <c r="Y47" i="4"/>
  <c r="X47" i="4"/>
  <c r="W47" i="4"/>
  <c r="V47" i="4"/>
  <c r="U47" i="4"/>
  <c r="T47" i="4"/>
  <c r="S47" i="4"/>
  <c r="R47" i="4"/>
  <c r="Q47" i="4"/>
  <c r="F47" i="4"/>
  <c r="AH46" i="4"/>
  <c r="AF46" i="4"/>
  <c r="AC46" i="4"/>
  <c r="C5" i="6" s="1"/>
  <c r="AB46" i="4"/>
  <c r="AG46" i="4" s="1"/>
  <c r="AA46" i="4"/>
  <c r="Z46" i="4"/>
  <c r="Y46" i="4"/>
  <c r="X46" i="4"/>
  <c r="W46" i="4"/>
  <c r="V46" i="4"/>
  <c r="U46" i="4"/>
  <c r="T46" i="4"/>
  <c r="S46" i="4"/>
  <c r="R46" i="4"/>
  <c r="Q46" i="4"/>
  <c r="F46" i="4"/>
  <c r="AH45" i="4"/>
  <c r="AC45" i="4"/>
  <c r="AA45" i="4"/>
  <c r="AF45" i="4" s="1"/>
  <c r="Z45" i="4"/>
  <c r="Y45" i="4"/>
  <c r="X45" i="4"/>
  <c r="W45" i="4"/>
  <c r="V45" i="4"/>
  <c r="U45" i="4"/>
  <c r="T45" i="4"/>
  <c r="S45" i="4"/>
  <c r="R45" i="4"/>
  <c r="Q45" i="4"/>
  <c r="F45" i="4"/>
  <c r="AH44" i="4"/>
  <c r="AF44" i="4"/>
  <c r="AC44" i="4"/>
  <c r="B45" i="6" s="1"/>
  <c r="AA44" i="4"/>
  <c r="AB44" i="4" s="1"/>
  <c r="AG44" i="4" s="1"/>
  <c r="Z44" i="4"/>
  <c r="Y44" i="4"/>
  <c r="X44" i="4"/>
  <c r="W44" i="4"/>
  <c r="V44" i="4"/>
  <c r="U44" i="4"/>
  <c r="T44" i="4"/>
  <c r="S44" i="4"/>
  <c r="R44" i="4"/>
  <c r="Q44" i="4"/>
  <c r="F44" i="4"/>
  <c r="AH43" i="4"/>
  <c r="AF43" i="4"/>
  <c r="AC43" i="4"/>
  <c r="B44" i="6" s="1"/>
  <c r="AB43" i="4"/>
  <c r="AG43" i="4" s="1"/>
  <c r="AA43" i="4"/>
  <c r="Z43" i="4"/>
  <c r="Y43" i="4"/>
  <c r="X43" i="4"/>
  <c r="W43" i="4"/>
  <c r="V43" i="4"/>
  <c r="U43" i="4"/>
  <c r="T43" i="4"/>
  <c r="S43" i="4"/>
  <c r="R43" i="4"/>
  <c r="Q43" i="4"/>
  <c r="F43" i="4"/>
  <c r="AH42" i="4"/>
  <c r="AC42" i="4"/>
  <c r="B43" i="6" s="1"/>
  <c r="N43" i="6" s="1"/>
  <c r="O43" i="6" s="1"/>
  <c r="AA42" i="4"/>
  <c r="AF42" i="4" s="1"/>
  <c r="Z42" i="4"/>
  <c r="Y42" i="4"/>
  <c r="X42" i="4"/>
  <c r="W42" i="4"/>
  <c r="V42" i="4"/>
  <c r="U42" i="4"/>
  <c r="T42" i="4"/>
  <c r="S42" i="4"/>
  <c r="R42" i="4"/>
  <c r="Q42" i="4"/>
  <c r="F42" i="4"/>
  <c r="AH41" i="4"/>
  <c r="AC41" i="4"/>
  <c r="B42" i="6" s="1"/>
  <c r="N42" i="6" s="1"/>
  <c r="O42" i="6" s="1"/>
  <c r="AA41" i="4"/>
  <c r="AB41" i="4" s="1"/>
  <c r="AG41" i="4" s="1"/>
  <c r="Z41" i="4"/>
  <c r="Y41" i="4"/>
  <c r="X41" i="4"/>
  <c r="W41" i="4"/>
  <c r="V41" i="4"/>
  <c r="U41" i="4"/>
  <c r="T41" i="4"/>
  <c r="S41" i="4"/>
  <c r="R41" i="4"/>
  <c r="Q41" i="4"/>
  <c r="F41" i="4"/>
  <c r="AH40" i="4"/>
  <c r="AC40" i="4"/>
  <c r="B41" i="6" s="1"/>
  <c r="AB40" i="4"/>
  <c r="AG40" i="4" s="1"/>
  <c r="AA40" i="4"/>
  <c r="AF40" i="4" s="1"/>
  <c r="Z40" i="4"/>
  <c r="Y40" i="4"/>
  <c r="X40" i="4"/>
  <c r="W40" i="4"/>
  <c r="V40" i="4"/>
  <c r="U40" i="4"/>
  <c r="T40" i="4"/>
  <c r="S40" i="4"/>
  <c r="R40" i="4"/>
  <c r="Q40" i="4"/>
  <c r="F40" i="4"/>
  <c r="AH39" i="4"/>
  <c r="AF39" i="4"/>
  <c r="AC39" i="4"/>
  <c r="B40" i="6" s="1"/>
  <c r="N40" i="6" s="1"/>
  <c r="O40" i="6" s="1"/>
  <c r="AB39" i="4"/>
  <c r="AG39" i="4" s="1"/>
  <c r="AA39" i="4"/>
  <c r="Z39" i="4"/>
  <c r="Y39" i="4"/>
  <c r="X39" i="4"/>
  <c r="W39" i="4"/>
  <c r="V39" i="4"/>
  <c r="U39" i="4"/>
  <c r="T39" i="4"/>
  <c r="S39" i="4"/>
  <c r="R39" i="4"/>
  <c r="Q39" i="4"/>
  <c r="F39" i="4"/>
  <c r="AH38" i="4"/>
  <c r="AC38" i="4"/>
  <c r="B39" i="6" s="1"/>
  <c r="AA38" i="4"/>
  <c r="AF38" i="4" s="1"/>
  <c r="Z38" i="4"/>
  <c r="Y38" i="4"/>
  <c r="X38" i="4"/>
  <c r="W38" i="4"/>
  <c r="V38" i="4"/>
  <c r="U38" i="4"/>
  <c r="T38" i="4"/>
  <c r="S38" i="4"/>
  <c r="R38" i="4"/>
  <c r="Q38" i="4"/>
  <c r="F38" i="4"/>
  <c r="AH37" i="4"/>
  <c r="AF37" i="4"/>
  <c r="AC37" i="4"/>
  <c r="B38" i="6" s="1"/>
  <c r="AB37" i="4"/>
  <c r="AG37" i="4" s="1"/>
  <c r="AA37" i="4"/>
  <c r="Z37" i="4"/>
  <c r="Y37" i="4"/>
  <c r="X37" i="4"/>
  <c r="W37" i="4"/>
  <c r="V37" i="4"/>
  <c r="U37" i="4"/>
  <c r="T37" i="4"/>
  <c r="S37" i="4"/>
  <c r="R37" i="4"/>
  <c r="Q37" i="4"/>
  <c r="F37" i="4"/>
  <c r="AH36" i="4"/>
  <c r="AC36" i="4"/>
  <c r="B37" i="6" s="1"/>
  <c r="AA36" i="4"/>
  <c r="AF36" i="4" s="1"/>
  <c r="Z36" i="4"/>
  <c r="Y36" i="4"/>
  <c r="X36" i="4"/>
  <c r="W36" i="4"/>
  <c r="V36" i="4"/>
  <c r="U36" i="4"/>
  <c r="T36" i="4"/>
  <c r="S36" i="4"/>
  <c r="R36" i="4"/>
  <c r="Q36" i="4"/>
  <c r="F36" i="4"/>
  <c r="AH35" i="4"/>
  <c r="AC35" i="4"/>
  <c r="B36" i="6" s="1"/>
  <c r="AA35" i="4"/>
  <c r="AF35" i="4" s="1"/>
  <c r="Z35" i="4"/>
  <c r="Y35" i="4"/>
  <c r="X35" i="4"/>
  <c r="W35" i="4"/>
  <c r="V35" i="4"/>
  <c r="U35" i="4"/>
  <c r="T35" i="4"/>
  <c r="S35" i="4"/>
  <c r="R35" i="4"/>
  <c r="Q35" i="4"/>
  <c r="F35" i="4"/>
  <c r="AH34" i="4"/>
  <c r="AF34" i="4"/>
  <c r="AC34" i="4"/>
  <c r="B35" i="6" s="1"/>
  <c r="AA34" i="4"/>
  <c r="AB34" i="4" s="1"/>
  <c r="AG34" i="4" s="1"/>
  <c r="Z34" i="4"/>
  <c r="Y34" i="4"/>
  <c r="X34" i="4"/>
  <c r="W34" i="4"/>
  <c r="V34" i="4"/>
  <c r="U34" i="4"/>
  <c r="T34" i="4"/>
  <c r="S34" i="4"/>
  <c r="R34" i="4"/>
  <c r="Q34" i="4"/>
  <c r="F34" i="4"/>
  <c r="AH33" i="4"/>
  <c r="AF33" i="4"/>
  <c r="AC33" i="4"/>
  <c r="B34" i="6" s="1"/>
  <c r="AB33" i="4"/>
  <c r="AG33" i="4" s="1"/>
  <c r="AA33" i="4"/>
  <c r="Z33" i="4"/>
  <c r="Y33" i="4"/>
  <c r="X33" i="4"/>
  <c r="W33" i="4"/>
  <c r="V33" i="4"/>
  <c r="U33" i="4"/>
  <c r="T33" i="4"/>
  <c r="S33" i="4"/>
  <c r="R33" i="4"/>
  <c r="Q33" i="4"/>
  <c r="F33" i="4"/>
  <c r="AH32" i="4"/>
  <c r="AC32" i="4"/>
  <c r="B33" i="6" s="1"/>
  <c r="AA32" i="4"/>
  <c r="AF32" i="4" s="1"/>
  <c r="Z32" i="4"/>
  <c r="Y32" i="4"/>
  <c r="X32" i="4"/>
  <c r="W32" i="4"/>
  <c r="V32" i="4"/>
  <c r="U32" i="4"/>
  <c r="T32" i="4"/>
  <c r="S32" i="4"/>
  <c r="R32" i="4"/>
  <c r="Q32" i="4"/>
  <c r="F32" i="4"/>
  <c r="AH31" i="4"/>
  <c r="AC31" i="4"/>
  <c r="B32" i="6" s="1"/>
  <c r="AA31" i="4"/>
  <c r="AF31" i="4" s="1"/>
  <c r="Z31" i="4"/>
  <c r="Y31" i="4"/>
  <c r="X31" i="4"/>
  <c r="W31" i="4"/>
  <c r="V31" i="4"/>
  <c r="U31" i="4"/>
  <c r="T31" i="4"/>
  <c r="S31" i="4"/>
  <c r="R31" i="4"/>
  <c r="Q31" i="4"/>
  <c r="F31" i="4"/>
  <c r="AH30" i="4"/>
  <c r="AF30" i="4"/>
  <c r="AC30" i="4"/>
  <c r="B31" i="6" s="1"/>
  <c r="AB30" i="4"/>
  <c r="AG30" i="4" s="1"/>
  <c r="AA30" i="4"/>
  <c r="Z30" i="4"/>
  <c r="Y30" i="4"/>
  <c r="X30" i="4"/>
  <c r="W30" i="4"/>
  <c r="V30" i="4"/>
  <c r="U30" i="4"/>
  <c r="T30" i="4"/>
  <c r="S30" i="4"/>
  <c r="R30" i="4"/>
  <c r="Q30" i="4"/>
  <c r="F30" i="4"/>
  <c r="AH29" i="4"/>
  <c r="AF29" i="4"/>
  <c r="AC29" i="4"/>
  <c r="B30" i="6" s="1"/>
  <c r="AB29" i="4"/>
  <c r="AG29" i="4" s="1"/>
  <c r="AA29" i="4"/>
  <c r="Z29" i="4"/>
  <c r="Y29" i="4"/>
  <c r="X29" i="4"/>
  <c r="W29" i="4"/>
  <c r="V29" i="4"/>
  <c r="U29" i="4"/>
  <c r="T29" i="4"/>
  <c r="S29" i="4"/>
  <c r="R29" i="4"/>
  <c r="Q29" i="4"/>
  <c r="F29" i="4"/>
  <c r="AH28" i="4"/>
  <c r="AC28" i="4"/>
  <c r="B29" i="6" s="1"/>
  <c r="AA28" i="4"/>
  <c r="AF28" i="4" s="1"/>
  <c r="Z28" i="4"/>
  <c r="Y28" i="4"/>
  <c r="X28" i="4"/>
  <c r="W28" i="4"/>
  <c r="V28" i="4"/>
  <c r="U28" i="4"/>
  <c r="T28" i="4"/>
  <c r="S28" i="4"/>
  <c r="R28" i="4"/>
  <c r="Q28" i="4"/>
  <c r="F28" i="4"/>
  <c r="AH27" i="4"/>
  <c r="AF27" i="4"/>
  <c r="AC27" i="4"/>
  <c r="B28" i="6" s="1"/>
  <c r="AA27" i="4"/>
  <c r="AB27" i="4" s="1"/>
  <c r="AG27" i="4" s="1"/>
  <c r="Z27" i="4"/>
  <c r="Y27" i="4"/>
  <c r="X27" i="4"/>
  <c r="W27" i="4"/>
  <c r="V27" i="4"/>
  <c r="U27" i="4"/>
  <c r="T27" i="4"/>
  <c r="S27" i="4"/>
  <c r="R27" i="4"/>
  <c r="Q27" i="4"/>
  <c r="F27" i="4"/>
  <c r="AH26" i="4"/>
  <c r="AC26" i="4"/>
  <c r="B27" i="6" s="1"/>
  <c r="AA26" i="4"/>
  <c r="AB26" i="4" s="1"/>
  <c r="AG26" i="4" s="1"/>
  <c r="Z26" i="4"/>
  <c r="Y26" i="4"/>
  <c r="X26" i="4"/>
  <c r="W26" i="4"/>
  <c r="V26" i="4"/>
  <c r="U26" i="4"/>
  <c r="T26" i="4"/>
  <c r="S26" i="4"/>
  <c r="R26" i="4"/>
  <c r="Q26" i="4"/>
  <c r="F26" i="4"/>
  <c r="AH25" i="4"/>
  <c r="AF25" i="4"/>
  <c r="AC25" i="4"/>
  <c r="B26" i="6" s="1"/>
  <c r="AB25" i="4"/>
  <c r="AG25" i="4" s="1"/>
  <c r="AA25" i="4"/>
  <c r="Z25" i="4"/>
  <c r="Y25" i="4"/>
  <c r="X25" i="4"/>
  <c r="W25" i="4"/>
  <c r="V25" i="4"/>
  <c r="U25" i="4"/>
  <c r="T25" i="4"/>
  <c r="S25" i="4"/>
  <c r="R25" i="4"/>
  <c r="Q25" i="4"/>
  <c r="F25" i="4"/>
  <c r="AH24" i="4"/>
  <c r="AC24" i="4"/>
  <c r="B25" i="6" s="1"/>
  <c r="AA24" i="4"/>
  <c r="AF24" i="4" s="1"/>
  <c r="Z24" i="4"/>
  <c r="Y24" i="4"/>
  <c r="X24" i="4"/>
  <c r="W24" i="4"/>
  <c r="V24" i="4"/>
  <c r="U24" i="4"/>
  <c r="T24" i="4"/>
  <c r="S24" i="4"/>
  <c r="R24" i="4"/>
  <c r="Q24" i="4"/>
  <c r="F24" i="4"/>
  <c r="AH23" i="4"/>
  <c r="AF23" i="4"/>
  <c r="AC23" i="4"/>
  <c r="B24" i="6" s="1"/>
  <c r="AB23" i="4"/>
  <c r="AG23" i="4" s="1"/>
  <c r="AA23" i="4"/>
  <c r="Z23" i="4"/>
  <c r="Y23" i="4"/>
  <c r="X23" i="4"/>
  <c r="W23" i="4"/>
  <c r="V23" i="4"/>
  <c r="U23" i="4"/>
  <c r="T23" i="4"/>
  <c r="S23" i="4"/>
  <c r="R23" i="4"/>
  <c r="Q23" i="4"/>
  <c r="F23" i="4"/>
  <c r="AH22" i="4"/>
  <c r="AC22" i="4"/>
  <c r="B23" i="6" s="1"/>
  <c r="AA22" i="4"/>
  <c r="AF22" i="4" s="1"/>
  <c r="Z22" i="4"/>
  <c r="Y22" i="4"/>
  <c r="X22" i="4"/>
  <c r="W22" i="4"/>
  <c r="V22" i="4"/>
  <c r="U22" i="4"/>
  <c r="T22" i="4"/>
  <c r="S22" i="4"/>
  <c r="R22" i="4"/>
  <c r="Q22" i="4"/>
  <c r="F22" i="4"/>
  <c r="AH21" i="4"/>
  <c r="AC21" i="4"/>
  <c r="B22" i="6" s="1"/>
  <c r="AA21" i="4"/>
  <c r="AB21" i="4" s="1"/>
  <c r="AG21" i="4" s="1"/>
  <c r="Z21" i="4"/>
  <c r="Y21" i="4"/>
  <c r="X21" i="4"/>
  <c r="W21" i="4"/>
  <c r="V21" i="4"/>
  <c r="U21" i="4"/>
  <c r="T21" i="4"/>
  <c r="S21" i="4"/>
  <c r="R21" i="4"/>
  <c r="Q21" i="4"/>
  <c r="F21" i="4"/>
  <c r="AH20" i="4"/>
  <c r="AF20" i="4"/>
  <c r="AC20" i="4"/>
  <c r="B21" i="6" s="1"/>
  <c r="AA20" i="4"/>
  <c r="AB20" i="4" s="1"/>
  <c r="AG20" i="4" s="1"/>
  <c r="Z20" i="4"/>
  <c r="Y20" i="4"/>
  <c r="X20" i="4"/>
  <c r="W20" i="4"/>
  <c r="V20" i="4"/>
  <c r="U20" i="4"/>
  <c r="T20" i="4"/>
  <c r="S20" i="4"/>
  <c r="R20" i="4"/>
  <c r="Q20" i="4"/>
  <c r="F20" i="4"/>
  <c r="AH19" i="4"/>
  <c r="AF19" i="4"/>
  <c r="AC19" i="4"/>
  <c r="B20" i="6" s="1"/>
  <c r="AB19" i="4"/>
  <c r="AG19" i="4" s="1"/>
  <c r="AA19" i="4"/>
  <c r="Z19" i="4"/>
  <c r="Y19" i="4"/>
  <c r="X19" i="4"/>
  <c r="W19" i="4"/>
  <c r="V19" i="4"/>
  <c r="U19" i="4"/>
  <c r="T19" i="4"/>
  <c r="S19" i="4"/>
  <c r="R19" i="4"/>
  <c r="Q19" i="4"/>
  <c r="F19" i="4"/>
  <c r="AH18" i="4"/>
  <c r="AC18" i="4"/>
  <c r="B19" i="6" s="1"/>
  <c r="AA18" i="4"/>
  <c r="AF18" i="4" s="1"/>
  <c r="Z18" i="4"/>
  <c r="Y18" i="4"/>
  <c r="X18" i="4"/>
  <c r="W18" i="4"/>
  <c r="V18" i="4"/>
  <c r="U18" i="4"/>
  <c r="T18" i="4"/>
  <c r="S18" i="4"/>
  <c r="R18" i="4"/>
  <c r="Q18" i="4"/>
  <c r="F18" i="4"/>
  <c r="AH17" i="4"/>
  <c r="AC17" i="4"/>
  <c r="B18" i="6" s="1"/>
  <c r="AA17" i="4"/>
  <c r="AF17" i="4" s="1"/>
  <c r="Z17" i="4"/>
  <c r="Y17" i="4"/>
  <c r="X17" i="4"/>
  <c r="W17" i="4"/>
  <c r="V17" i="4"/>
  <c r="U17" i="4"/>
  <c r="T17" i="4"/>
  <c r="S17" i="4"/>
  <c r="R17" i="4"/>
  <c r="Q17" i="4"/>
  <c r="F17" i="4"/>
  <c r="AH16" i="4"/>
  <c r="AF16" i="4"/>
  <c r="AC16" i="4"/>
  <c r="B17" i="6" s="1"/>
  <c r="AB16" i="4"/>
  <c r="AG16" i="4" s="1"/>
  <c r="AA16" i="4"/>
  <c r="Z16" i="4"/>
  <c r="Y16" i="4"/>
  <c r="X16" i="4"/>
  <c r="W16" i="4"/>
  <c r="V16" i="4"/>
  <c r="U16" i="4"/>
  <c r="T16" i="4"/>
  <c r="S16" i="4"/>
  <c r="R16" i="4"/>
  <c r="Q16" i="4"/>
  <c r="F16" i="4"/>
  <c r="AH15" i="4"/>
  <c r="AF15" i="4"/>
  <c r="AC15" i="4"/>
  <c r="B16" i="6" s="1"/>
  <c r="AB15" i="4"/>
  <c r="AG15" i="4" s="1"/>
  <c r="AA15" i="4"/>
  <c r="Z15" i="4"/>
  <c r="Y15" i="4"/>
  <c r="X15" i="4"/>
  <c r="W15" i="4"/>
  <c r="V15" i="4"/>
  <c r="U15" i="4"/>
  <c r="T15" i="4"/>
  <c r="S15" i="4"/>
  <c r="R15" i="4"/>
  <c r="Q15" i="4"/>
  <c r="F15" i="4"/>
  <c r="AH14" i="4"/>
  <c r="AC14" i="4"/>
  <c r="B15" i="6" s="1"/>
  <c r="AA14" i="4"/>
  <c r="AF14" i="4" s="1"/>
  <c r="Z14" i="4"/>
  <c r="Y14" i="4"/>
  <c r="X14" i="4"/>
  <c r="W14" i="4"/>
  <c r="V14" i="4"/>
  <c r="U14" i="4"/>
  <c r="T14" i="4"/>
  <c r="S14" i="4"/>
  <c r="R14" i="4"/>
  <c r="Q14" i="4"/>
  <c r="F14" i="4"/>
  <c r="AH13" i="4"/>
  <c r="AF13" i="4"/>
  <c r="AC13" i="4"/>
  <c r="B14" i="6" s="1"/>
  <c r="N14" i="6" s="1"/>
  <c r="O14" i="6" s="1"/>
  <c r="AA13" i="4"/>
  <c r="AB13" i="4" s="1"/>
  <c r="AG13" i="4" s="1"/>
  <c r="Z13" i="4"/>
  <c r="Y13" i="4"/>
  <c r="X13" i="4"/>
  <c r="W13" i="4"/>
  <c r="V13" i="4"/>
  <c r="U13" i="4"/>
  <c r="T13" i="4"/>
  <c r="S13" i="4"/>
  <c r="R13" i="4"/>
  <c r="Q13" i="4"/>
  <c r="F13" i="4"/>
  <c r="AH12" i="4"/>
  <c r="AC12" i="4"/>
  <c r="B13" i="6" s="1"/>
  <c r="AA12" i="4"/>
  <c r="AB12" i="4" s="1"/>
  <c r="AG12" i="4" s="1"/>
  <c r="Z12" i="4"/>
  <c r="Y12" i="4"/>
  <c r="X12" i="4"/>
  <c r="W12" i="4"/>
  <c r="V12" i="4"/>
  <c r="U12" i="4"/>
  <c r="T12" i="4"/>
  <c r="S12" i="4"/>
  <c r="R12" i="4"/>
  <c r="Q12" i="4"/>
  <c r="F12" i="4"/>
  <c r="AH11" i="4"/>
  <c r="AF11" i="4"/>
  <c r="AC11" i="4"/>
  <c r="B12" i="6" s="1"/>
  <c r="AA11" i="4"/>
  <c r="AB11" i="4" s="1"/>
  <c r="AG11" i="4" s="1"/>
  <c r="Z11" i="4"/>
  <c r="Y11" i="4"/>
  <c r="X11" i="4"/>
  <c r="W11" i="4"/>
  <c r="V11" i="4"/>
  <c r="U11" i="4"/>
  <c r="T11" i="4"/>
  <c r="S11" i="4"/>
  <c r="R11" i="4"/>
  <c r="Q11" i="4"/>
  <c r="F11" i="4"/>
  <c r="AH10" i="4"/>
  <c r="AC10" i="4"/>
  <c r="B11" i="6" s="1"/>
  <c r="AA10" i="4"/>
  <c r="AF10" i="4" s="1"/>
  <c r="Z10" i="4"/>
  <c r="Y10" i="4"/>
  <c r="X10" i="4"/>
  <c r="W10" i="4"/>
  <c r="V10" i="4"/>
  <c r="U10" i="4"/>
  <c r="T10" i="4"/>
  <c r="S10" i="4"/>
  <c r="R10" i="4"/>
  <c r="Q10" i="4"/>
  <c r="F10" i="4"/>
  <c r="AH9" i="4"/>
  <c r="AF9" i="4"/>
  <c r="AC9" i="4"/>
  <c r="B10" i="6" s="1"/>
  <c r="AB9" i="4"/>
  <c r="AG9" i="4" s="1"/>
  <c r="AA9" i="4"/>
  <c r="Z9" i="4"/>
  <c r="Y9" i="4"/>
  <c r="X9" i="4"/>
  <c r="W9" i="4"/>
  <c r="V9" i="4"/>
  <c r="U9" i="4"/>
  <c r="T9" i="4"/>
  <c r="S9" i="4"/>
  <c r="R9" i="4"/>
  <c r="Q9" i="4"/>
  <c r="F9" i="4"/>
  <c r="AH8" i="4"/>
  <c r="AC8" i="4"/>
  <c r="B9" i="6" s="1"/>
  <c r="AA8" i="4"/>
  <c r="AF8" i="4" s="1"/>
  <c r="Z8" i="4"/>
  <c r="Y8" i="4"/>
  <c r="X8" i="4"/>
  <c r="W8" i="4"/>
  <c r="V8" i="4"/>
  <c r="U8" i="4"/>
  <c r="T8" i="4"/>
  <c r="S8" i="4"/>
  <c r="R8" i="4"/>
  <c r="Q8" i="4"/>
  <c r="F8" i="4"/>
  <c r="AH7" i="4"/>
  <c r="AC7" i="4"/>
  <c r="B8" i="6" s="1"/>
  <c r="AA7" i="4"/>
  <c r="AF7" i="4" s="1"/>
  <c r="Z7" i="4"/>
  <c r="Y7" i="4"/>
  <c r="X7" i="4"/>
  <c r="W7" i="4"/>
  <c r="V7" i="4"/>
  <c r="U7" i="4"/>
  <c r="T7" i="4"/>
  <c r="S7" i="4"/>
  <c r="R7" i="4"/>
  <c r="Q7" i="4"/>
  <c r="F7" i="4"/>
  <c r="AH6" i="4"/>
  <c r="AF6" i="4"/>
  <c r="AC6" i="4"/>
  <c r="B7" i="6" s="1"/>
  <c r="AA6" i="4"/>
  <c r="AB6" i="4" s="1"/>
  <c r="AG6" i="4" s="1"/>
  <c r="Z6" i="4"/>
  <c r="Y6" i="4"/>
  <c r="X6" i="4"/>
  <c r="W6" i="4"/>
  <c r="V6" i="4"/>
  <c r="U6" i="4"/>
  <c r="T6" i="4"/>
  <c r="S6" i="4"/>
  <c r="R6" i="4"/>
  <c r="Q6" i="4"/>
  <c r="F6" i="4"/>
  <c r="AH5" i="4"/>
  <c r="AF5" i="4"/>
  <c r="AC5" i="4"/>
  <c r="B6" i="6" s="1"/>
  <c r="AB5" i="4"/>
  <c r="AG5" i="4" s="1"/>
  <c r="AA5" i="4"/>
  <c r="Z5" i="4"/>
  <c r="Y5" i="4"/>
  <c r="X5" i="4"/>
  <c r="W5" i="4"/>
  <c r="V5" i="4"/>
  <c r="U5" i="4"/>
  <c r="T5" i="4"/>
  <c r="S5" i="4"/>
  <c r="R5" i="4"/>
  <c r="Q5" i="4"/>
  <c r="F5" i="4"/>
  <c r="AH4" i="4"/>
  <c r="AC4" i="4"/>
  <c r="B5" i="6" s="1"/>
  <c r="AA4" i="4"/>
  <c r="AF4" i="4" s="1"/>
  <c r="Z4" i="4"/>
  <c r="Y4" i="4"/>
  <c r="X4" i="4"/>
  <c r="W4" i="4"/>
  <c r="V4" i="4"/>
  <c r="U4" i="4"/>
  <c r="T4" i="4"/>
  <c r="S4" i="4"/>
  <c r="R4" i="4"/>
  <c r="Q4" i="4"/>
  <c r="F4" i="4"/>
  <c r="AH3" i="4"/>
  <c r="AC3" i="4"/>
  <c r="AA3" i="4"/>
  <c r="AF3" i="4" s="1"/>
  <c r="Z3" i="4"/>
  <c r="Y3" i="4"/>
  <c r="X3" i="4"/>
  <c r="W3" i="4"/>
  <c r="V3" i="4"/>
  <c r="U3" i="4"/>
  <c r="T3" i="4"/>
  <c r="S3" i="4"/>
  <c r="R3" i="4"/>
  <c r="Q3" i="4"/>
  <c r="F3" i="4"/>
  <c r="AA256" i="4" l="1"/>
  <c r="AF256" i="4" s="1"/>
  <c r="AA257" i="4"/>
  <c r="H5" i="6"/>
  <c r="AB257" i="4"/>
  <c r="AG257" i="4" s="1"/>
  <c r="AF257" i="4"/>
  <c r="H6" i="6"/>
  <c r="H7" i="6"/>
  <c r="AF260" i="4"/>
  <c r="AB260" i="4"/>
  <c r="AG260" i="4" s="1"/>
  <c r="H9" i="6"/>
  <c r="H10" i="6"/>
  <c r="AF262" i="4"/>
  <c r="H11" i="6" s="1"/>
  <c r="N11" i="6" s="1"/>
  <c r="O11" i="6" s="1"/>
  <c r="AB262" i="4"/>
  <c r="AG262" i="4" s="1"/>
  <c r="AF263" i="4"/>
  <c r="AB263" i="4"/>
  <c r="AG263" i="4" s="1"/>
  <c r="H12" i="6"/>
  <c r="N12" i="6" s="1"/>
  <c r="O12" i="6" s="1"/>
  <c r="AF266" i="4"/>
  <c r="AB266" i="4"/>
  <c r="AG266" i="4" s="1"/>
  <c r="H15" i="6"/>
  <c r="AB270" i="4"/>
  <c r="AG270" i="4" s="1"/>
  <c r="AF270" i="4"/>
  <c r="H19" i="6"/>
  <c r="N19" i="6" s="1"/>
  <c r="O19" i="6" s="1"/>
  <c r="AB235" i="4"/>
  <c r="AG235" i="4" s="1"/>
  <c r="AF235" i="4"/>
  <c r="AB264" i="4"/>
  <c r="AG264" i="4" s="1"/>
  <c r="AF264" i="4"/>
  <c r="AB236" i="4"/>
  <c r="AG236" i="4" s="1"/>
  <c r="AF236" i="4"/>
  <c r="AF238" i="4"/>
  <c r="AB238" i="4"/>
  <c r="AG238" i="4" s="1"/>
  <c r="AF240" i="4"/>
  <c r="AB240" i="4"/>
  <c r="AG240" i="4" s="1"/>
  <c r="AF248" i="4"/>
  <c r="AB248" i="4"/>
  <c r="AG248" i="4" s="1"/>
  <c r="AB281" i="4"/>
  <c r="AG281" i="4" s="1"/>
  <c r="AF281" i="4"/>
  <c r="H30" i="6" s="1"/>
  <c r="AF232" i="4"/>
  <c r="AB232" i="4"/>
  <c r="AG232" i="4" s="1"/>
  <c r="AF231" i="4"/>
  <c r="G22" i="6" s="1"/>
  <c r="AB231" i="4"/>
  <c r="AG231" i="4" s="1"/>
  <c r="AB280" i="4"/>
  <c r="AG280" i="4" s="1"/>
  <c r="AF280" i="4"/>
  <c r="AB230" i="4"/>
  <c r="AG230" i="4" s="1"/>
  <c r="AF230" i="4"/>
  <c r="G21" i="6" s="1"/>
  <c r="AF282" i="4"/>
  <c r="H31" i="6" s="1"/>
  <c r="AB282" i="4"/>
  <c r="AG282" i="4" s="1"/>
  <c r="AB35" i="4"/>
  <c r="AG35" i="4" s="1"/>
  <c r="AB45" i="4"/>
  <c r="AG45" i="4" s="1"/>
  <c r="AB56" i="4"/>
  <c r="AG56" i="4" s="1"/>
  <c r="AB77" i="4"/>
  <c r="AG77" i="4" s="1"/>
  <c r="AB82" i="4"/>
  <c r="AG82" i="4" s="1"/>
  <c r="D48" i="6"/>
  <c r="D4" i="6"/>
  <c r="I5" i="7" s="1"/>
  <c r="AB99" i="4"/>
  <c r="AG99" i="4" s="1"/>
  <c r="AB157" i="4"/>
  <c r="AG157" i="4" s="1"/>
  <c r="AF195" i="4"/>
  <c r="AB195" i="4"/>
  <c r="AG195" i="4" s="1"/>
  <c r="AF209" i="4"/>
  <c r="AB209" i="4"/>
  <c r="AG209" i="4" s="1"/>
  <c r="AA241" i="4"/>
  <c r="AA286" i="4"/>
  <c r="K4" i="6"/>
  <c r="I12" i="7" s="1"/>
  <c r="K48" i="6"/>
  <c r="AF223" i="4"/>
  <c r="AB223" i="4"/>
  <c r="AG223" i="4" s="1"/>
  <c r="H13" i="6"/>
  <c r="AF305" i="4"/>
  <c r="AB305" i="4"/>
  <c r="AG305" i="4" s="1"/>
  <c r="AF331" i="4"/>
  <c r="AB331" i="4"/>
  <c r="AG331" i="4" s="1"/>
  <c r="AB31" i="4"/>
  <c r="AG31" i="4" s="1"/>
  <c r="AF254" i="4"/>
  <c r="AB254" i="4"/>
  <c r="AG254" i="4" s="1"/>
  <c r="AF372" i="4"/>
  <c r="AB372" i="4"/>
  <c r="AG372" i="4" s="1"/>
  <c r="AB3" i="4"/>
  <c r="AG3" i="4" s="1"/>
  <c r="AB62" i="4"/>
  <c r="AG62" i="4" s="1"/>
  <c r="AB67" i="4"/>
  <c r="AG67" i="4" s="1"/>
  <c r="AB146" i="4"/>
  <c r="AG146" i="4" s="1"/>
  <c r="AB36" i="4"/>
  <c r="AG36" i="4" s="1"/>
  <c r="AB57" i="4"/>
  <c r="AG57" i="4" s="1"/>
  <c r="AB78" i="4"/>
  <c r="AG78" i="4" s="1"/>
  <c r="AF83" i="4"/>
  <c r="AB89" i="4"/>
  <c r="AG89" i="4" s="1"/>
  <c r="AB94" i="4"/>
  <c r="AG94" i="4" s="1"/>
  <c r="AB100" i="4"/>
  <c r="AG100" i="4" s="1"/>
  <c r="AF140" i="4"/>
  <c r="AB164" i="4"/>
  <c r="AG164" i="4" s="1"/>
  <c r="AF189" i="4"/>
  <c r="AB197" i="4"/>
  <c r="AG197" i="4" s="1"/>
  <c r="AB211" i="4"/>
  <c r="AG211" i="4" s="1"/>
  <c r="AA244" i="4"/>
  <c r="AA245" i="4"/>
  <c r="AB247" i="4"/>
  <c r="AG247" i="4" s="1"/>
  <c r="AF296" i="4"/>
  <c r="AB296" i="4"/>
  <c r="AG296" i="4" s="1"/>
  <c r="AB308" i="4"/>
  <c r="AG308" i="4" s="1"/>
  <c r="N41" i="6"/>
  <c r="O41" i="6" s="1"/>
  <c r="AB170" i="4"/>
  <c r="AG170" i="4" s="1"/>
  <c r="AB176" i="4"/>
  <c r="AG176" i="4" s="1"/>
  <c r="B48" i="6"/>
  <c r="B4" i="6"/>
  <c r="AB8" i="4"/>
  <c r="AG8" i="4" s="1"/>
  <c r="AF12" i="4"/>
  <c r="AB22" i="4"/>
  <c r="AG22" i="4" s="1"/>
  <c r="AF26" i="4"/>
  <c r="AF41" i="4"/>
  <c r="AB106" i="4"/>
  <c r="AG106" i="4" s="1"/>
  <c r="AF111" i="4"/>
  <c r="AB129" i="4"/>
  <c r="AG129" i="4" s="1"/>
  <c r="AB190" i="4"/>
  <c r="AG190" i="4" s="1"/>
  <c r="AB204" i="4"/>
  <c r="AG204" i="4" s="1"/>
  <c r="AF217" i="4"/>
  <c r="AB258" i="4"/>
  <c r="AG258" i="4" s="1"/>
  <c r="AB271" i="4"/>
  <c r="AG271" i="4" s="1"/>
  <c r="AB17" i="4"/>
  <c r="AG17" i="4" s="1"/>
  <c r="AF21" i="4"/>
  <c r="AB134" i="4"/>
  <c r="AG134" i="4" s="1"/>
  <c r="N9" i="6"/>
  <c r="O9" i="6" s="1"/>
  <c r="AB4" i="4"/>
  <c r="AG4" i="4" s="1"/>
  <c r="AB18" i="4"/>
  <c r="AG18" i="4" s="1"/>
  <c r="AB32" i="4"/>
  <c r="AG32" i="4" s="1"/>
  <c r="AB42" i="4"/>
  <c r="AG42" i="4" s="1"/>
  <c r="AB63" i="4"/>
  <c r="AG63" i="4" s="1"/>
  <c r="AB68" i="4"/>
  <c r="AG68" i="4" s="1"/>
  <c r="AF112" i="4"/>
  <c r="E48" i="6"/>
  <c r="E4" i="6"/>
  <c r="I6" i="7" s="1"/>
  <c r="AB147" i="4"/>
  <c r="AG147" i="4" s="1"/>
  <c r="AF153" i="4"/>
  <c r="AB153" i="4"/>
  <c r="AG153" i="4" s="1"/>
  <c r="AB171" i="4"/>
  <c r="AG171" i="4" s="1"/>
  <c r="AB218" i="4"/>
  <c r="AG218" i="4" s="1"/>
  <c r="G26" i="6"/>
  <c r="AB272" i="4"/>
  <c r="AG272" i="4" s="1"/>
  <c r="AB7" i="4"/>
  <c r="AG7" i="4" s="1"/>
  <c r="C14" i="7"/>
  <c r="C21" i="7"/>
  <c r="B14" i="7"/>
  <c r="C20" i="7"/>
  <c r="C10" i="7"/>
  <c r="E5" i="7"/>
  <c r="B10" i="7"/>
  <c r="C17" i="7"/>
  <c r="C13" i="7"/>
  <c r="B17" i="7"/>
  <c r="B13" i="7"/>
  <c r="E4" i="7"/>
  <c r="C9" i="7"/>
  <c r="C16" i="7"/>
  <c r="B9" i="7"/>
  <c r="G3" i="7"/>
  <c r="B16" i="7"/>
  <c r="C12" i="7"/>
  <c r="E3" i="7"/>
  <c r="C15" i="7"/>
  <c r="C8" i="7"/>
  <c r="B15" i="7"/>
  <c r="B8" i="7"/>
  <c r="B12" i="7"/>
  <c r="C11" i="7"/>
  <c r="B11" i="7"/>
  <c r="F48" i="6"/>
  <c r="F4" i="6"/>
  <c r="I7" i="7" s="1"/>
  <c r="G27" i="6"/>
  <c r="AB269" i="4"/>
  <c r="AG269" i="4" s="1"/>
  <c r="AF269" i="4"/>
  <c r="AF346" i="4"/>
  <c r="AB346" i="4"/>
  <c r="AG346" i="4" s="1"/>
  <c r="C48" i="6"/>
  <c r="C4" i="6"/>
  <c r="I4" i="7" s="1"/>
  <c r="G23" i="6"/>
  <c r="N10" i="6"/>
  <c r="O10" i="6" s="1"/>
  <c r="AB14" i="4"/>
  <c r="AG14" i="4" s="1"/>
  <c r="AB28" i="4"/>
  <c r="AG28" i="4" s="1"/>
  <c r="N38" i="6"/>
  <c r="O38" i="6" s="1"/>
  <c r="AB48" i="4"/>
  <c r="AG48" i="4" s="1"/>
  <c r="AB53" i="4"/>
  <c r="AG53" i="4" s="1"/>
  <c r="AB85" i="4"/>
  <c r="AG85" i="4" s="1"/>
  <c r="AB119" i="4"/>
  <c r="AG119" i="4" s="1"/>
  <c r="AB124" i="4"/>
  <c r="AG124" i="4" s="1"/>
  <c r="AB136" i="4"/>
  <c r="AG136" i="4" s="1"/>
  <c r="AB142" i="4"/>
  <c r="AG142" i="4" s="1"/>
  <c r="AB160" i="4"/>
  <c r="AG160" i="4" s="1"/>
  <c r="AB185" i="4"/>
  <c r="AG185" i="4" s="1"/>
  <c r="AB226" i="4"/>
  <c r="AG226" i="4" s="1"/>
  <c r="G39" i="6"/>
  <c r="AB275" i="4"/>
  <c r="AG275" i="4" s="1"/>
  <c r="AB289" i="4"/>
  <c r="AG289" i="4" s="1"/>
  <c r="AF314" i="4"/>
  <c r="AB314" i="4"/>
  <c r="AG314" i="4" s="1"/>
  <c r="AA234" i="4"/>
  <c r="AA268" i="4"/>
  <c r="AF313" i="4"/>
  <c r="AF358" i="4"/>
  <c r="AB358" i="4"/>
  <c r="AG358" i="4" s="1"/>
  <c r="AF69" i="4"/>
  <c r="N6" i="6"/>
  <c r="O6" i="6" s="1"/>
  <c r="AB10" i="4"/>
  <c r="AG10" i="4" s="1"/>
  <c r="N20" i="6"/>
  <c r="O20" i="6" s="1"/>
  <c r="AB24" i="4"/>
  <c r="AG24" i="4" s="1"/>
  <c r="N34" i="6"/>
  <c r="O34" i="6" s="1"/>
  <c r="AB38" i="4"/>
  <c r="AG38" i="4" s="1"/>
  <c r="N44" i="6"/>
  <c r="O44" i="6" s="1"/>
  <c r="AB59" i="4"/>
  <c r="AG59" i="4" s="1"/>
  <c r="AB70" i="4"/>
  <c r="AG70" i="4" s="1"/>
  <c r="AB91" i="4"/>
  <c r="AG91" i="4" s="1"/>
  <c r="AB96" i="4"/>
  <c r="AG96" i="4" s="1"/>
  <c r="AB108" i="4"/>
  <c r="AG108" i="4" s="1"/>
  <c r="AB114" i="4"/>
  <c r="AG114" i="4" s="1"/>
  <c r="AB166" i="4"/>
  <c r="AG166" i="4" s="1"/>
  <c r="AB179" i="4"/>
  <c r="AG179" i="4" s="1"/>
  <c r="AB199" i="4"/>
  <c r="AG199" i="4" s="1"/>
  <c r="AB213" i="4"/>
  <c r="AG213" i="4" s="1"/>
  <c r="AA233" i="4"/>
  <c r="AA259" i="4"/>
  <c r="AB261" i="4"/>
  <c r="AG261" i="4" s="1"/>
  <c r="AA279" i="4"/>
  <c r="AB299" i="4"/>
  <c r="AG299" i="4" s="1"/>
  <c r="AF125" i="4"/>
  <c r="AF167" i="4"/>
  <c r="AB167" i="4"/>
  <c r="AG167" i="4" s="1"/>
  <c r="G4" i="6"/>
  <c r="I8" i="7" s="1"/>
  <c r="AF228" i="4"/>
  <c r="AB228" i="4"/>
  <c r="AG228" i="4" s="1"/>
  <c r="AF388" i="4"/>
  <c r="AB388" i="4"/>
  <c r="AG388" i="4" s="1"/>
  <c r="N5" i="6"/>
  <c r="O5" i="6" s="1"/>
  <c r="N15" i="6"/>
  <c r="O15" i="6" s="1"/>
  <c r="AB193" i="4"/>
  <c r="AG193" i="4" s="1"/>
  <c r="AA239" i="4"/>
  <c r="AA276" i="4"/>
  <c r="AB291" i="4"/>
  <c r="AG291" i="4" s="1"/>
  <c r="AA310" i="4"/>
  <c r="AB351" i="4"/>
  <c r="AG351" i="4" s="1"/>
  <c r="AF351" i="4"/>
  <c r="AF378" i="4"/>
  <c r="AB378" i="4"/>
  <c r="AG378" i="4" s="1"/>
  <c r="N7" i="6"/>
  <c r="O7" i="6" s="1"/>
  <c r="N45" i="6"/>
  <c r="O45" i="6" s="1"/>
  <c r="AF97" i="4"/>
  <c r="AF181" i="4"/>
  <c r="AB181" i="4"/>
  <c r="AG181" i="4" s="1"/>
  <c r="AA237" i="4"/>
  <c r="AF242" i="4"/>
  <c r="AA277" i="4"/>
  <c r="AA290" i="4"/>
  <c r="AB243" i="4"/>
  <c r="AG243" i="4" s="1"/>
  <c r="AA267" i="4"/>
  <c r="AA301" i="4"/>
  <c r="AB393" i="4"/>
  <c r="AG393" i="4" s="1"/>
  <c r="AF393" i="4"/>
  <c r="G31" i="6"/>
  <c r="AA287" i="4"/>
  <c r="AA288" i="4"/>
  <c r="I4" i="6"/>
  <c r="AB458" i="4"/>
  <c r="AG458" i="4" s="1"/>
  <c r="AB478" i="4"/>
  <c r="AG478" i="4" s="1"/>
  <c r="AA278" i="4"/>
  <c r="H29" i="6"/>
  <c r="H21" i="6"/>
  <c r="AF433" i="4"/>
  <c r="AB433" i="4"/>
  <c r="AG433" i="4" s="1"/>
  <c r="AB462" i="4"/>
  <c r="AG462" i="4" s="1"/>
  <c r="AB472" i="4"/>
  <c r="AG472" i="4" s="1"/>
  <c r="AA273" i="4"/>
  <c r="AA274" i="4"/>
  <c r="H24" i="6"/>
  <c r="AF337" i="4"/>
  <c r="AB463" i="4"/>
  <c r="AG463" i="4" s="1"/>
  <c r="AF463" i="4"/>
  <c r="AB256" i="4"/>
  <c r="AG256" i="4" s="1"/>
  <c r="AB285" i="4"/>
  <c r="AG285" i="4" s="1"/>
  <c r="AB317" i="4"/>
  <c r="AG317" i="4" s="1"/>
  <c r="AB323" i="4"/>
  <c r="AG323" i="4" s="1"/>
  <c r="AB338" i="4"/>
  <c r="AG338" i="4" s="1"/>
  <c r="AB362" i="4"/>
  <c r="AG362" i="4" s="1"/>
  <c r="AB406" i="4"/>
  <c r="AG406" i="4" s="1"/>
  <c r="AB437" i="4"/>
  <c r="AG437" i="4" s="1"/>
  <c r="AB483" i="4"/>
  <c r="AG483" i="4" s="1"/>
  <c r="AB493" i="4"/>
  <c r="AG493" i="4" s="1"/>
  <c r="G29" i="6"/>
  <c r="N29" i="6" s="1"/>
  <c r="O29" i="6" s="1"/>
  <c r="H18" i="6"/>
  <c r="N18" i="6" s="1"/>
  <c r="O18" i="6" s="1"/>
  <c r="AA283" i="4"/>
  <c r="AA284" i="4"/>
  <c r="AF293" i="4"/>
  <c r="AB300" i="4"/>
  <c r="AG300" i="4" s="1"/>
  <c r="AA306" i="4"/>
  <c r="AF324" i="4"/>
  <c r="AB324" i="4"/>
  <c r="AG324" i="4" s="1"/>
  <c r="AF363" i="4"/>
  <c r="AB363" i="4"/>
  <c r="AG363" i="4" s="1"/>
  <c r="AB473" i="4"/>
  <c r="AG473" i="4" s="1"/>
  <c r="AA255" i="4"/>
  <c r="AF348" i="4"/>
  <c r="AB348" i="4"/>
  <c r="AG348" i="4" s="1"/>
  <c r="AF418" i="4"/>
  <c r="AB418" i="4"/>
  <c r="AG418" i="4" s="1"/>
  <c r="AF448" i="4"/>
  <c r="AB448" i="4"/>
  <c r="AG448" i="4" s="1"/>
  <c r="AB341" i="4"/>
  <c r="AG341" i="4" s="1"/>
  <c r="AB408" i="4"/>
  <c r="AG408" i="4" s="1"/>
  <c r="AB467" i="4"/>
  <c r="AG467" i="4" s="1"/>
  <c r="L48" i="6"/>
  <c r="AB464" i="4"/>
  <c r="AG464" i="4" s="1"/>
  <c r="AB469" i="4"/>
  <c r="AG469" i="4" s="1"/>
  <c r="AB479" i="4"/>
  <c r="AG479" i="4" s="1"/>
  <c r="AB484" i="4"/>
  <c r="AG484" i="4" s="1"/>
  <c r="AB494" i="4"/>
  <c r="AG494" i="4" s="1"/>
  <c r="AB499" i="4"/>
  <c r="AG499" i="4" s="1"/>
  <c r="AB394" i="4"/>
  <c r="AG394" i="4" s="1"/>
  <c r="AB399" i="4"/>
  <c r="AG399" i="4" s="1"/>
  <c r="AB409" i="4"/>
  <c r="AG409" i="4" s="1"/>
  <c r="AB414" i="4"/>
  <c r="AG414" i="4" s="1"/>
  <c r="AB424" i="4"/>
  <c r="AG424" i="4" s="1"/>
  <c r="AB429" i="4"/>
  <c r="AG429" i="4" s="1"/>
  <c r="AB439" i="4"/>
  <c r="AG439" i="4" s="1"/>
  <c r="AB444" i="4"/>
  <c r="AG444" i="4" s="1"/>
  <c r="AB459" i="4"/>
  <c r="AG459" i="4" s="1"/>
  <c r="AB474" i="4"/>
  <c r="AG474" i="4" s="1"/>
  <c r="AB489" i="4"/>
  <c r="AG489" i="4" s="1"/>
  <c r="AB504" i="4"/>
  <c r="AG504" i="4" s="1"/>
  <c r="AB315" i="4"/>
  <c r="AG315" i="4" s="1"/>
  <c r="AB329" i="4"/>
  <c r="AG329" i="4" s="1"/>
  <c r="AB339" i="4"/>
  <c r="AG339" i="4" s="1"/>
  <c r="AB344" i="4"/>
  <c r="AG344" i="4" s="1"/>
  <c r="AB354" i="4"/>
  <c r="AG354" i="4" s="1"/>
  <c r="AB359" i="4"/>
  <c r="AG359" i="4" s="1"/>
  <c r="AB419" i="4"/>
  <c r="AG419" i="4" s="1"/>
  <c r="AB434" i="4"/>
  <c r="AG434" i="4" s="1"/>
  <c r="AF449" i="4"/>
  <c r="J48" i="6"/>
  <c r="AB311" i="4"/>
  <c r="AG311" i="4" s="1"/>
  <c r="AB325" i="4"/>
  <c r="AG325" i="4" s="1"/>
  <c r="AB380" i="4"/>
  <c r="AG380" i="4" s="1"/>
  <c r="AB385" i="4"/>
  <c r="AG385" i="4" s="1"/>
  <c r="AB395" i="4"/>
  <c r="AG395" i="4" s="1"/>
  <c r="AB400" i="4"/>
  <c r="AG400" i="4" s="1"/>
  <c r="AB410" i="4"/>
  <c r="AG410" i="4" s="1"/>
  <c r="AB415" i="4"/>
  <c r="AG415" i="4" s="1"/>
  <c r="AB425" i="4"/>
  <c r="AG425" i="4" s="1"/>
  <c r="AB430" i="4"/>
  <c r="AG430" i="4" s="1"/>
  <c r="AB445" i="4"/>
  <c r="AG445" i="4" s="1"/>
  <c r="AB460" i="4"/>
  <c r="AG460" i="4" s="1"/>
  <c r="M48" i="6"/>
  <c r="AB475" i="4"/>
  <c r="AG475" i="4" s="1"/>
  <c r="AB490" i="4"/>
  <c r="AG490" i="4" s="1"/>
  <c r="AF505" i="4"/>
  <c r="AB481" i="4"/>
  <c r="AG481" i="4" s="1"/>
  <c r="L4" i="6"/>
  <c r="I13" i="7" s="1"/>
  <c r="N31" i="6" l="1"/>
  <c r="O31" i="6" s="1"/>
  <c r="N21" i="6"/>
  <c r="O21" i="6" s="1"/>
  <c r="AB241" i="4"/>
  <c r="AG241" i="4" s="1"/>
  <c r="AF241" i="4"/>
  <c r="G32" i="6" s="1"/>
  <c r="AB255" i="4"/>
  <c r="AG255" i="4" s="1"/>
  <c r="AF255" i="4"/>
  <c r="AF233" i="4"/>
  <c r="G24" i="6" s="1"/>
  <c r="N24" i="6" s="1"/>
  <c r="O24" i="6" s="1"/>
  <c r="AB233" i="4"/>
  <c r="AG233" i="4" s="1"/>
  <c r="AF273" i="4"/>
  <c r="H22" i="6" s="1"/>
  <c r="N22" i="6" s="1"/>
  <c r="O22" i="6" s="1"/>
  <c r="AB273" i="4"/>
  <c r="AG273" i="4" s="1"/>
  <c r="AF277" i="4"/>
  <c r="H26" i="6" s="1"/>
  <c r="N26" i="6" s="1"/>
  <c r="O26" i="6" s="1"/>
  <c r="AB277" i="4"/>
  <c r="AG277" i="4" s="1"/>
  <c r="AF245" i="4"/>
  <c r="G36" i="6" s="1"/>
  <c r="AB245" i="4"/>
  <c r="AG245" i="4" s="1"/>
  <c r="AF283" i="4"/>
  <c r="H32" i="6" s="1"/>
  <c r="AB283" i="4"/>
  <c r="AG283" i="4" s="1"/>
  <c r="AF310" i="4"/>
  <c r="I17" i="6" s="1"/>
  <c r="AB310" i="4"/>
  <c r="AG310" i="4" s="1"/>
  <c r="AF244" i="4"/>
  <c r="G35" i="6" s="1"/>
  <c r="AB244" i="4"/>
  <c r="AG244" i="4" s="1"/>
  <c r="AB288" i="4"/>
  <c r="AG288" i="4" s="1"/>
  <c r="AF288" i="4"/>
  <c r="H37" i="6" s="1"/>
  <c r="N37" i="6" s="1"/>
  <c r="O37" i="6" s="1"/>
  <c r="AF237" i="4"/>
  <c r="G28" i="6" s="1"/>
  <c r="AB237" i="4"/>
  <c r="AG237" i="4" s="1"/>
  <c r="AF284" i="4"/>
  <c r="H33" i="6" s="1"/>
  <c r="N33" i="6" s="1"/>
  <c r="O33" i="6" s="1"/>
  <c r="AB284" i="4"/>
  <c r="AG284" i="4" s="1"/>
  <c r="AF274" i="4"/>
  <c r="H23" i="6" s="1"/>
  <c r="N23" i="6" s="1"/>
  <c r="O23" i="6" s="1"/>
  <c r="AB274" i="4"/>
  <c r="AG274" i="4" s="1"/>
  <c r="AF290" i="4"/>
  <c r="H39" i="6" s="1"/>
  <c r="N39" i="6" s="1"/>
  <c r="O39" i="6" s="1"/>
  <c r="AB290" i="4"/>
  <c r="AG290" i="4" s="1"/>
  <c r="AF287" i="4"/>
  <c r="H36" i="6" s="1"/>
  <c r="AB287" i="4"/>
  <c r="AG287" i="4" s="1"/>
  <c r="AF276" i="4"/>
  <c r="H25" i="6" s="1"/>
  <c r="AB276" i="4"/>
  <c r="AG276" i="4" s="1"/>
  <c r="I3" i="7"/>
  <c r="AF301" i="4"/>
  <c r="AB301" i="4"/>
  <c r="AG301" i="4" s="1"/>
  <c r="AB279" i="4"/>
  <c r="AG279" i="4" s="1"/>
  <c r="AF279" i="4"/>
  <c r="H28" i="6" s="1"/>
  <c r="AB234" i="4"/>
  <c r="AG234" i="4" s="1"/>
  <c r="AF234" i="4"/>
  <c r="G25" i="6" s="1"/>
  <c r="N25" i="6" s="1"/>
  <c r="O25" i="6" s="1"/>
  <c r="AF286" i="4"/>
  <c r="H35" i="6" s="1"/>
  <c r="AB286" i="4"/>
  <c r="AG286" i="4" s="1"/>
  <c r="AF268" i="4"/>
  <c r="H17" i="6" s="1"/>
  <c r="N17" i="6" s="1"/>
  <c r="O17" i="6" s="1"/>
  <c r="AB268" i="4"/>
  <c r="AG268" i="4" s="1"/>
  <c r="AF267" i="4"/>
  <c r="H16" i="6" s="1"/>
  <c r="N16" i="6" s="1"/>
  <c r="O16" i="6" s="1"/>
  <c r="AB267" i="4"/>
  <c r="AG267" i="4" s="1"/>
  <c r="AB278" i="4"/>
  <c r="AG278" i="4" s="1"/>
  <c r="AF278" i="4"/>
  <c r="H27" i="6" s="1"/>
  <c r="N27" i="6" s="1"/>
  <c r="O27" i="6" s="1"/>
  <c r="AF259" i="4"/>
  <c r="H8" i="6" s="1"/>
  <c r="AB259" i="4"/>
  <c r="AG259" i="4" s="1"/>
  <c r="AF306" i="4"/>
  <c r="I13" i="6" s="1"/>
  <c r="N13" i="6" s="1"/>
  <c r="O13" i="6" s="1"/>
  <c r="AB306" i="4"/>
  <c r="AG306" i="4" s="1"/>
  <c r="AB239" i="4"/>
  <c r="AG239" i="4" s="1"/>
  <c r="AF239" i="4"/>
  <c r="G30" i="6" s="1"/>
  <c r="N30" i="6" s="1"/>
  <c r="O30" i="6" s="1"/>
  <c r="N36" i="6" l="1"/>
  <c r="O36" i="6" s="1"/>
  <c r="I8" i="6"/>
  <c r="I48" i="6"/>
  <c r="G48" i="6"/>
  <c r="H48" i="6"/>
  <c r="C22" i="7"/>
  <c r="H4" i="6"/>
  <c r="N35" i="6"/>
  <c r="O35" i="6" s="1"/>
  <c r="G4" i="7"/>
  <c r="E6" i="7"/>
  <c r="N28" i="6"/>
  <c r="O28" i="6" s="1"/>
  <c r="N32" i="6"/>
  <c r="O32" i="6" s="1"/>
  <c r="N8" i="6" l="1"/>
  <c r="O8" i="6" s="1"/>
  <c r="I10" i="7"/>
  <c r="I9" i="7"/>
  <c r="N4" i="6"/>
  <c r="O4" i="6" s="1"/>
  <c r="N48" i="6"/>
</calcChain>
</file>

<file path=xl/sharedStrings.xml><?xml version="1.0" encoding="utf-8"?>
<sst xmlns="http://schemas.openxmlformats.org/spreadsheetml/2006/main" count="2071" uniqueCount="190">
  <si>
    <t>Stefanini Field Services - Monthly Performance Scorecard</t>
  </si>
  <si>
    <t>Year</t>
  </si>
  <si>
    <t>Month</t>
  </si>
  <si>
    <t>Team Leader</t>
  </si>
  <si>
    <t>Tech Name</t>
  </si>
  <si>
    <t>Shift</t>
  </si>
  <si>
    <t>Volume</t>
  </si>
  <si>
    <t>Incidents Completed</t>
  </si>
  <si>
    <t>Tasks Completed</t>
  </si>
  <si>
    <t>SLA Compliance</t>
  </si>
  <si>
    <t>Interactions Completed</t>
  </si>
  <si>
    <t>CSAT</t>
  </si>
  <si>
    <t>Attendance</t>
  </si>
  <si>
    <t>Stale Tasks</t>
  </si>
  <si>
    <t>KB Articles</t>
  </si>
  <si>
    <t>Recognitions</t>
  </si>
  <si>
    <t>Missing Epic Assets</t>
  </si>
  <si>
    <t>Incident Score</t>
  </si>
  <si>
    <t>Task Score</t>
  </si>
  <si>
    <t>SLA Score</t>
  </si>
  <si>
    <t>Interaction Score</t>
  </si>
  <si>
    <t>CSAT Score</t>
  </si>
  <si>
    <t>Attendance Score</t>
  </si>
  <si>
    <t>Stale Score</t>
  </si>
  <si>
    <t>KB Score</t>
  </si>
  <si>
    <t>Recognition Score</t>
  </si>
  <si>
    <t>Epic Assets Score</t>
  </si>
  <si>
    <t>Calculated Score</t>
  </si>
  <si>
    <t>Calculated Rating</t>
  </si>
  <si>
    <t>Entry Status</t>
  </si>
  <si>
    <t>Manual Final Score</t>
  </si>
  <si>
    <t>Manual Rating Override</t>
  </si>
  <si>
    <t>Final Score</t>
  </si>
  <si>
    <t>Final Rating</t>
  </si>
  <si>
    <t>Lookup Key</t>
  </si>
  <si>
    <t>January</t>
  </si>
  <si>
    <t>Joshio Flores</t>
  </si>
  <si>
    <t>Carly Huber</t>
  </si>
  <si>
    <t>Julian Grier</t>
  </si>
  <si>
    <t>Jorge Lopez</t>
  </si>
  <si>
    <t>Juan Pablo Pique Buil (JP)</t>
  </si>
  <si>
    <t>Peter Gonzalez</t>
  </si>
  <si>
    <t>Dennis Hartling</t>
  </si>
  <si>
    <t>Gilbert Eugene</t>
  </si>
  <si>
    <t>Cory Colstock</t>
  </si>
  <si>
    <t>Jerald Woodward (Jerry)</t>
  </si>
  <si>
    <t>Alvaro Hernandez</t>
  </si>
  <si>
    <t>Sarah Clervil</t>
  </si>
  <si>
    <t>Christopher Ovid</t>
  </si>
  <si>
    <t>Rafael Godinez</t>
  </si>
  <si>
    <t>Dennis Mayorga</t>
  </si>
  <si>
    <t>Jose Reyes-Navolskyi (Ivan)</t>
  </si>
  <si>
    <t>Jonathan Davila</t>
  </si>
  <si>
    <t>Rafael Amaro</t>
  </si>
  <si>
    <t>Kevin Luburd</t>
  </si>
  <si>
    <t>Anthony Thompson</t>
  </si>
  <si>
    <t>Shamar Modeste</t>
  </si>
  <si>
    <t>Steven Morejon</t>
  </si>
  <si>
    <t>Nicolas Abello</t>
  </si>
  <si>
    <t>Carlos Espinosa</t>
  </si>
  <si>
    <t>Fernando Barbera - Boyer</t>
  </si>
  <si>
    <t>Miquelle Cordova</t>
  </si>
  <si>
    <t>Daniel Sanchez</t>
  </si>
  <si>
    <t>Braynon Edwards</t>
  </si>
  <si>
    <t>Sebastian Lopez</t>
  </si>
  <si>
    <t>Lucas Degomme</t>
  </si>
  <si>
    <t>Alexander Chinea</t>
  </si>
  <si>
    <t>Carlos Martinez Monzon</t>
  </si>
  <si>
    <t>Carlos Sanabria</t>
  </si>
  <si>
    <t>Alex Gomes</t>
  </si>
  <si>
    <t>Teddy Joseph</t>
  </si>
  <si>
    <t>Andrew Montgomery</t>
  </si>
  <si>
    <t>Amanda Rodriguez</t>
  </si>
  <si>
    <t>Erick Mojica</t>
  </si>
  <si>
    <t>Jose Molina</t>
  </si>
  <si>
    <t>Raul Rama</t>
  </si>
  <si>
    <t>Kaevon Tyler</t>
  </si>
  <si>
    <t>Christopher Dorta</t>
  </si>
  <si>
    <t>Andres Galvis</t>
  </si>
  <si>
    <t>Roberto Eckardt</t>
  </si>
  <si>
    <t>Angel Perez Martinez</t>
  </si>
  <si>
    <t>February</t>
  </si>
  <si>
    <t>March</t>
  </si>
  <si>
    <t>April</t>
  </si>
  <si>
    <t>May</t>
  </si>
  <si>
    <t>June</t>
  </si>
  <si>
    <t>1st Shift</t>
  </si>
  <si>
    <t>1st Shift Weekend</t>
  </si>
  <si>
    <t>2nd Shift</t>
  </si>
  <si>
    <t>2nd Shift Weekend</t>
  </si>
  <si>
    <t>3rd Shift Weekend</t>
  </si>
  <si>
    <t>3rd Shift</t>
  </si>
  <si>
    <t>July</t>
  </si>
  <si>
    <t>August</t>
  </si>
  <si>
    <t>September</t>
  </si>
  <si>
    <t>October</t>
  </si>
  <si>
    <t>November</t>
  </si>
  <si>
    <t>December</t>
  </si>
  <si>
    <t>Team Leader Name</t>
  </si>
  <si>
    <t>Tech Names</t>
  </si>
  <si>
    <t>Category</t>
  </si>
  <si>
    <t>Metric</t>
  </si>
  <si>
    <t>Target</t>
  </si>
  <si>
    <t>Weight</t>
  </si>
  <si>
    <t>Score</t>
  </si>
  <si>
    <t>Shift 1</t>
  </si>
  <si>
    <t>Incident Management</t>
  </si>
  <si>
    <t>≥75/month</t>
  </si>
  <si>
    <t>90-100</t>
  </si>
  <si>
    <t>Outstanding</t>
  </si>
  <si>
    <t>Task Management</t>
  </si>
  <si>
    <t>≥80/month</t>
  </si>
  <si>
    <t>70-89</t>
  </si>
  <si>
    <t>Exceeds Expectations</t>
  </si>
  <si>
    <t>Service Quality (SLA)</t>
  </si>
  <si>
    <t>≥95%</t>
  </si>
  <si>
    <t>50-69</t>
  </si>
  <si>
    <t>Meets Expectations</t>
  </si>
  <si>
    <t>Interaction Completed</t>
  </si>
  <si>
    <t>≥20</t>
  </si>
  <si>
    <t>40-49</t>
  </si>
  <si>
    <t>Needs Improvement</t>
  </si>
  <si>
    <t>Customer Experience</t>
  </si>
  <si>
    <t>≥4.7/5</t>
  </si>
  <si>
    <t>&lt;39</t>
  </si>
  <si>
    <t>Performance Improvement Required</t>
  </si>
  <si>
    <t>Attendance &amp; Reliability</t>
  </si>
  <si>
    <t>8-22 Day stale ticket queue</t>
  </si>
  <si>
    <t>Number of Stale Tasks</t>
  </si>
  <si>
    <t>&lt;5/month</t>
  </si>
  <si>
    <t>Knowledge Management</t>
  </si>
  <si>
    <t>1/month</t>
  </si>
  <si>
    <t>Recognition &amp; Teamwork</t>
  </si>
  <si>
    <t>≥2/month</t>
  </si>
  <si>
    <t>85-100</t>
  </si>
  <si>
    <t>Missing Epic Assets Count</t>
  </si>
  <si>
    <t>&lt;5 / Month</t>
  </si>
  <si>
    <t>65-84</t>
  </si>
  <si>
    <t>45-64</t>
  </si>
  <si>
    <t>35-44</t>
  </si>
  <si>
    <t>&lt;34</t>
  </si>
  <si>
    <t>80-100</t>
  </si>
  <si>
    <t>65-79</t>
  </si>
  <si>
    <t>40-64</t>
  </si>
  <si>
    <t>30-39</t>
  </si>
  <si>
    <t>&lt;29</t>
  </si>
  <si>
    <t>75-100</t>
  </si>
  <si>
    <t>55-74</t>
  </si>
  <si>
    <t>35-54</t>
  </si>
  <si>
    <t>25-34</t>
  </si>
  <si>
    <t>&lt;24</t>
  </si>
  <si>
    <t>65-100</t>
  </si>
  <si>
    <t>50-64</t>
  </si>
  <si>
    <t>30-49</t>
  </si>
  <si>
    <t>20-29</t>
  </si>
  <si>
    <t>&lt;19</t>
  </si>
  <si>
    <t>60-100</t>
  </si>
  <si>
    <t>45-59</t>
  </si>
  <si>
    <t>25-44</t>
  </si>
  <si>
    <t>15-24</t>
  </si>
  <si>
    <t>&lt;14</t>
  </si>
  <si>
    <t>Stefanini Field Services - Editable Inputs &amp; Performance Settings</t>
  </si>
  <si>
    <t>Team Leader List</t>
  </si>
  <si>
    <t>Employee List</t>
  </si>
  <si>
    <t>Month List</t>
  </si>
  <si>
    <t>Shift List</t>
  </si>
  <si>
    <t>Rating List</t>
  </si>
  <si>
    <t>Blue cells are intended for user updates. Metric targets, weights, shift/volume mapping, and rating thresholds drive all scorecards.</t>
  </si>
  <si>
    <t>Scoring Direction</t>
  </si>
  <si>
    <t>Outstanding ≥</t>
  </si>
  <si>
    <t>Exceeds ≥</t>
  </si>
  <si>
    <t>Meets ≥</t>
  </si>
  <si>
    <t>Needs Improvement ≥</t>
  </si>
  <si>
    <t>Higher is better</t>
  </si>
  <si>
    <t>High</t>
  </si>
  <si>
    <t>Normal</t>
  </si>
  <si>
    <t>Low</t>
  </si>
  <si>
    <t>Lower is better</t>
  </si>
  <si>
    <t>Rating labels (used throughout workbook)</t>
  </si>
  <si>
    <t>Total Weight</t>
  </si>
  <si>
    <t>Annual Performance Dashboard | January - December</t>
  </si>
  <si>
    <t>Employee</t>
  </si>
  <si>
    <t>YTD Avg</t>
  </si>
  <si>
    <t>YTD Rating</t>
  </si>
  <si>
    <t>Rating Shift</t>
  </si>
  <si>
    <t>Team Monthly Average</t>
  </si>
  <si>
    <t>Individual Employee Monthly Scorecard</t>
  </si>
  <si>
    <t>Performance Score</t>
  </si>
  <si>
    <t>Result</t>
  </si>
  <si>
    <t>To change monthly data or override a final score/rating, use the blue cells on the Monthly Scorecard. To change targets, weights, volumes, or rating expectations, use Input &amp;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</si>
</sst>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</font>
    <font>
      <b/>
      <sz val="16"/>
      <color rgb="FFFFFFFF"/>
      <name val="Calibri"/>
    </font>
    <font>
      <i/>
      <sz val="11"/>
      <color rgb="FF17365D"/>
      <name val="Calibri"/>
    </font>
    <font>
      <b/>
      <sz val="11"/>
      <color rgb="FFFFFFFF"/>
      <name val="Calibri"/>
    </font>
    <font>
      <i/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8" tint="0.79985961485641044"/>
        <bgColor indexed="65"/>
      </patternFill>
    </fill>
    <fill>
      <patternFill patternType="solid">
        <fgColor rgb="FFE8C49A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164" fontId="0" fillId="0" borderId="0" xfId="0" applyNumberFormat="1"/>
    <xf numFmtId="0" fontId="0" fillId="0" borderId="3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left"/>
    </xf>
    <xf numFmtId="9" fontId="0" fillId="0" borderId="2" xfId="0" applyNumberFormat="1" applyBorder="1" applyAlignment="1">
      <alignment horizontal="left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7" borderId="0" xfId="0" applyFill="1"/>
    <xf numFmtId="2" fontId="0" fillId="7" borderId="0" xfId="0" applyNumberFormat="1" applyFill="1"/>
    <xf numFmtId="9" fontId="0" fillId="7" borderId="0" xfId="0" applyNumberFormat="1" applyFill="1"/>
    <xf numFmtId="0" fontId="0" fillId="8" borderId="0" xfId="0" applyFill="1"/>
    <xf numFmtId="0" fontId="2" fillId="8" borderId="0" xfId="0" applyFont="1" applyFill="1"/>
    <xf numFmtId="0" fontId="7" fillId="6" borderId="0" xfId="0" applyFont="1" applyFill="1" applyAlignment="1">
      <alignment horizontal="center" wrapText="1"/>
    </xf>
    <xf numFmtId="164" fontId="0" fillId="7" borderId="0" xfId="0" applyNumberFormat="1" applyFill="1"/>
    <xf numFmtId="0" fontId="7" fillId="6" borderId="0" xfId="0" applyFont="1" applyFill="1" applyAlignment="1">
      <alignment horizontal="center" vertical="center" wrapText="1"/>
    </xf>
    <xf numFmtId="0" fontId="2" fillId="5" borderId="0" xfId="0" applyFont="1" applyFill="1"/>
    <xf numFmtId="164" fontId="2" fillId="5" borderId="0" xfId="0" applyNumberFormat="1" applyFont="1" applyFill="1"/>
    <xf numFmtId="0" fontId="2" fillId="7" borderId="0" xfId="0" applyFont="1" applyFill="1"/>
    <xf numFmtId="9" fontId="0" fillId="0" borderId="0" xfId="0" applyNumberFormat="1"/>
    <xf numFmtId="164" fontId="2" fillId="8" borderId="0" xfId="0" applyNumberFormat="1" applyFont="1" applyFill="1"/>
    <xf numFmtId="0" fontId="7" fillId="1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165" fontId="0" fillId="7" borderId="2" xfId="0" applyNumberFormat="1" applyFill="1" applyBorder="1" applyAlignment="1">
      <alignment vertical="center"/>
    </xf>
    <xf numFmtId="2" fontId="0" fillId="7" borderId="2" xfId="0" applyNumberFormat="1" applyFill="1" applyBorder="1" applyAlignment="1">
      <alignment vertical="center"/>
    </xf>
    <xf numFmtId="164" fontId="0" fillId="11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164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64" fontId="0" fillId="8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0" fontId="7" fillId="13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5" fillId="4" borderId="0" xfId="0" applyFont="1" applyFill="1" applyAlignment="1">
      <alignment horizontal="center"/>
    </xf>
    <xf numFmtId="0" fontId="8" fillId="12" borderId="0" xfId="0" applyFont="1" applyFill="1" applyAlignment="1">
      <alignment vertical="center" wrapText="1"/>
    </xf>
    <xf numFmtId="0" fontId="7" fillId="9" borderId="0" xfId="0" applyFont="1" applyFill="1" applyAlignment="1"/>
  </cellXfs>
  <cellStyles count="1">
    <cellStyle name="Normal" xfId="0" builtinId="0"/>
  </cellStyles>
  <dxfs count="32"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FFEB84"/>
        </patternFill>
      </fill>
    </dxf>
    <dxf>
      <fill>
        <patternFill>
          <bgColor rgb="FFA9D18E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FFEB84"/>
        </patternFill>
      </fill>
    </dxf>
    <dxf>
      <fill>
        <patternFill>
          <bgColor rgb="FFA9D18E"/>
        </patternFill>
      </fill>
    </dxf>
    <dxf>
      <fill>
        <patternFill>
          <bgColor rgb="FF63BE7B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FFEB84"/>
        </patternFill>
      </fill>
    </dxf>
    <dxf>
      <fill>
        <patternFill>
          <bgColor rgb="FFA9D18E"/>
        </patternFill>
      </fill>
    </dxf>
    <dxf>
      <fill>
        <patternFill>
          <bgColor rgb="FF63BE7B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C6E0B4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Team Performance Trend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Dashboard'!$C$3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9C-4F0C-82E8-20F2D42D5AD5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Dashboard'!$D$3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9C-4F0C-82E8-20F2D42D5AD5}"/>
            </c:ext>
          </c:extLst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Dashboard'!$E$3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9C-4F0C-82E8-20F2D42D5AD5}"/>
            </c:ext>
          </c:extLst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Dashboard'!$F$3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99C-4F0C-82E8-20F2D42D5AD5}"/>
            </c:ext>
          </c:extLst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Dashboard'!$G$3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99C-4F0C-82E8-20F2D42D5AD5}"/>
            </c:ext>
          </c:extLst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Dashboard'!$H$3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99C-4F0C-82E8-20F2D42D5AD5}"/>
            </c:ext>
          </c:extLst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Dashboard'!$I$3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99C-4F0C-82E8-20F2D42D5AD5}"/>
            </c:ext>
          </c:extLst>
        </c:ser>
        <c:ser>
          <c:idx val="7"/>
          <c:order val="7"/>
          <c:tx>
            <c:v>Series 8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Dashboard'!$J$3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99C-4F0C-82E8-20F2D42D5AD5}"/>
            </c:ext>
          </c:extLst>
        </c:ser>
        <c:ser>
          <c:idx val="8"/>
          <c:order val="8"/>
          <c:tx>
            <c:v>Series 9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Dashboard'!$K$3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99C-4F0C-82E8-20F2D42D5AD5}"/>
            </c:ext>
          </c:extLst>
        </c:ser>
        <c:ser>
          <c:idx val="9"/>
          <c:order val="9"/>
          <c:tx>
            <c:v>Series 10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Dashboard'!$L$3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99C-4F0C-82E8-20F2D42D5AD5}"/>
            </c:ext>
          </c:extLst>
        </c:ser>
        <c:ser>
          <c:idx val="10"/>
          <c:order val="10"/>
          <c:tx>
            <c:v>Series 11</c:v>
          </c:tx>
          <c:marker>
            <c:symbol val="none"/>
          </c:marker>
          <c:cat>
            <c:strRef>
              <c:f>'Annual Dashboard'!$B$3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'Annual Dashboard'!$M$3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99C-4F0C-82E8-20F2D42D5AD5}"/>
            </c:ext>
          </c:extLst>
        </c:ser>
        <c:ser>
          <c:idx val="11"/>
          <c:order val="11"/>
          <c:tx>
            <c:v>Team Average</c:v>
          </c:tx>
          <c:marker>
            <c:symbol val="none"/>
          </c:marker>
          <c:cat>
            <c:strRef>
              <c:f>'Annual Dashboard'!$B$3:$M$3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Dashboard'!$B$48:$M$48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69.733333333333334</c:v>
                </c:pt>
                <c:pt idx="6">
                  <c:v>68.5</c:v>
                </c:pt>
                <c:pt idx="7">
                  <c:v>65.266666666666666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99C-4F0C-82E8-20F2D42D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Employee Performance Trend Map</a:t>
            </a:r>
          </a:p>
        </c:rich>
      </c:tx>
      <c:layout>
        <c:manualLayout>
          <c:xMode val="edge"/>
          <c:yMode val="edge"/>
          <c:x val="0.27088439278705728"/>
          <c:y val="1.893453414169872E-3"/>
        </c:manualLayout>
      </c:layout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Performance Score</c:v>
          </c:tx>
          <c:marker>
            <c:symbol val="none"/>
          </c:marker>
          <c:cat>
            <c:strRef>
              <c:f>'Employee Detail'!$H$3:$H$14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'Employee Detail'!$I$3:$I$14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65.2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F1-4114-9902-23E8FCD8B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Performance Score</a:t>
                </a:r>
              </a:p>
            </c:rich>
          </c:tx>
          <c:layout>
            <c:manualLayout>
              <c:xMode val="edge"/>
              <c:yMode val="edge"/>
              <c:x val="8.5894484610685717E-2"/>
              <c:y val="5.0231421863306105E-2"/>
            </c:manualLayout>
          </c:layout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</xdr:row>
      <xdr:rowOff>133350</xdr:rowOff>
    </xdr:from>
    <xdr:to>
      <xdr:col>19</xdr:col>
      <xdr:colOff>285750</xdr:colOff>
      <xdr:row>16</xdr:row>
      <xdr:rowOff>104775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07"/>
  <sheetViews>
    <sheetView workbookViewId="0">
      <pane ySplit="2" topLeftCell="C256" activePane="bottomLeft" state="frozen"/>
      <selection pane="bottomLeft" activeCell="A262" sqref="A262"/>
    </sheetView>
  </sheetViews>
  <sheetFormatPr defaultRowHeight="14.25"/>
  <cols>
    <col min="1" max="1" width="10" customWidth="1"/>
    <col min="2" max="2" width="14" customWidth="1"/>
    <col min="3" max="3" width="20" customWidth="1"/>
    <col min="4" max="4" width="30" customWidth="1"/>
    <col min="5" max="5" width="22" customWidth="1"/>
    <col min="6" max="6" width="12" customWidth="1"/>
    <col min="7" max="8" width="17" customWidth="1"/>
    <col min="9" max="9" width="15" customWidth="1"/>
    <col min="10" max="10" width="20" customWidth="1"/>
    <col min="11" max="12" width="12" customWidth="1"/>
    <col min="13" max="16" width="16" customWidth="1"/>
    <col min="17" max="26" width="14" customWidth="1"/>
    <col min="27" max="28" width="18" customWidth="1"/>
    <col min="29" max="29" width="13" customWidth="1"/>
    <col min="30" max="30" width="17" customWidth="1"/>
    <col min="31" max="31" width="25" customWidth="1"/>
    <col min="32" max="33" width="18" customWidth="1"/>
    <col min="34" max="34" width="39.42578125" customWidth="1"/>
  </cols>
  <sheetData>
    <row r="1" spans="1:34" ht="28.1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34.15" customHeight="1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5" t="s">
        <v>12</v>
      </c>
      <c r="M2" s="25" t="s">
        <v>13</v>
      </c>
      <c r="N2" s="25" t="s">
        <v>14</v>
      </c>
      <c r="O2" s="25" t="s">
        <v>15</v>
      </c>
      <c r="P2" s="25" t="s">
        <v>16</v>
      </c>
      <c r="Q2" s="25" t="s">
        <v>17</v>
      </c>
      <c r="R2" s="25" t="s">
        <v>18</v>
      </c>
      <c r="S2" s="25" t="s">
        <v>19</v>
      </c>
      <c r="T2" s="25" t="s">
        <v>20</v>
      </c>
      <c r="U2" s="25" t="s">
        <v>21</v>
      </c>
      <c r="V2" s="25" t="s">
        <v>22</v>
      </c>
      <c r="W2" s="25" t="s">
        <v>23</v>
      </c>
      <c r="X2" s="25" t="s">
        <v>24</v>
      </c>
      <c r="Y2" s="25" t="s">
        <v>25</v>
      </c>
      <c r="Z2" s="25" t="s">
        <v>26</v>
      </c>
      <c r="AA2" s="25" t="s">
        <v>27</v>
      </c>
      <c r="AB2" s="25" t="s">
        <v>28</v>
      </c>
      <c r="AC2" s="25" t="s">
        <v>29</v>
      </c>
      <c r="AD2" s="25" t="s">
        <v>30</v>
      </c>
      <c r="AE2" s="25" t="s">
        <v>31</v>
      </c>
      <c r="AF2" s="25" t="s">
        <v>32</v>
      </c>
      <c r="AG2" s="25" t="s">
        <v>33</v>
      </c>
      <c r="AH2" s="25" t="s">
        <v>34</v>
      </c>
    </row>
    <row r="3" spans="1:34" hidden="1">
      <c r="A3" s="32">
        <v>2026</v>
      </c>
      <c r="B3" s="32" t="s">
        <v>35</v>
      </c>
      <c r="C3" s="32" t="s">
        <v>36</v>
      </c>
      <c r="D3" s="32" t="s">
        <v>37</v>
      </c>
      <c r="E3" s="33"/>
      <c r="F3" s="34" t="str">
        <f>IF(E3="","",IFERROR(VLOOKUP(E3,'Input &amp; Settings'!$F$5:$G$10,2,FALSE),""))</f>
        <v/>
      </c>
      <c r="G3" s="33"/>
      <c r="H3" s="33"/>
      <c r="I3" s="35"/>
      <c r="J3" s="33"/>
      <c r="K3" s="36"/>
      <c r="L3" s="35"/>
      <c r="M3" s="33"/>
      <c r="N3" s="33"/>
      <c r="O3" s="33"/>
      <c r="P3" s="33"/>
      <c r="Q3" s="37" t="str">
        <f>IF(G3="","",IFERROR(MIN(100,G3/'Input &amp; Settings'!$B$5*100),""))</f>
        <v/>
      </c>
      <c r="R3" s="37" t="str">
        <f>IF(H3="","",IFERROR(MIN(100,H3/'Input &amp; Settings'!$B$6*100),""))</f>
        <v/>
      </c>
      <c r="S3" s="37" t="str">
        <f>IF(I3="","",IFERROR(MIN(100,I3/'Input &amp; Settings'!$B$7*100),""))</f>
        <v/>
      </c>
      <c r="T3" s="37" t="str">
        <f>IF(J3="","",IFERROR(MIN(100,J3/'Input &amp; Settings'!$B$8*100),""))</f>
        <v/>
      </c>
      <c r="U3" s="37" t="str">
        <f>IF(K3="","",IFERROR(MIN(100,K3/'Input &amp; Settings'!$B$9*100),""))</f>
        <v/>
      </c>
      <c r="V3" s="37" t="str">
        <f>IF(L3="","",IFERROR(MIN(100,L3/'Input &amp; Settings'!$B$10*100),""))</f>
        <v/>
      </c>
      <c r="W3" s="37" t="str">
        <f>IF(M3="","",IFERROR(IF(M3&lt;='Input &amp; Settings'!$B$11,100,MAX(0,100-(M3-'Input &amp; Settings'!$B$11)*20)),""))</f>
        <v/>
      </c>
      <c r="X3" s="37" t="str">
        <f>IF(N3="","",IFERROR(MIN(100,N3/'Input &amp; Settings'!$B$12*100),""))</f>
        <v/>
      </c>
      <c r="Y3" s="37" t="str">
        <f>IF(O3="","",IFERROR(MIN(100,O3/'Input &amp; Settings'!$B$13*100),""))</f>
        <v/>
      </c>
      <c r="Z3" s="37" t="str">
        <f>IF(P3="","",IFERROR(IF(P3&lt;='Input &amp; Settings'!$B$14,100,MAX(0,100-(P3-'Input &amp; Settings'!$B$14)*20)),""))</f>
        <v/>
      </c>
      <c r="AA3" s="37" t="str">
        <f>IF(COUNTA(G3:P3)=0,"",ROUND(Q3*'Input &amp; Settings'!$C$5+R3*'Input &amp; Settings'!$C$6+S3*'Input &amp; Settings'!$C$7+T3*'Input &amp; Settings'!$C$8+U3*'Input &amp; Settings'!$C$9+V3*'Input &amp; Settings'!$C$10+W3*'Input &amp; Settings'!$C$11+X3*'Input &amp; Settings'!$C$12+Y3*'Input &amp; Settings'!$C$13+Z3*'Input &amp; Settings'!$C$14,1))</f>
        <v/>
      </c>
      <c r="AB3" s="38" t="str">
        <f>IF(OR(AA3="",E3=""),"",IFERROR(IF(AA3&gt;=VLOOKUP(E3,'Input &amp; Settings'!$F$5:$K$10,3,FALSE),"Outstanding",IF(AA3&gt;=VLOOKUP(E3,'Input &amp; Settings'!$F$5:$K$10,4,FALSE),"Exceeds Expectations",IF(AA3&gt;=VLOOKUP(E3,'Input &amp; Settings'!$F$5:$K$10,5,FALSE),"Meets Expectations",IF(AA3&gt;=VLOOKUP(E3,'Input &amp; Settings'!$F$5:$K$10,6,FALSE),"Needs Improvement","Performance Improvement Required")))),""))</f>
        <v/>
      </c>
      <c r="AC3" s="38" t="str">
        <f t="shared" ref="AC3:AC66" si="0">IF(COUNTA(G3:P3)+COUNTA(AD3:AE3)&gt;0,"Entered","")</f>
        <v/>
      </c>
      <c r="AD3" s="39"/>
      <c r="AE3" s="40"/>
      <c r="AF3" s="41" t="str">
        <f t="shared" ref="AF3:AF66" si="1">IF(AD3&lt;&gt;"",AD3,AA3)</f>
        <v/>
      </c>
      <c r="AG3" s="42" t="str">
        <f t="shared" ref="AG3:AG66" si="2">IF(AE3&lt;&gt;"",AE3,AB3)</f>
        <v/>
      </c>
      <c r="AH3" s="42" t="str">
        <f t="shared" ref="AH3:AH66" si="3">D3&amp;"|"&amp;B3</f>
        <v>Carly Huber|January</v>
      </c>
    </row>
    <row r="4" spans="1:34" hidden="1">
      <c r="A4" s="32">
        <v>2026</v>
      </c>
      <c r="B4" s="32" t="s">
        <v>35</v>
      </c>
      <c r="C4" s="32" t="s">
        <v>36</v>
      </c>
      <c r="D4" s="32" t="s">
        <v>38</v>
      </c>
      <c r="E4" s="33"/>
      <c r="F4" s="34" t="str">
        <f>IF(E4="","",IFERROR(VLOOKUP(E4,'Input &amp; Settings'!$F$5:$G$10,2,FALSE),""))</f>
        <v/>
      </c>
      <c r="G4" s="33"/>
      <c r="H4" s="33"/>
      <c r="I4" s="35"/>
      <c r="J4" s="33"/>
      <c r="K4" s="36"/>
      <c r="L4" s="35"/>
      <c r="M4" s="33"/>
      <c r="N4" s="33"/>
      <c r="O4" s="33"/>
      <c r="P4" s="33"/>
      <c r="Q4" s="37" t="str">
        <f>IF(G4="","",IFERROR(MIN(100,G4/'Input &amp; Settings'!$B$5*100),""))</f>
        <v/>
      </c>
      <c r="R4" s="37" t="str">
        <f>IF(H4="","",IFERROR(MIN(100,H4/'Input &amp; Settings'!$B$6*100),""))</f>
        <v/>
      </c>
      <c r="S4" s="37" t="str">
        <f>IF(I4="","",IFERROR(MIN(100,I4/'Input &amp; Settings'!$B$7*100),""))</f>
        <v/>
      </c>
      <c r="T4" s="37" t="str">
        <f>IF(J4="","",IFERROR(MIN(100,J4/'Input &amp; Settings'!$B$8*100),""))</f>
        <v/>
      </c>
      <c r="U4" s="37" t="str">
        <f>IF(K4="","",IFERROR(MIN(100,K4/'Input &amp; Settings'!$B$9*100),""))</f>
        <v/>
      </c>
      <c r="V4" s="37" t="str">
        <f>IF(L4="","",IFERROR(MIN(100,L4/'Input &amp; Settings'!$B$10*100),""))</f>
        <v/>
      </c>
      <c r="W4" s="37" t="str">
        <f>IF(M4="","",IFERROR(IF(M4&lt;='Input &amp; Settings'!$B$11,100,MAX(0,100-(M4-'Input &amp; Settings'!$B$11)*20)),""))</f>
        <v/>
      </c>
      <c r="X4" s="37" t="str">
        <f>IF(N4="","",IFERROR(MIN(100,N4/'Input &amp; Settings'!$B$12*100),""))</f>
        <v/>
      </c>
      <c r="Y4" s="37" t="str">
        <f>IF(O4="","",IFERROR(MIN(100,O4/'Input &amp; Settings'!$B$13*100),""))</f>
        <v/>
      </c>
      <c r="Z4" s="37" t="str">
        <f>IF(P4="","",IFERROR(IF(P4&lt;='Input &amp; Settings'!$B$14,100,MAX(0,100-(P4-'Input &amp; Settings'!$B$14)*20)),""))</f>
        <v/>
      </c>
      <c r="AA4" s="37" t="str">
        <f>IF(COUNTA(G4:P4)=0,"",ROUND(Q4*'Input &amp; Settings'!$C$5+R4*'Input &amp; Settings'!$C$6+S4*'Input &amp; Settings'!$C$7+T4*'Input &amp; Settings'!$C$8+U4*'Input &amp; Settings'!$C$9+V4*'Input &amp; Settings'!$C$10+W4*'Input &amp; Settings'!$C$11+X4*'Input &amp; Settings'!$C$12+Y4*'Input &amp; Settings'!$C$13+Z4*'Input &amp; Settings'!$C$14,1))</f>
        <v/>
      </c>
      <c r="AB4" s="38" t="str">
        <f>IF(OR(AA4="",E4=""),"",IFERROR(IF(AA4&gt;=VLOOKUP(E4,'Input &amp; Settings'!$F$5:$K$10,3,FALSE),"Outstanding",IF(AA4&gt;=VLOOKUP(E4,'Input &amp; Settings'!$F$5:$K$10,4,FALSE),"Exceeds Expectations",IF(AA4&gt;=VLOOKUP(E4,'Input &amp; Settings'!$F$5:$K$10,5,FALSE),"Meets Expectations",IF(AA4&gt;=VLOOKUP(E4,'Input &amp; Settings'!$F$5:$K$10,6,FALSE),"Needs Improvement","Performance Improvement Required")))),""))</f>
        <v/>
      </c>
      <c r="AC4" s="38" t="str">
        <f t="shared" si="0"/>
        <v/>
      </c>
      <c r="AD4" s="39"/>
      <c r="AE4" s="40"/>
      <c r="AF4" s="41" t="str">
        <f t="shared" si="1"/>
        <v/>
      </c>
      <c r="AG4" s="42" t="str">
        <f t="shared" si="2"/>
        <v/>
      </c>
      <c r="AH4" s="42" t="str">
        <f t="shared" si="3"/>
        <v>Julian Grier|January</v>
      </c>
    </row>
    <row r="5" spans="1:34" hidden="1">
      <c r="A5" s="32">
        <v>2026</v>
      </c>
      <c r="B5" s="32" t="s">
        <v>35</v>
      </c>
      <c r="C5" s="32" t="s">
        <v>36</v>
      </c>
      <c r="D5" s="32" t="s">
        <v>39</v>
      </c>
      <c r="E5" s="33"/>
      <c r="F5" s="34" t="str">
        <f>IF(E5="","",IFERROR(VLOOKUP(E5,'Input &amp; Settings'!$F$5:$G$10,2,FALSE),""))</f>
        <v/>
      </c>
      <c r="G5" s="33"/>
      <c r="H5" s="33"/>
      <c r="I5" s="35"/>
      <c r="J5" s="33"/>
      <c r="K5" s="36"/>
      <c r="L5" s="35"/>
      <c r="M5" s="33"/>
      <c r="N5" s="33"/>
      <c r="O5" s="33"/>
      <c r="P5" s="33"/>
      <c r="Q5" s="37" t="str">
        <f>IF(G5="","",IFERROR(MIN(100,G5/'Input &amp; Settings'!$B$5*100),""))</f>
        <v/>
      </c>
      <c r="R5" s="37" t="str">
        <f>IF(H5="","",IFERROR(MIN(100,H5/'Input &amp; Settings'!$B$6*100),""))</f>
        <v/>
      </c>
      <c r="S5" s="37" t="str">
        <f>IF(I5="","",IFERROR(MIN(100,I5/'Input &amp; Settings'!$B$7*100),""))</f>
        <v/>
      </c>
      <c r="T5" s="37" t="str">
        <f>IF(J5="","",IFERROR(MIN(100,J5/'Input &amp; Settings'!$B$8*100),""))</f>
        <v/>
      </c>
      <c r="U5" s="37" t="str">
        <f>IF(K5="","",IFERROR(MIN(100,K5/'Input &amp; Settings'!$B$9*100),""))</f>
        <v/>
      </c>
      <c r="V5" s="37" t="str">
        <f>IF(L5="","",IFERROR(MIN(100,L5/'Input &amp; Settings'!$B$10*100),""))</f>
        <v/>
      </c>
      <c r="W5" s="37" t="str">
        <f>IF(M5="","",IFERROR(IF(M5&lt;='Input &amp; Settings'!$B$11,100,MAX(0,100-(M5-'Input &amp; Settings'!$B$11)*20)),""))</f>
        <v/>
      </c>
      <c r="X5" s="37" t="str">
        <f>IF(N5="","",IFERROR(MIN(100,N5/'Input &amp; Settings'!$B$12*100),""))</f>
        <v/>
      </c>
      <c r="Y5" s="37" t="str">
        <f>IF(O5="","",IFERROR(MIN(100,O5/'Input &amp; Settings'!$B$13*100),""))</f>
        <v/>
      </c>
      <c r="Z5" s="37" t="str">
        <f>IF(P5="","",IFERROR(IF(P5&lt;='Input &amp; Settings'!$B$14,100,MAX(0,100-(P5-'Input &amp; Settings'!$B$14)*20)),""))</f>
        <v/>
      </c>
      <c r="AA5" s="37" t="str">
        <f>IF(COUNTA(G5:P5)=0,"",ROUND(Q5*'Input &amp; Settings'!$C$5+R5*'Input &amp; Settings'!$C$6+S5*'Input &amp; Settings'!$C$7+T5*'Input &amp; Settings'!$C$8+U5*'Input &amp; Settings'!$C$9+V5*'Input &amp; Settings'!$C$10+W5*'Input &amp; Settings'!$C$11+X5*'Input &amp; Settings'!$C$12+Y5*'Input &amp; Settings'!$C$13+Z5*'Input &amp; Settings'!$C$14,1))</f>
        <v/>
      </c>
      <c r="AB5" s="38" t="str">
        <f>IF(OR(AA5="",E5=""),"",IFERROR(IF(AA5&gt;=VLOOKUP(E5,'Input &amp; Settings'!$F$5:$K$10,3,FALSE),"Outstanding",IF(AA5&gt;=VLOOKUP(E5,'Input &amp; Settings'!$F$5:$K$10,4,FALSE),"Exceeds Expectations",IF(AA5&gt;=VLOOKUP(E5,'Input &amp; Settings'!$F$5:$K$10,5,FALSE),"Meets Expectations",IF(AA5&gt;=VLOOKUP(E5,'Input &amp; Settings'!$F$5:$K$10,6,FALSE),"Needs Improvement","Performance Improvement Required")))),""))</f>
        <v/>
      </c>
      <c r="AC5" s="38" t="str">
        <f t="shared" si="0"/>
        <v/>
      </c>
      <c r="AD5" s="39"/>
      <c r="AE5" s="40"/>
      <c r="AF5" s="41" t="str">
        <f t="shared" si="1"/>
        <v/>
      </c>
      <c r="AG5" s="42" t="str">
        <f t="shared" si="2"/>
        <v/>
      </c>
      <c r="AH5" s="42" t="str">
        <f t="shared" si="3"/>
        <v>Jorge Lopez|January</v>
      </c>
    </row>
    <row r="6" spans="1:34" hidden="1">
      <c r="A6" s="32">
        <v>2026</v>
      </c>
      <c r="B6" s="32" t="s">
        <v>35</v>
      </c>
      <c r="C6" s="32" t="s">
        <v>36</v>
      </c>
      <c r="D6" s="32" t="s">
        <v>40</v>
      </c>
      <c r="E6" s="33"/>
      <c r="F6" s="34" t="str">
        <f>IF(E6="","",IFERROR(VLOOKUP(E6,'Input &amp; Settings'!$F$5:$G$10,2,FALSE),""))</f>
        <v/>
      </c>
      <c r="G6" s="33"/>
      <c r="H6" s="33"/>
      <c r="I6" s="35"/>
      <c r="J6" s="33"/>
      <c r="K6" s="36"/>
      <c r="L6" s="35"/>
      <c r="M6" s="33"/>
      <c r="N6" s="33"/>
      <c r="O6" s="33"/>
      <c r="P6" s="33"/>
      <c r="Q6" s="37" t="str">
        <f>IF(G6="","",IFERROR(MIN(100,G6/'Input &amp; Settings'!$B$5*100),""))</f>
        <v/>
      </c>
      <c r="R6" s="37" t="str">
        <f>IF(H6="","",IFERROR(MIN(100,H6/'Input &amp; Settings'!$B$6*100),""))</f>
        <v/>
      </c>
      <c r="S6" s="37" t="str">
        <f>IF(I6="","",IFERROR(MIN(100,I6/'Input &amp; Settings'!$B$7*100),""))</f>
        <v/>
      </c>
      <c r="T6" s="37" t="str">
        <f>IF(J6="","",IFERROR(MIN(100,J6/'Input &amp; Settings'!$B$8*100),""))</f>
        <v/>
      </c>
      <c r="U6" s="37" t="str">
        <f>IF(K6="","",IFERROR(MIN(100,K6/'Input &amp; Settings'!$B$9*100),""))</f>
        <v/>
      </c>
      <c r="V6" s="37" t="str">
        <f>IF(L6="","",IFERROR(MIN(100,L6/'Input &amp; Settings'!$B$10*100),""))</f>
        <v/>
      </c>
      <c r="W6" s="37" t="str">
        <f>IF(M6="","",IFERROR(IF(M6&lt;='Input &amp; Settings'!$B$11,100,MAX(0,100-(M6-'Input &amp; Settings'!$B$11)*20)),""))</f>
        <v/>
      </c>
      <c r="X6" s="37" t="str">
        <f>IF(N6="","",IFERROR(MIN(100,N6/'Input &amp; Settings'!$B$12*100),""))</f>
        <v/>
      </c>
      <c r="Y6" s="37" t="str">
        <f>IF(O6="","",IFERROR(MIN(100,O6/'Input &amp; Settings'!$B$13*100),""))</f>
        <v/>
      </c>
      <c r="Z6" s="37" t="str">
        <f>IF(P6="","",IFERROR(IF(P6&lt;='Input &amp; Settings'!$B$14,100,MAX(0,100-(P6-'Input &amp; Settings'!$B$14)*20)),""))</f>
        <v/>
      </c>
      <c r="AA6" s="37" t="str">
        <f>IF(COUNTA(G6:P6)=0,"",ROUND(Q6*'Input &amp; Settings'!$C$5+R6*'Input &amp; Settings'!$C$6+S6*'Input &amp; Settings'!$C$7+T6*'Input &amp; Settings'!$C$8+U6*'Input &amp; Settings'!$C$9+V6*'Input &amp; Settings'!$C$10+W6*'Input &amp; Settings'!$C$11+X6*'Input &amp; Settings'!$C$12+Y6*'Input &amp; Settings'!$C$13+Z6*'Input &amp; Settings'!$C$14,1))</f>
        <v/>
      </c>
      <c r="AB6" s="38" t="str">
        <f>IF(OR(AA6="",E6=""),"",IFERROR(IF(AA6&gt;=VLOOKUP(E6,'Input &amp; Settings'!$F$5:$K$10,3,FALSE),"Outstanding",IF(AA6&gt;=VLOOKUP(E6,'Input &amp; Settings'!$F$5:$K$10,4,FALSE),"Exceeds Expectations",IF(AA6&gt;=VLOOKUP(E6,'Input &amp; Settings'!$F$5:$K$10,5,FALSE),"Meets Expectations",IF(AA6&gt;=VLOOKUP(E6,'Input &amp; Settings'!$F$5:$K$10,6,FALSE),"Needs Improvement","Performance Improvement Required")))),""))</f>
        <v/>
      </c>
      <c r="AC6" s="38" t="str">
        <f t="shared" si="0"/>
        <v/>
      </c>
      <c r="AD6" s="39"/>
      <c r="AE6" s="40"/>
      <c r="AF6" s="41" t="str">
        <f t="shared" si="1"/>
        <v/>
      </c>
      <c r="AG6" s="42" t="str">
        <f t="shared" si="2"/>
        <v/>
      </c>
      <c r="AH6" s="42" t="str">
        <f t="shared" si="3"/>
        <v>Juan Pablo Pique Buil (JP)|January</v>
      </c>
    </row>
    <row r="7" spans="1:34" hidden="1">
      <c r="A7" s="32">
        <v>2026</v>
      </c>
      <c r="B7" s="32" t="s">
        <v>35</v>
      </c>
      <c r="C7" s="32" t="s">
        <v>36</v>
      </c>
      <c r="D7" s="32" t="s">
        <v>41</v>
      </c>
      <c r="E7" s="33"/>
      <c r="F7" s="34" t="str">
        <f>IF(E7="","",IFERROR(VLOOKUP(E7,'Input &amp; Settings'!$F$5:$G$10,2,FALSE),""))</f>
        <v/>
      </c>
      <c r="G7" s="33"/>
      <c r="H7" s="33"/>
      <c r="I7" s="35"/>
      <c r="J7" s="33"/>
      <c r="K7" s="36"/>
      <c r="L7" s="35"/>
      <c r="M7" s="33"/>
      <c r="N7" s="33"/>
      <c r="O7" s="33"/>
      <c r="P7" s="33"/>
      <c r="Q7" s="37" t="str">
        <f>IF(G7="","",IFERROR(MIN(100,G7/'Input &amp; Settings'!$B$5*100),""))</f>
        <v/>
      </c>
      <c r="R7" s="37" t="str">
        <f>IF(H7="","",IFERROR(MIN(100,H7/'Input &amp; Settings'!$B$6*100),""))</f>
        <v/>
      </c>
      <c r="S7" s="37" t="str">
        <f>IF(I7="","",IFERROR(MIN(100,I7/'Input &amp; Settings'!$B$7*100),""))</f>
        <v/>
      </c>
      <c r="T7" s="37" t="str">
        <f>IF(J7="","",IFERROR(MIN(100,J7/'Input &amp; Settings'!$B$8*100),""))</f>
        <v/>
      </c>
      <c r="U7" s="37" t="str">
        <f>IF(K7="","",IFERROR(MIN(100,K7/'Input &amp; Settings'!$B$9*100),""))</f>
        <v/>
      </c>
      <c r="V7" s="37" t="str">
        <f>IF(L7="","",IFERROR(MIN(100,L7/'Input &amp; Settings'!$B$10*100),""))</f>
        <v/>
      </c>
      <c r="W7" s="37" t="str">
        <f>IF(M7="","",IFERROR(IF(M7&lt;='Input &amp; Settings'!$B$11,100,MAX(0,100-(M7-'Input &amp; Settings'!$B$11)*20)),""))</f>
        <v/>
      </c>
      <c r="X7" s="37" t="str">
        <f>IF(N7="","",IFERROR(MIN(100,N7/'Input &amp; Settings'!$B$12*100),""))</f>
        <v/>
      </c>
      <c r="Y7" s="37" t="str">
        <f>IF(O7="","",IFERROR(MIN(100,O7/'Input &amp; Settings'!$B$13*100),""))</f>
        <v/>
      </c>
      <c r="Z7" s="37" t="str">
        <f>IF(P7="","",IFERROR(IF(P7&lt;='Input &amp; Settings'!$B$14,100,MAX(0,100-(P7-'Input &amp; Settings'!$B$14)*20)),""))</f>
        <v/>
      </c>
      <c r="AA7" s="37" t="str">
        <f>IF(COUNTA(G7:P7)=0,"",ROUND(Q7*'Input &amp; Settings'!$C$5+R7*'Input &amp; Settings'!$C$6+S7*'Input &amp; Settings'!$C$7+T7*'Input &amp; Settings'!$C$8+U7*'Input &amp; Settings'!$C$9+V7*'Input &amp; Settings'!$C$10+W7*'Input &amp; Settings'!$C$11+X7*'Input &amp; Settings'!$C$12+Y7*'Input &amp; Settings'!$C$13+Z7*'Input &amp; Settings'!$C$14,1))</f>
        <v/>
      </c>
      <c r="AB7" s="38" t="str">
        <f>IF(OR(AA7="",E7=""),"",IFERROR(IF(AA7&gt;=VLOOKUP(E7,'Input &amp; Settings'!$F$5:$K$10,3,FALSE),"Outstanding",IF(AA7&gt;=VLOOKUP(E7,'Input &amp; Settings'!$F$5:$K$10,4,FALSE),"Exceeds Expectations",IF(AA7&gt;=VLOOKUP(E7,'Input &amp; Settings'!$F$5:$K$10,5,FALSE),"Meets Expectations",IF(AA7&gt;=VLOOKUP(E7,'Input &amp; Settings'!$F$5:$K$10,6,FALSE),"Needs Improvement","Performance Improvement Required")))),""))</f>
        <v/>
      </c>
      <c r="AC7" s="38" t="str">
        <f t="shared" si="0"/>
        <v/>
      </c>
      <c r="AD7" s="39"/>
      <c r="AE7" s="40"/>
      <c r="AF7" s="41" t="str">
        <f t="shared" si="1"/>
        <v/>
      </c>
      <c r="AG7" s="42" t="str">
        <f t="shared" si="2"/>
        <v/>
      </c>
      <c r="AH7" s="42" t="str">
        <f t="shared" si="3"/>
        <v>Peter Gonzalez|January</v>
      </c>
    </row>
    <row r="8" spans="1:34" hidden="1">
      <c r="A8" s="32">
        <v>2026</v>
      </c>
      <c r="B8" s="32" t="s">
        <v>35</v>
      </c>
      <c r="C8" s="32" t="s">
        <v>36</v>
      </c>
      <c r="D8" s="32" t="s">
        <v>42</v>
      </c>
      <c r="E8" s="33"/>
      <c r="F8" s="34" t="str">
        <f>IF(E8="","",IFERROR(VLOOKUP(E8,'Input &amp; Settings'!$F$5:$G$10,2,FALSE),""))</f>
        <v/>
      </c>
      <c r="G8" s="33"/>
      <c r="H8" s="33"/>
      <c r="I8" s="35"/>
      <c r="J8" s="33"/>
      <c r="K8" s="36"/>
      <c r="L8" s="35"/>
      <c r="M8" s="33"/>
      <c r="N8" s="33"/>
      <c r="O8" s="33"/>
      <c r="P8" s="33"/>
      <c r="Q8" s="37" t="str">
        <f>IF(G8="","",IFERROR(MIN(100,G8/'Input &amp; Settings'!$B$5*100),""))</f>
        <v/>
      </c>
      <c r="R8" s="37" t="str">
        <f>IF(H8="","",IFERROR(MIN(100,H8/'Input &amp; Settings'!$B$6*100),""))</f>
        <v/>
      </c>
      <c r="S8" s="37" t="str">
        <f>IF(I8="","",IFERROR(MIN(100,I8/'Input &amp; Settings'!$B$7*100),""))</f>
        <v/>
      </c>
      <c r="T8" s="37" t="str">
        <f>IF(J8="","",IFERROR(MIN(100,J8/'Input &amp; Settings'!$B$8*100),""))</f>
        <v/>
      </c>
      <c r="U8" s="37" t="str">
        <f>IF(K8="","",IFERROR(MIN(100,K8/'Input &amp; Settings'!$B$9*100),""))</f>
        <v/>
      </c>
      <c r="V8" s="37" t="str">
        <f>IF(L8="","",IFERROR(MIN(100,L8/'Input &amp; Settings'!$B$10*100),""))</f>
        <v/>
      </c>
      <c r="W8" s="37" t="str">
        <f>IF(M8="","",IFERROR(IF(M8&lt;='Input &amp; Settings'!$B$11,100,MAX(0,100-(M8-'Input &amp; Settings'!$B$11)*20)),""))</f>
        <v/>
      </c>
      <c r="X8" s="37" t="str">
        <f>IF(N8="","",IFERROR(MIN(100,N8/'Input &amp; Settings'!$B$12*100),""))</f>
        <v/>
      </c>
      <c r="Y8" s="37" t="str">
        <f>IF(O8="","",IFERROR(MIN(100,O8/'Input &amp; Settings'!$B$13*100),""))</f>
        <v/>
      </c>
      <c r="Z8" s="37" t="str">
        <f>IF(P8="","",IFERROR(IF(P8&lt;='Input &amp; Settings'!$B$14,100,MAX(0,100-(P8-'Input &amp; Settings'!$B$14)*20)),""))</f>
        <v/>
      </c>
      <c r="AA8" s="37" t="str">
        <f>IF(COUNTA(G8:P8)=0,"",ROUND(Q8*'Input &amp; Settings'!$C$5+R8*'Input &amp; Settings'!$C$6+S8*'Input &amp; Settings'!$C$7+T8*'Input &amp; Settings'!$C$8+U8*'Input &amp; Settings'!$C$9+V8*'Input &amp; Settings'!$C$10+W8*'Input &amp; Settings'!$C$11+X8*'Input &amp; Settings'!$C$12+Y8*'Input &amp; Settings'!$C$13+Z8*'Input &amp; Settings'!$C$14,1))</f>
        <v/>
      </c>
      <c r="AB8" s="38" t="str">
        <f>IF(OR(AA8="",E8=""),"",IFERROR(IF(AA8&gt;=VLOOKUP(E8,'Input &amp; Settings'!$F$5:$K$10,3,FALSE),"Outstanding",IF(AA8&gt;=VLOOKUP(E8,'Input &amp; Settings'!$F$5:$K$10,4,FALSE),"Exceeds Expectations",IF(AA8&gt;=VLOOKUP(E8,'Input &amp; Settings'!$F$5:$K$10,5,FALSE),"Meets Expectations",IF(AA8&gt;=VLOOKUP(E8,'Input &amp; Settings'!$F$5:$K$10,6,FALSE),"Needs Improvement","Performance Improvement Required")))),""))</f>
        <v/>
      </c>
      <c r="AC8" s="38" t="str">
        <f t="shared" si="0"/>
        <v/>
      </c>
      <c r="AD8" s="39"/>
      <c r="AE8" s="40"/>
      <c r="AF8" s="41" t="str">
        <f t="shared" si="1"/>
        <v/>
      </c>
      <c r="AG8" s="42" t="str">
        <f t="shared" si="2"/>
        <v/>
      </c>
      <c r="AH8" s="42" t="str">
        <f t="shared" si="3"/>
        <v>Dennis Hartling|January</v>
      </c>
    </row>
    <row r="9" spans="1:34" hidden="1">
      <c r="A9" s="32">
        <v>2026</v>
      </c>
      <c r="B9" s="32" t="s">
        <v>35</v>
      </c>
      <c r="C9" s="32" t="s">
        <v>36</v>
      </c>
      <c r="D9" s="32" t="s">
        <v>43</v>
      </c>
      <c r="E9" s="33"/>
      <c r="F9" s="34" t="str">
        <f>IF(E9="","",IFERROR(VLOOKUP(E9,'Input &amp; Settings'!$F$5:$G$10,2,FALSE),""))</f>
        <v/>
      </c>
      <c r="G9" s="33"/>
      <c r="H9" s="33"/>
      <c r="I9" s="35"/>
      <c r="J9" s="33"/>
      <c r="K9" s="36"/>
      <c r="L9" s="35"/>
      <c r="M9" s="33"/>
      <c r="N9" s="33"/>
      <c r="O9" s="33"/>
      <c r="P9" s="33"/>
      <c r="Q9" s="37" t="str">
        <f>IF(G9="","",IFERROR(MIN(100,G9/'Input &amp; Settings'!$B$5*100),""))</f>
        <v/>
      </c>
      <c r="R9" s="37" t="str">
        <f>IF(H9="","",IFERROR(MIN(100,H9/'Input &amp; Settings'!$B$6*100),""))</f>
        <v/>
      </c>
      <c r="S9" s="37" t="str">
        <f>IF(I9="","",IFERROR(MIN(100,I9/'Input &amp; Settings'!$B$7*100),""))</f>
        <v/>
      </c>
      <c r="T9" s="37" t="str">
        <f>IF(J9="","",IFERROR(MIN(100,J9/'Input &amp; Settings'!$B$8*100),""))</f>
        <v/>
      </c>
      <c r="U9" s="37" t="str">
        <f>IF(K9="","",IFERROR(MIN(100,K9/'Input &amp; Settings'!$B$9*100),""))</f>
        <v/>
      </c>
      <c r="V9" s="37" t="str">
        <f>IF(L9="","",IFERROR(MIN(100,L9/'Input &amp; Settings'!$B$10*100),""))</f>
        <v/>
      </c>
      <c r="W9" s="37" t="str">
        <f>IF(M9="","",IFERROR(IF(M9&lt;='Input &amp; Settings'!$B$11,100,MAX(0,100-(M9-'Input &amp; Settings'!$B$11)*20)),""))</f>
        <v/>
      </c>
      <c r="X9" s="37" t="str">
        <f>IF(N9="","",IFERROR(MIN(100,N9/'Input &amp; Settings'!$B$12*100),""))</f>
        <v/>
      </c>
      <c r="Y9" s="37" t="str">
        <f>IF(O9="","",IFERROR(MIN(100,O9/'Input &amp; Settings'!$B$13*100),""))</f>
        <v/>
      </c>
      <c r="Z9" s="37" t="str">
        <f>IF(P9="","",IFERROR(IF(P9&lt;='Input &amp; Settings'!$B$14,100,MAX(0,100-(P9-'Input &amp; Settings'!$B$14)*20)),""))</f>
        <v/>
      </c>
      <c r="AA9" s="37" t="str">
        <f>IF(COUNTA(G9:P9)=0,"",ROUND(Q9*'Input &amp; Settings'!$C$5+R9*'Input &amp; Settings'!$C$6+S9*'Input &amp; Settings'!$C$7+T9*'Input &amp; Settings'!$C$8+U9*'Input &amp; Settings'!$C$9+V9*'Input &amp; Settings'!$C$10+W9*'Input &amp; Settings'!$C$11+X9*'Input &amp; Settings'!$C$12+Y9*'Input &amp; Settings'!$C$13+Z9*'Input &amp; Settings'!$C$14,1))</f>
        <v/>
      </c>
      <c r="AB9" s="38" t="str">
        <f>IF(OR(AA9="",E9=""),"",IFERROR(IF(AA9&gt;=VLOOKUP(E9,'Input &amp; Settings'!$F$5:$K$10,3,FALSE),"Outstanding",IF(AA9&gt;=VLOOKUP(E9,'Input &amp; Settings'!$F$5:$K$10,4,FALSE),"Exceeds Expectations",IF(AA9&gt;=VLOOKUP(E9,'Input &amp; Settings'!$F$5:$K$10,5,FALSE),"Meets Expectations",IF(AA9&gt;=VLOOKUP(E9,'Input &amp; Settings'!$F$5:$K$10,6,FALSE),"Needs Improvement","Performance Improvement Required")))),""))</f>
        <v/>
      </c>
      <c r="AC9" s="38" t="str">
        <f t="shared" si="0"/>
        <v/>
      </c>
      <c r="AD9" s="39"/>
      <c r="AE9" s="40"/>
      <c r="AF9" s="41" t="str">
        <f t="shared" si="1"/>
        <v/>
      </c>
      <c r="AG9" s="42" t="str">
        <f t="shared" si="2"/>
        <v/>
      </c>
      <c r="AH9" s="42" t="str">
        <f t="shared" si="3"/>
        <v>Gilbert Eugene|January</v>
      </c>
    </row>
    <row r="10" spans="1:34" hidden="1">
      <c r="A10" s="32">
        <v>2026</v>
      </c>
      <c r="B10" s="32" t="s">
        <v>35</v>
      </c>
      <c r="C10" s="32" t="s">
        <v>36</v>
      </c>
      <c r="D10" s="32" t="s">
        <v>44</v>
      </c>
      <c r="E10" s="33"/>
      <c r="F10" s="34" t="str">
        <f>IF(E10="","",IFERROR(VLOOKUP(E10,'Input &amp; Settings'!$F$5:$G$10,2,FALSE),""))</f>
        <v/>
      </c>
      <c r="G10" s="33"/>
      <c r="H10" s="33"/>
      <c r="I10" s="35"/>
      <c r="J10" s="33"/>
      <c r="K10" s="36"/>
      <c r="L10" s="35"/>
      <c r="M10" s="33"/>
      <c r="N10" s="33"/>
      <c r="O10" s="33"/>
      <c r="P10" s="33"/>
      <c r="Q10" s="37" t="str">
        <f>IF(G10="","",IFERROR(MIN(100,G10/'Input &amp; Settings'!$B$5*100),""))</f>
        <v/>
      </c>
      <c r="R10" s="37" t="str">
        <f>IF(H10="","",IFERROR(MIN(100,H10/'Input &amp; Settings'!$B$6*100),""))</f>
        <v/>
      </c>
      <c r="S10" s="37" t="str">
        <f>IF(I10="","",IFERROR(MIN(100,I10/'Input &amp; Settings'!$B$7*100),""))</f>
        <v/>
      </c>
      <c r="T10" s="37" t="str">
        <f>IF(J10="","",IFERROR(MIN(100,J10/'Input &amp; Settings'!$B$8*100),""))</f>
        <v/>
      </c>
      <c r="U10" s="37" t="str">
        <f>IF(K10="","",IFERROR(MIN(100,K10/'Input &amp; Settings'!$B$9*100),""))</f>
        <v/>
      </c>
      <c r="V10" s="37" t="str">
        <f>IF(L10="","",IFERROR(MIN(100,L10/'Input &amp; Settings'!$B$10*100),""))</f>
        <v/>
      </c>
      <c r="W10" s="37" t="str">
        <f>IF(M10="","",IFERROR(IF(M10&lt;='Input &amp; Settings'!$B$11,100,MAX(0,100-(M10-'Input &amp; Settings'!$B$11)*20)),""))</f>
        <v/>
      </c>
      <c r="X10" s="37" t="str">
        <f>IF(N10="","",IFERROR(MIN(100,N10/'Input &amp; Settings'!$B$12*100),""))</f>
        <v/>
      </c>
      <c r="Y10" s="37" t="str">
        <f>IF(O10="","",IFERROR(MIN(100,O10/'Input &amp; Settings'!$B$13*100),""))</f>
        <v/>
      </c>
      <c r="Z10" s="37" t="str">
        <f>IF(P10="","",IFERROR(IF(P10&lt;='Input &amp; Settings'!$B$14,100,MAX(0,100-(P10-'Input &amp; Settings'!$B$14)*20)),""))</f>
        <v/>
      </c>
      <c r="AA10" s="37" t="str">
        <f>IF(COUNTA(G10:P10)=0,"",ROUND(Q10*'Input &amp; Settings'!$C$5+R10*'Input &amp; Settings'!$C$6+S10*'Input &amp; Settings'!$C$7+T10*'Input &amp; Settings'!$C$8+U10*'Input &amp; Settings'!$C$9+V10*'Input &amp; Settings'!$C$10+W10*'Input &amp; Settings'!$C$11+X10*'Input &amp; Settings'!$C$12+Y10*'Input &amp; Settings'!$C$13+Z10*'Input &amp; Settings'!$C$14,1))</f>
        <v/>
      </c>
      <c r="AB10" s="38" t="str">
        <f>IF(OR(AA10="",E10=""),"",IFERROR(IF(AA10&gt;=VLOOKUP(E10,'Input &amp; Settings'!$F$5:$K$10,3,FALSE),"Outstanding",IF(AA10&gt;=VLOOKUP(E10,'Input &amp; Settings'!$F$5:$K$10,4,FALSE),"Exceeds Expectations",IF(AA10&gt;=VLOOKUP(E10,'Input &amp; Settings'!$F$5:$K$10,5,FALSE),"Meets Expectations",IF(AA10&gt;=VLOOKUP(E10,'Input &amp; Settings'!$F$5:$K$10,6,FALSE),"Needs Improvement","Performance Improvement Required")))),""))</f>
        <v/>
      </c>
      <c r="AC10" s="38" t="str">
        <f t="shared" si="0"/>
        <v/>
      </c>
      <c r="AD10" s="39"/>
      <c r="AE10" s="40"/>
      <c r="AF10" s="41" t="str">
        <f t="shared" si="1"/>
        <v/>
      </c>
      <c r="AG10" s="42" t="str">
        <f t="shared" si="2"/>
        <v/>
      </c>
      <c r="AH10" s="42" t="str">
        <f t="shared" si="3"/>
        <v>Cory Colstock|January</v>
      </c>
    </row>
    <row r="11" spans="1:34" hidden="1">
      <c r="A11" s="32">
        <v>2026</v>
      </c>
      <c r="B11" s="32" t="s">
        <v>35</v>
      </c>
      <c r="C11" s="32" t="s">
        <v>36</v>
      </c>
      <c r="D11" s="32" t="s">
        <v>45</v>
      </c>
      <c r="E11" s="33"/>
      <c r="F11" s="34" t="str">
        <f>IF(E11="","",IFERROR(VLOOKUP(E11,'Input &amp; Settings'!$F$5:$G$10,2,FALSE),""))</f>
        <v/>
      </c>
      <c r="G11" s="33"/>
      <c r="H11" s="33"/>
      <c r="I11" s="35"/>
      <c r="J11" s="33"/>
      <c r="K11" s="36"/>
      <c r="L11" s="35"/>
      <c r="M11" s="33"/>
      <c r="N11" s="33"/>
      <c r="O11" s="33"/>
      <c r="P11" s="33"/>
      <c r="Q11" s="37" t="str">
        <f>IF(G11="","",IFERROR(MIN(100,G11/'Input &amp; Settings'!$B$5*100),""))</f>
        <v/>
      </c>
      <c r="R11" s="37" t="str">
        <f>IF(H11="","",IFERROR(MIN(100,H11/'Input &amp; Settings'!$B$6*100),""))</f>
        <v/>
      </c>
      <c r="S11" s="37" t="str">
        <f>IF(I11="","",IFERROR(MIN(100,I11/'Input &amp; Settings'!$B$7*100),""))</f>
        <v/>
      </c>
      <c r="T11" s="37" t="str">
        <f>IF(J11="","",IFERROR(MIN(100,J11/'Input &amp; Settings'!$B$8*100),""))</f>
        <v/>
      </c>
      <c r="U11" s="37" t="str">
        <f>IF(K11="","",IFERROR(MIN(100,K11/'Input &amp; Settings'!$B$9*100),""))</f>
        <v/>
      </c>
      <c r="V11" s="37" t="str">
        <f>IF(L11="","",IFERROR(MIN(100,L11/'Input &amp; Settings'!$B$10*100),""))</f>
        <v/>
      </c>
      <c r="W11" s="37" t="str">
        <f>IF(M11="","",IFERROR(IF(M11&lt;='Input &amp; Settings'!$B$11,100,MAX(0,100-(M11-'Input &amp; Settings'!$B$11)*20)),""))</f>
        <v/>
      </c>
      <c r="X11" s="37" t="str">
        <f>IF(N11="","",IFERROR(MIN(100,N11/'Input &amp; Settings'!$B$12*100),""))</f>
        <v/>
      </c>
      <c r="Y11" s="37" t="str">
        <f>IF(O11="","",IFERROR(MIN(100,O11/'Input &amp; Settings'!$B$13*100),""))</f>
        <v/>
      </c>
      <c r="Z11" s="37" t="str">
        <f>IF(P11="","",IFERROR(IF(P11&lt;='Input &amp; Settings'!$B$14,100,MAX(0,100-(P11-'Input &amp; Settings'!$B$14)*20)),""))</f>
        <v/>
      </c>
      <c r="AA11" s="37" t="str">
        <f>IF(COUNTA(G11:P11)=0,"",ROUND(Q11*'Input &amp; Settings'!$C$5+R11*'Input &amp; Settings'!$C$6+S11*'Input &amp; Settings'!$C$7+T11*'Input &amp; Settings'!$C$8+U11*'Input &amp; Settings'!$C$9+V11*'Input &amp; Settings'!$C$10+W11*'Input &amp; Settings'!$C$11+X11*'Input &amp; Settings'!$C$12+Y11*'Input &amp; Settings'!$C$13+Z11*'Input &amp; Settings'!$C$14,1))</f>
        <v/>
      </c>
      <c r="AB11" s="38" t="str">
        <f>IF(OR(AA11="",E11=""),"",IFERROR(IF(AA11&gt;=VLOOKUP(E11,'Input &amp; Settings'!$F$5:$K$10,3,FALSE),"Outstanding",IF(AA11&gt;=VLOOKUP(E11,'Input &amp; Settings'!$F$5:$K$10,4,FALSE),"Exceeds Expectations",IF(AA11&gt;=VLOOKUP(E11,'Input &amp; Settings'!$F$5:$K$10,5,FALSE),"Meets Expectations",IF(AA11&gt;=VLOOKUP(E11,'Input &amp; Settings'!$F$5:$K$10,6,FALSE),"Needs Improvement","Performance Improvement Required")))),""))</f>
        <v/>
      </c>
      <c r="AC11" s="38" t="str">
        <f t="shared" si="0"/>
        <v/>
      </c>
      <c r="AD11" s="39"/>
      <c r="AE11" s="40"/>
      <c r="AF11" s="41" t="str">
        <f t="shared" si="1"/>
        <v/>
      </c>
      <c r="AG11" s="42" t="str">
        <f t="shared" si="2"/>
        <v/>
      </c>
      <c r="AH11" s="42" t="str">
        <f t="shared" si="3"/>
        <v>Jerald Woodward (Jerry)|January</v>
      </c>
    </row>
    <row r="12" spans="1:34" hidden="1">
      <c r="A12" s="32">
        <v>2026</v>
      </c>
      <c r="B12" s="32" t="s">
        <v>35</v>
      </c>
      <c r="C12" s="32" t="s">
        <v>36</v>
      </c>
      <c r="D12" s="32" t="s">
        <v>46</v>
      </c>
      <c r="E12" s="33"/>
      <c r="F12" s="34" t="str">
        <f>IF(E12="","",IFERROR(VLOOKUP(E12,'Input &amp; Settings'!$F$5:$G$10,2,FALSE),""))</f>
        <v/>
      </c>
      <c r="G12" s="33"/>
      <c r="H12" s="33"/>
      <c r="I12" s="35"/>
      <c r="J12" s="33"/>
      <c r="K12" s="36"/>
      <c r="L12" s="35"/>
      <c r="M12" s="33"/>
      <c r="N12" s="33"/>
      <c r="O12" s="33"/>
      <c r="P12" s="33"/>
      <c r="Q12" s="37" t="str">
        <f>IF(G12="","",IFERROR(MIN(100,G12/'Input &amp; Settings'!$B$5*100),""))</f>
        <v/>
      </c>
      <c r="R12" s="37" t="str">
        <f>IF(H12="","",IFERROR(MIN(100,H12/'Input &amp; Settings'!$B$6*100),""))</f>
        <v/>
      </c>
      <c r="S12" s="37" t="str">
        <f>IF(I12="","",IFERROR(MIN(100,I12/'Input &amp; Settings'!$B$7*100),""))</f>
        <v/>
      </c>
      <c r="T12" s="37" t="str">
        <f>IF(J12="","",IFERROR(MIN(100,J12/'Input &amp; Settings'!$B$8*100),""))</f>
        <v/>
      </c>
      <c r="U12" s="37" t="str">
        <f>IF(K12="","",IFERROR(MIN(100,K12/'Input &amp; Settings'!$B$9*100),""))</f>
        <v/>
      </c>
      <c r="V12" s="37" t="str">
        <f>IF(L12="","",IFERROR(MIN(100,L12/'Input &amp; Settings'!$B$10*100),""))</f>
        <v/>
      </c>
      <c r="W12" s="37" t="str">
        <f>IF(M12="","",IFERROR(IF(M12&lt;='Input &amp; Settings'!$B$11,100,MAX(0,100-(M12-'Input &amp; Settings'!$B$11)*20)),""))</f>
        <v/>
      </c>
      <c r="X12" s="37" t="str">
        <f>IF(N12="","",IFERROR(MIN(100,N12/'Input &amp; Settings'!$B$12*100),""))</f>
        <v/>
      </c>
      <c r="Y12" s="37" t="str">
        <f>IF(O12="","",IFERROR(MIN(100,O12/'Input &amp; Settings'!$B$13*100),""))</f>
        <v/>
      </c>
      <c r="Z12" s="37" t="str">
        <f>IF(P12="","",IFERROR(IF(P12&lt;='Input &amp; Settings'!$B$14,100,MAX(0,100-(P12-'Input &amp; Settings'!$B$14)*20)),""))</f>
        <v/>
      </c>
      <c r="AA12" s="37" t="str">
        <f>IF(COUNTA(G12:P12)=0,"",ROUND(Q12*'Input &amp; Settings'!$C$5+R12*'Input &amp; Settings'!$C$6+S12*'Input &amp; Settings'!$C$7+T12*'Input &amp; Settings'!$C$8+U12*'Input &amp; Settings'!$C$9+V12*'Input &amp; Settings'!$C$10+W12*'Input &amp; Settings'!$C$11+X12*'Input &amp; Settings'!$C$12+Y12*'Input &amp; Settings'!$C$13+Z12*'Input &amp; Settings'!$C$14,1))</f>
        <v/>
      </c>
      <c r="AB12" s="38" t="str">
        <f>IF(OR(AA12="",E12=""),"",IFERROR(IF(AA12&gt;=VLOOKUP(E12,'Input &amp; Settings'!$F$5:$K$10,3,FALSE),"Outstanding",IF(AA12&gt;=VLOOKUP(E12,'Input &amp; Settings'!$F$5:$K$10,4,FALSE),"Exceeds Expectations",IF(AA12&gt;=VLOOKUP(E12,'Input &amp; Settings'!$F$5:$K$10,5,FALSE),"Meets Expectations",IF(AA12&gt;=VLOOKUP(E12,'Input &amp; Settings'!$F$5:$K$10,6,FALSE),"Needs Improvement","Performance Improvement Required")))),""))</f>
        <v/>
      </c>
      <c r="AC12" s="38" t="str">
        <f t="shared" si="0"/>
        <v/>
      </c>
      <c r="AD12" s="39"/>
      <c r="AE12" s="40"/>
      <c r="AF12" s="41" t="str">
        <f t="shared" si="1"/>
        <v/>
      </c>
      <c r="AG12" s="42" t="str">
        <f t="shared" si="2"/>
        <v/>
      </c>
      <c r="AH12" s="42" t="str">
        <f t="shared" si="3"/>
        <v>Alvaro Hernandez|January</v>
      </c>
    </row>
    <row r="13" spans="1:34" hidden="1">
      <c r="A13" s="32">
        <v>2026</v>
      </c>
      <c r="B13" s="32" t="s">
        <v>35</v>
      </c>
      <c r="C13" s="32" t="s">
        <v>36</v>
      </c>
      <c r="D13" s="32" t="s">
        <v>47</v>
      </c>
      <c r="E13" s="33"/>
      <c r="F13" s="34" t="str">
        <f>IF(E13="","",IFERROR(VLOOKUP(E13,'Input &amp; Settings'!$F$5:$G$10,2,FALSE),""))</f>
        <v/>
      </c>
      <c r="G13" s="33"/>
      <c r="H13" s="33"/>
      <c r="I13" s="35"/>
      <c r="J13" s="33"/>
      <c r="K13" s="36"/>
      <c r="L13" s="35"/>
      <c r="M13" s="33"/>
      <c r="N13" s="33"/>
      <c r="O13" s="33"/>
      <c r="P13" s="33"/>
      <c r="Q13" s="37" t="str">
        <f>IF(G13="","",IFERROR(MIN(100,G13/'Input &amp; Settings'!$B$5*100),""))</f>
        <v/>
      </c>
      <c r="R13" s="37" t="str">
        <f>IF(H13="","",IFERROR(MIN(100,H13/'Input &amp; Settings'!$B$6*100),""))</f>
        <v/>
      </c>
      <c r="S13" s="37" t="str">
        <f>IF(I13="","",IFERROR(MIN(100,I13/'Input &amp; Settings'!$B$7*100),""))</f>
        <v/>
      </c>
      <c r="T13" s="37" t="str">
        <f>IF(J13="","",IFERROR(MIN(100,J13/'Input &amp; Settings'!$B$8*100),""))</f>
        <v/>
      </c>
      <c r="U13" s="37" t="str">
        <f>IF(K13="","",IFERROR(MIN(100,K13/'Input &amp; Settings'!$B$9*100),""))</f>
        <v/>
      </c>
      <c r="V13" s="37" t="str">
        <f>IF(L13="","",IFERROR(MIN(100,L13/'Input &amp; Settings'!$B$10*100),""))</f>
        <v/>
      </c>
      <c r="W13" s="37" t="str">
        <f>IF(M13="","",IFERROR(IF(M13&lt;='Input &amp; Settings'!$B$11,100,MAX(0,100-(M13-'Input &amp; Settings'!$B$11)*20)),""))</f>
        <v/>
      </c>
      <c r="X13" s="37" t="str">
        <f>IF(N13="","",IFERROR(MIN(100,N13/'Input &amp; Settings'!$B$12*100),""))</f>
        <v/>
      </c>
      <c r="Y13" s="37" t="str">
        <f>IF(O13="","",IFERROR(MIN(100,O13/'Input &amp; Settings'!$B$13*100),""))</f>
        <v/>
      </c>
      <c r="Z13" s="37" t="str">
        <f>IF(P13="","",IFERROR(IF(P13&lt;='Input &amp; Settings'!$B$14,100,MAX(0,100-(P13-'Input &amp; Settings'!$B$14)*20)),""))</f>
        <v/>
      </c>
      <c r="AA13" s="37" t="str">
        <f>IF(COUNTA(G13:P13)=0,"",ROUND(Q13*'Input &amp; Settings'!$C$5+R13*'Input &amp; Settings'!$C$6+S13*'Input &amp; Settings'!$C$7+T13*'Input &amp; Settings'!$C$8+U13*'Input &amp; Settings'!$C$9+V13*'Input &amp; Settings'!$C$10+W13*'Input &amp; Settings'!$C$11+X13*'Input &amp; Settings'!$C$12+Y13*'Input &amp; Settings'!$C$13+Z13*'Input &amp; Settings'!$C$14,1))</f>
        <v/>
      </c>
      <c r="AB13" s="38" t="str">
        <f>IF(OR(AA13="",E13=""),"",IFERROR(IF(AA13&gt;=VLOOKUP(E13,'Input &amp; Settings'!$F$5:$K$10,3,FALSE),"Outstanding",IF(AA13&gt;=VLOOKUP(E13,'Input &amp; Settings'!$F$5:$K$10,4,FALSE),"Exceeds Expectations",IF(AA13&gt;=VLOOKUP(E13,'Input &amp; Settings'!$F$5:$K$10,5,FALSE),"Meets Expectations",IF(AA13&gt;=VLOOKUP(E13,'Input &amp; Settings'!$F$5:$K$10,6,FALSE),"Needs Improvement","Performance Improvement Required")))),""))</f>
        <v/>
      </c>
      <c r="AC13" s="38" t="str">
        <f t="shared" si="0"/>
        <v/>
      </c>
      <c r="AD13" s="39"/>
      <c r="AE13" s="40"/>
      <c r="AF13" s="41" t="str">
        <f t="shared" si="1"/>
        <v/>
      </c>
      <c r="AG13" s="42" t="str">
        <f t="shared" si="2"/>
        <v/>
      </c>
      <c r="AH13" s="42" t="str">
        <f t="shared" si="3"/>
        <v>Sarah Clervil|January</v>
      </c>
    </row>
    <row r="14" spans="1:34" hidden="1">
      <c r="A14" s="32">
        <v>2026</v>
      </c>
      <c r="B14" s="32" t="s">
        <v>35</v>
      </c>
      <c r="C14" s="32" t="s">
        <v>36</v>
      </c>
      <c r="D14" s="32" t="s">
        <v>48</v>
      </c>
      <c r="E14" s="33"/>
      <c r="F14" s="34" t="str">
        <f>IF(E14="","",IFERROR(VLOOKUP(E14,'Input &amp; Settings'!$F$5:$G$10,2,FALSE),""))</f>
        <v/>
      </c>
      <c r="G14" s="33"/>
      <c r="H14" s="33"/>
      <c r="I14" s="35"/>
      <c r="J14" s="33"/>
      <c r="K14" s="36"/>
      <c r="L14" s="35"/>
      <c r="M14" s="33"/>
      <c r="N14" s="33"/>
      <c r="O14" s="33"/>
      <c r="P14" s="33"/>
      <c r="Q14" s="37" t="str">
        <f>IF(G14="","",IFERROR(MIN(100,G14/'Input &amp; Settings'!$B$5*100),""))</f>
        <v/>
      </c>
      <c r="R14" s="37" t="str">
        <f>IF(H14="","",IFERROR(MIN(100,H14/'Input &amp; Settings'!$B$6*100),""))</f>
        <v/>
      </c>
      <c r="S14" s="37" t="str">
        <f>IF(I14="","",IFERROR(MIN(100,I14/'Input &amp; Settings'!$B$7*100),""))</f>
        <v/>
      </c>
      <c r="T14" s="37" t="str">
        <f>IF(J14="","",IFERROR(MIN(100,J14/'Input &amp; Settings'!$B$8*100),""))</f>
        <v/>
      </c>
      <c r="U14" s="37" t="str">
        <f>IF(K14="","",IFERROR(MIN(100,K14/'Input &amp; Settings'!$B$9*100),""))</f>
        <v/>
      </c>
      <c r="V14" s="37" t="str">
        <f>IF(L14="","",IFERROR(MIN(100,L14/'Input &amp; Settings'!$B$10*100),""))</f>
        <v/>
      </c>
      <c r="W14" s="37" t="str">
        <f>IF(M14="","",IFERROR(IF(M14&lt;='Input &amp; Settings'!$B$11,100,MAX(0,100-(M14-'Input &amp; Settings'!$B$11)*20)),""))</f>
        <v/>
      </c>
      <c r="X14" s="37" t="str">
        <f>IF(N14="","",IFERROR(MIN(100,N14/'Input &amp; Settings'!$B$12*100),""))</f>
        <v/>
      </c>
      <c r="Y14" s="37" t="str">
        <f>IF(O14="","",IFERROR(MIN(100,O14/'Input &amp; Settings'!$B$13*100),""))</f>
        <v/>
      </c>
      <c r="Z14" s="37" t="str">
        <f>IF(P14="","",IFERROR(IF(P14&lt;='Input &amp; Settings'!$B$14,100,MAX(0,100-(P14-'Input &amp; Settings'!$B$14)*20)),""))</f>
        <v/>
      </c>
      <c r="AA14" s="37" t="str">
        <f>IF(COUNTA(G14:P14)=0,"",ROUND(Q14*'Input &amp; Settings'!$C$5+R14*'Input &amp; Settings'!$C$6+S14*'Input &amp; Settings'!$C$7+T14*'Input &amp; Settings'!$C$8+U14*'Input &amp; Settings'!$C$9+V14*'Input &amp; Settings'!$C$10+W14*'Input &amp; Settings'!$C$11+X14*'Input &amp; Settings'!$C$12+Y14*'Input &amp; Settings'!$C$13+Z14*'Input &amp; Settings'!$C$14,1))</f>
        <v/>
      </c>
      <c r="AB14" s="38" t="str">
        <f>IF(OR(AA14="",E14=""),"",IFERROR(IF(AA14&gt;=VLOOKUP(E14,'Input &amp; Settings'!$F$5:$K$10,3,FALSE),"Outstanding",IF(AA14&gt;=VLOOKUP(E14,'Input &amp; Settings'!$F$5:$K$10,4,FALSE),"Exceeds Expectations",IF(AA14&gt;=VLOOKUP(E14,'Input &amp; Settings'!$F$5:$K$10,5,FALSE),"Meets Expectations",IF(AA14&gt;=VLOOKUP(E14,'Input &amp; Settings'!$F$5:$K$10,6,FALSE),"Needs Improvement","Performance Improvement Required")))),""))</f>
        <v/>
      </c>
      <c r="AC14" s="38" t="str">
        <f t="shared" si="0"/>
        <v/>
      </c>
      <c r="AD14" s="39"/>
      <c r="AE14" s="40"/>
      <c r="AF14" s="41" t="str">
        <f t="shared" si="1"/>
        <v/>
      </c>
      <c r="AG14" s="42" t="str">
        <f t="shared" si="2"/>
        <v/>
      </c>
      <c r="AH14" s="42" t="str">
        <f t="shared" si="3"/>
        <v>Christopher Ovid|January</v>
      </c>
    </row>
    <row r="15" spans="1:34" hidden="1">
      <c r="A15" s="32">
        <v>2026</v>
      </c>
      <c r="B15" s="32" t="s">
        <v>35</v>
      </c>
      <c r="C15" s="32" t="s">
        <v>36</v>
      </c>
      <c r="D15" s="32" t="s">
        <v>49</v>
      </c>
      <c r="E15" s="33"/>
      <c r="F15" s="34" t="str">
        <f>IF(E15="","",IFERROR(VLOOKUP(E15,'Input &amp; Settings'!$F$5:$G$10,2,FALSE),""))</f>
        <v/>
      </c>
      <c r="G15" s="33"/>
      <c r="H15" s="33"/>
      <c r="I15" s="35"/>
      <c r="J15" s="33"/>
      <c r="K15" s="36"/>
      <c r="L15" s="35"/>
      <c r="M15" s="33"/>
      <c r="N15" s="33"/>
      <c r="O15" s="33"/>
      <c r="P15" s="33"/>
      <c r="Q15" s="37" t="str">
        <f>IF(G15="","",IFERROR(MIN(100,G15/'Input &amp; Settings'!$B$5*100),""))</f>
        <v/>
      </c>
      <c r="R15" s="37" t="str">
        <f>IF(H15="","",IFERROR(MIN(100,H15/'Input &amp; Settings'!$B$6*100),""))</f>
        <v/>
      </c>
      <c r="S15" s="37" t="str">
        <f>IF(I15="","",IFERROR(MIN(100,I15/'Input &amp; Settings'!$B$7*100),""))</f>
        <v/>
      </c>
      <c r="T15" s="37" t="str">
        <f>IF(J15="","",IFERROR(MIN(100,J15/'Input &amp; Settings'!$B$8*100),""))</f>
        <v/>
      </c>
      <c r="U15" s="37" t="str">
        <f>IF(K15="","",IFERROR(MIN(100,K15/'Input &amp; Settings'!$B$9*100),""))</f>
        <v/>
      </c>
      <c r="V15" s="37" t="str">
        <f>IF(L15="","",IFERROR(MIN(100,L15/'Input &amp; Settings'!$B$10*100),""))</f>
        <v/>
      </c>
      <c r="W15" s="37" t="str">
        <f>IF(M15="","",IFERROR(IF(M15&lt;='Input &amp; Settings'!$B$11,100,MAX(0,100-(M15-'Input &amp; Settings'!$B$11)*20)),""))</f>
        <v/>
      </c>
      <c r="X15" s="37" t="str">
        <f>IF(N15="","",IFERROR(MIN(100,N15/'Input &amp; Settings'!$B$12*100),""))</f>
        <v/>
      </c>
      <c r="Y15" s="37" t="str">
        <f>IF(O15="","",IFERROR(MIN(100,O15/'Input &amp; Settings'!$B$13*100),""))</f>
        <v/>
      </c>
      <c r="Z15" s="37" t="str">
        <f>IF(P15="","",IFERROR(IF(P15&lt;='Input &amp; Settings'!$B$14,100,MAX(0,100-(P15-'Input &amp; Settings'!$B$14)*20)),""))</f>
        <v/>
      </c>
      <c r="AA15" s="37" t="str">
        <f>IF(COUNTA(G15:P15)=0,"",ROUND(Q15*'Input &amp; Settings'!$C$5+R15*'Input &amp; Settings'!$C$6+S15*'Input &amp; Settings'!$C$7+T15*'Input &amp; Settings'!$C$8+U15*'Input &amp; Settings'!$C$9+V15*'Input &amp; Settings'!$C$10+W15*'Input &amp; Settings'!$C$11+X15*'Input &amp; Settings'!$C$12+Y15*'Input &amp; Settings'!$C$13+Z15*'Input &amp; Settings'!$C$14,1))</f>
        <v/>
      </c>
      <c r="AB15" s="38" t="str">
        <f>IF(OR(AA15="",E15=""),"",IFERROR(IF(AA15&gt;=VLOOKUP(E15,'Input &amp; Settings'!$F$5:$K$10,3,FALSE),"Outstanding",IF(AA15&gt;=VLOOKUP(E15,'Input &amp; Settings'!$F$5:$K$10,4,FALSE),"Exceeds Expectations",IF(AA15&gt;=VLOOKUP(E15,'Input &amp; Settings'!$F$5:$K$10,5,FALSE),"Meets Expectations",IF(AA15&gt;=VLOOKUP(E15,'Input &amp; Settings'!$F$5:$K$10,6,FALSE),"Needs Improvement","Performance Improvement Required")))),""))</f>
        <v/>
      </c>
      <c r="AC15" s="38" t="str">
        <f t="shared" si="0"/>
        <v/>
      </c>
      <c r="AD15" s="39"/>
      <c r="AE15" s="40"/>
      <c r="AF15" s="41" t="str">
        <f t="shared" si="1"/>
        <v/>
      </c>
      <c r="AG15" s="42" t="str">
        <f t="shared" si="2"/>
        <v/>
      </c>
      <c r="AH15" s="42" t="str">
        <f t="shared" si="3"/>
        <v>Rafael Godinez|January</v>
      </c>
    </row>
    <row r="16" spans="1:34" hidden="1">
      <c r="A16" s="32">
        <v>2026</v>
      </c>
      <c r="B16" s="32" t="s">
        <v>35</v>
      </c>
      <c r="C16" s="32" t="s">
        <v>36</v>
      </c>
      <c r="D16" s="32" t="s">
        <v>50</v>
      </c>
      <c r="E16" s="33"/>
      <c r="F16" s="34" t="str">
        <f>IF(E16="","",IFERROR(VLOOKUP(E16,'Input &amp; Settings'!$F$5:$G$10,2,FALSE),""))</f>
        <v/>
      </c>
      <c r="G16" s="33"/>
      <c r="H16" s="33"/>
      <c r="I16" s="35"/>
      <c r="J16" s="33"/>
      <c r="K16" s="36"/>
      <c r="L16" s="35"/>
      <c r="M16" s="33"/>
      <c r="N16" s="33"/>
      <c r="O16" s="33"/>
      <c r="P16" s="33"/>
      <c r="Q16" s="37" t="str">
        <f>IF(G16="","",IFERROR(MIN(100,G16/'Input &amp; Settings'!$B$5*100),""))</f>
        <v/>
      </c>
      <c r="R16" s="37" t="str">
        <f>IF(H16="","",IFERROR(MIN(100,H16/'Input &amp; Settings'!$B$6*100),""))</f>
        <v/>
      </c>
      <c r="S16" s="37" t="str">
        <f>IF(I16="","",IFERROR(MIN(100,I16/'Input &amp; Settings'!$B$7*100),""))</f>
        <v/>
      </c>
      <c r="T16" s="37" t="str">
        <f>IF(J16="","",IFERROR(MIN(100,J16/'Input &amp; Settings'!$B$8*100),""))</f>
        <v/>
      </c>
      <c r="U16" s="37" t="str">
        <f>IF(K16="","",IFERROR(MIN(100,K16/'Input &amp; Settings'!$B$9*100),""))</f>
        <v/>
      </c>
      <c r="V16" s="37" t="str">
        <f>IF(L16="","",IFERROR(MIN(100,L16/'Input &amp; Settings'!$B$10*100),""))</f>
        <v/>
      </c>
      <c r="W16" s="37" t="str">
        <f>IF(M16="","",IFERROR(IF(M16&lt;='Input &amp; Settings'!$B$11,100,MAX(0,100-(M16-'Input &amp; Settings'!$B$11)*20)),""))</f>
        <v/>
      </c>
      <c r="X16" s="37" t="str">
        <f>IF(N16="","",IFERROR(MIN(100,N16/'Input &amp; Settings'!$B$12*100),""))</f>
        <v/>
      </c>
      <c r="Y16" s="37" t="str">
        <f>IF(O16="","",IFERROR(MIN(100,O16/'Input &amp; Settings'!$B$13*100),""))</f>
        <v/>
      </c>
      <c r="Z16" s="37" t="str">
        <f>IF(P16="","",IFERROR(IF(P16&lt;='Input &amp; Settings'!$B$14,100,MAX(0,100-(P16-'Input &amp; Settings'!$B$14)*20)),""))</f>
        <v/>
      </c>
      <c r="AA16" s="37" t="str">
        <f>IF(COUNTA(G16:P16)=0,"",ROUND(Q16*'Input &amp; Settings'!$C$5+R16*'Input &amp; Settings'!$C$6+S16*'Input &amp; Settings'!$C$7+T16*'Input &amp; Settings'!$C$8+U16*'Input &amp; Settings'!$C$9+V16*'Input &amp; Settings'!$C$10+W16*'Input &amp; Settings'!$C$11+X16*'Input &amp; Settings'!$C$12+Y16*'Input &amp; Settings'!$C$13+Z16*'Input &amp; Settings'!$C$14,1))</f>
        <v/>
      </c>
      <c r="AB16" s="38" t="str">
        <f>IF(OR(AA16="",E16=""),"",IFERROR(IF(AA16&gt;=VLOOKUP(E16,'Input &amp; Settings'!$F$5:$K$10,3,FALSE),"Outstanding",IF(AA16&gt;=VLOOKUP(E16,'Input &amp; Settings'!$F$5:$K$10,4,FALSE),"Exceeds Expectations",IF(AA16&gt;=VLOOKUP(E16,'Input &amp; Settings'!$F$5:$K$10,5,FALSE),"Meets Expectations",IF(AA16&gt;=VLOOKUP(E16,'Input &amp; Settings'!$F$5:$K$10,6,FALSE),"Needs Improvement","Performance Improvement Required")))),""))</f>
        <v/>
      </c>
      <c r="AC16" s="38" t="str">
        <f t="shared" si="0"/>
        <v/>
      </c>
      <c r="AD16" s="39"/>
      <c r="AE16" s="40"/>
      <c r="AF16" s="41" t="str">
        <f t="shared" si="1"/>
        <v/>
      </c>
      <c r="AG16" s="42" t="str">
        <f t="shared" si="2"/>
        <v/>
      </c>
      <c r="AH16" s="42" t="str">
        <f t="shared" si="3"/>
        <v>Dennis Mayorga|January</v>
      </c>
    </row>
    <row r="17" spans="1:34" hidden="1">
      <c r="A17" s="32">
        <v>2026</v>
      </c>
      <c r="B17" s="32" t="s">
        <v>35</v>
      </c>
      <c r="C17" s="32" t="s">
        <v>36</v>
      </c>
      <c r="D17" s="32" t="s">
        <v>51</v>
      </c>
      <c r="E17" s="33"/>
      <c r="F17" s="34" t="str">
        <f>IF(E17="","",IFERROR(VLOOKUP(E17,'Input &amp; Settings'!$F$5:$G$10,2,FALSE),""))</f>
        <v/>
      </c>
      <c r="G17" s="33"/>
      <c r="H17" s="33"/>
      <c r="I17" s="35"/>
      <c r="J17" s="33"/>
      <c r="K17" s="36"/>
      <c r="L17" s="35"/>
      <c r="M17" s="33"/>
      <c r="N17" s="33"/>
      <c r="O17" s="33"/>
      <c r="P17" s="33"/>
      <c r="Q17" s="37" t="str">
        <f>IF(G17="","",IFERROR(MIN(100,G17/'Input &amp; Settings'!$B$5*100),""))</f>
        <v/>
      </c>
      <c r="R17" s="37" t="str">
        <f>IF(H17="","",IFERROR(MIN(100,H17/'Input &amp; Settings'!$B$6*100),""))</f>
        <v/>
      </c>
      <c r="S17" s="37" t="str">
        <f>IF(I17="","",IFERROR(MIN(100,I17/'Input &amp; Settings'!$B$7*100),""))</f>
        <v/>
      </c>
      <c r="T17" s="37" t="str">
        <f>IF(J17="","",IFERROR(MIN(100,J17/'Input &amp; Settings'!$B$8*100),""))</f>
        <v/>
      </c>
      <c r="U17" s="37" t="str">
        <f>IF(K17="","",IFERROR(MIN(100,K17/'Input &amp; Settings'!$B$9*100),""))</f>
        <v/>
      </c>
      <c r="V17" s="37" t="str">
        <f>IF(L17="","",IFERROR(MIN(100,L17/'Input &amp; Settings'!$B$10*100),""))</f>
        <v/>
      </c>
      <c r="W17" s="37" t="str">
        <f>IF(M17="","",IFERROR(IF(M17&lt;='Input &amp; Settings'!$B$11,100,MAX(0,100-(M17-'Input &amp; Settings'!$B$11)*20)),""))</f>
        <v/>
      </c>
      <c r="X17" s="37" t="str">
        <f>IF(N17="","",IFERROR(MIN(100,N17/'Input &amp; Settings'!$B$12*100),""))</f>
        <v/>
      </c>
      <c r="Y17" s="37" t="str">
        <f>IF(O17="","",IFERROR(MIN(100,O17/'Input &amp; Settings'!$B$13*100),""))</f>
        <v/>
      </c>
      <c r="Z17" s="37" t="str">
        <f>IF(P17="","",IFERROR(IF(P17&lt;='Input &amp; Settings'!$B$14,100,MAX(0,100-(P17-'Input &amp; Settings'!$B$14)*20)),""))</f>
        <v/>
      </c>
      <c r="AA17" s="37" t="str">
        <f>IF(COUNTA(G17:P17)=0,"",ROUND(Q17*'Input &amp; Settings'!$C$5+R17*'Input &amp; Settings'!$C$6+S17*'Input &amp; Settings'!$C$7+T17*'Input &amp; Settings'!$C$8+U17*'Input &amp; Settings'!$C$9+V17*'Input &amp; Settings'!$C$10+W17*'Input &amp; Settings'!$C$11+X17*'Input &amp; Settings'!$C$12+Y17*'Input &amp; Settings'!$C$13+Z17*'Input &amp; Settings'!$C$14,1))</f>
        <v/>
      </c>
      <c r="AB17" s="38" t="str">
        <f>IF(OR(AA17="",E17=""),"",IFERROR(IF(AA17&gt;=VLOOKUP(E17,'Input &amp; Settings'!$F$5:$K$10,3,FALSE),"Outstanding",IF(AA17&gt;=VLOOKUP(E17,'Input &amp; Settings'!$F$5:$K$10,4,FALSE),"Exceeds Expectations",IF(AA17&gt;=VLOOKUP(E17,'Input &amp; Settings'!$F$5:$K$10,5,FALSE),"Meets Expectations",IF(AA17&gt;=VLOOKUP(E17,'Input &amp; Settings'!$F$5:$K$10,6,FALSE),"Needs Improvement","Performance Improvement Required")))),""))</f>
        <v/>
      </c>
      <c r="AC17" s="38" t="str">
        <f t="shared" si="0"/>
        <v/>
      </c>
      <c r="AD17" s="39"/>
      <c r="AE17" s="40"/>
      <c r="AF17" s="41" t="str">
        <f t="shared" si="1"/>
        <v/>
      </c>
      <c r="AG17" s="42" t="str">
        <f t="shared" si="2"/>
        <v/>
      </c>
      <c r="AH17" s="42" t="str">
        <f t="shared" si="3"/>
        <v>Jose Reyes-Navolskyi (Ivan)|January</v>
      </c>
    </row>
    <row r="18" spans="1:34" hidden="1">
      <c r="A18" s="32">
        <v>2026</v>
      </c>
      <c r="B18" s="32" t="s">
        <v>35</v>
      </c>
      <c r="C18" s="32" t="s">
        <v>36</v>
      </c>
      <c r="D18" s="32" t="s">
        <v>52</v>
      </c>
      <c r="E18" s="33"/>
      <c r="F18" s="34" t="str">
        <f>IF(E18="","",IFERROR(VLOOKUP(E18,'Input &amp; Settings'!$F$5:$G$10,2,FALSE),""))</f>
        <v/>
      </c>
      <c r="G18" s="33"/>
      <c r="H18" s="33"/>
      <c r="I18" s="35"/>
      <c r="J18" s="33"/>
      <c r="K18" s="36"/>
      <c r="L18" s="35"/>
      <c r="M18" s="33"/>
      <c r="N18" s="33"/>
      <c r="O18" s="33"/>
      <c r="P18" s="33"/>
      <c r="Q18" s="37" t="str">
        <f>IF(G18="","",IFERROR(MIN(100,G18/'Input &amp; Settings'!$B$5*100),""))</f>
        <v/>
      </c>
      <c r="R18" s="37" t="str">
        <f>IF(H18="","",IFERROR(MIN(100,H18/'Input &amp; Settings'!$B$6*100),""))</f>
        <v/>
      </c>
      <c r="S18" s="37" t="str">
        <f>IF(I18="","",IFERROR(MIN(100,I18/'Input &amp; Settings'!$B$7*100),""))</f>
        <v/>
      </c>
      <c r="T18" s="37" t="str">
        <f>IF(J18="","",IFERROR(MIN(100,J18/'Input &amp; Settings'!$B$8*100),""))</f>
        <v/>
      </c>
      <c r="U18" s="37" t="str">
        <f>IF(K18="","",IFERROR(MIN(100,K18/'Input &amp; Settings'!$B$9*100),""))</f>
        <v/>
      </c>
      <c r="V18" s="37" t="str">
        <f>IF(L18="","",IFERROR(MIN(100,L18/'Input &amp; Settings'!$B$10*100),""))</f>
        <v/>
      </c>
      <c r="W18" s="37" t="str">
        <f>IF(M18="","",IFERROR(IF(M18&lt;='Input &amp; Settings'!$B$11,100,MAX(0,100-(M18-'Input &amp; Settings'!$B$11)*20)),""))</f>
        <v/>
      </c>
      <c r="X18" s="37" t="str">
        <f>IF(N18="","",IFERROR(MIN(100,N18/'Input &amp; Settings'!$B$12*100),""))</f>
        <v/>
      </c>
      <c r="Y18" s="37" t="str">
        <f>IF(O18="","",IFERROR(MIN(100,O18/'Input &amp; Settings'!$B$13*100),""))</f>
        <v/>
      </c>
      <c r="Z18" s="37" t="str">
        <f>IF(P18="","",IFERROR(IF(P18&lt;='Input &amp; Settings'!$B$14,100,MAX(0,100-(P18-'Input &amp; Settings'!$B$14)*20)),""))</f>
        <v/>
      </c>
      <c r="AA18" s="37" t="str">
        <f>IF(COUNTA(G18:P18)=0,"",ROUND(Q18*'Input &amp; Settings'!$C$5+R18*'Input &amp; Settings'!$C$6+S18*'Input &amp; Settings'!$C$7+T18*'Input &amp; Settings'!$C$8+U18*'Input &amp; Settings'!$C$9+V18*'Input &amp; Settings'!$C$10+W18*'Input &amp; Settings'!$C$11+X18*'Input &amp; Settings'!$C$12+Y18*'Input &amp; Settings'!$C$13+Z18*'Input &amp; Settings'!$C$14,1))</f>
        <v/>
      </c>
      <c r="AB18" s="38" t="str">
        <f>IF(OR(AA18="",E18=""),"",IFERROR(IF(AA18&gt;=VLOOKUP(E18,'Input &amp; Settings'!$F$5:$K$10,3,FALSE),"Outstanding",IF(AA18&gt;=VLOOKUP(E18,'Input &amp; Settings'!$F$5:$K$10,4,FALSE),"Exceeds Expectations",IF(AA18&gt;=VLOOKUP(E18,'Input &amp; Settings'!$F$5:$K$10,5,FALSE),"Meets Expectations",IF(AA18&gt;=VLOOKUP(E18,'Input &amp; Settings'!$F$5:$K$10,6,FALSE),"Needs Improvement","Performance Improvement Required")))),""))</f>
        <v/>
      </c>
      <c r="AC18" s="38" t="str">
        <f t="shared" si="0"/>
        <v/>
      </c>
      <c r="AD18" s="39"/>
      <c r="AE18" s="40"/>
      <c r="AF18" s="41" t="str">
        <f t="shared" si="1"/>
        <v/>
      </c>
      <c r="AG18" s="42" t="str">
        <f t="shared" si="2"/>
        <v/>
      </c>
      <c r="AH18" s="42" t="str">
        <f t="shared" si="3"/>
        <v>Jonathan Davila|January</v>
      </c>
    </row>
    <row r="19" spans="1:34" hidden="1">
      <c r="A19" s="32">
        <v>2026</v>
      </c>
      <c r="B19" s="32" t="s">
        <v>35</v>
      </c>
      <c r="C19" s="32" t="s">
        <v>53</v>
      </c>
      <c r="D19" s="32" t="s">
        <v>54</v>
      </c>
      <c r="E19" s="33"/>
      <c r="F19" s="34" t="str">
        <f>IF(E19="","",IFERROR(VLOOKUP(E19,'Input &amp; Settings'!$F$5:$G$10,2,FALSE),""))</f>
        <v/>
      </c>
      <c r="G19" s="33"/>
      <c r="H19" s="33"/>
      <c r="I19" s="35"/>
      <c r="J19" s="33"/>
      <c r="K19" s="36"/>
      <c r="L19" s="35"/>
      <c r="M19" s="33"/>
      <c r="N19" s="33"/>
      <c r="O19" s="33"/>
      <c r="P19" s="33"/>
      <c r="Q19" s="37" t="str">
        <f>IF(G19="","",IFERROR(MIN(100,G19/'Input &amp; Settings'!$B$5*100),""))</f>
        <v/>
      </c>
      <c r="R19" s="37" t="str">
        <f>IF(H19="","",IFERROR(MIN(100,H19/'Input &amp; Settings'!$B$6*100),""))</f>
        <v/>
      </c>
      <c r="S19" s="37" t="str">
        <f>IF(I19="","",IFERROR(MIN(100,I19/'Input &amp; Settings'!$B$7*100),""))</f>
        <v/>
      </c>
      <c r="T19" s="37" t="str">
        <f>IF(J19="","",IFERROR(MIN(100,J19/'Input &amp; Settings'!$B$8*100),""))</f>
        <v/>
      </c>
      <c r="U19" s="37" t="str">
        <f>IF(K19="","",IFERROR(MIN(100,K19/'Input &amp; Settings'!$B$9*100),""))</f>
        <v/>
      </c>
      <c r="V19" s="37" t="str">
        <f>IF(L19="","",IFERROR(MIN(100,L19/'Input &amp; Settings'!$B$10*100),""))</f>
        <v/>
      </c>
      <c r="W19" s="37" t="str">
        <f>IF(M19="","",IFERROR(IF(M19&lt;='Input &amp; Settings'!$B$11,100,MAX(0,100-(M19-'Input &amp; Settings'!$B$11)*20)),""))</f>
        <v/>
      </c>
      <c r="X19" s="37" t="str">
        <f>IF(N19="","",IFERROR(MIN(100,N19/'Input &amp; Settings'!$B$12*100),""))</f>
        <v/>
      </c>
      <c r="Y19" s="37" t="str">
        <f>IF(O19="","",IFERROR(MIN(100,O19/'Input &amp; Settings'!$B$13*100),""))</f>
        <v/>
      </c>
      <c r="Z19" s="37" t="str">
        <f>IF(P19="","",IFERROR(IF(P19&lt;='Input &amp; Settings'!$B$14,100,MAX(0,100-(P19-'Input &amp; Settings'!$B$14)*20)),""))</f>
        <v/>
      </c>
      <c r="AA19" s="37" t="str">
        <f>IF(COUNTA(G19:P19)=0,"",ROUND(Q19*'Input &amp; Settings'!$C$5+R19*'Input &amp; Settings'!$C$6+S19*'Input &amp; Settings'!$C$7+T19*'Input &amp; Settings'!$C$8+U19*'Input &amp; Settings'!$C$9+V19*'Input &amp; Settings'!$C$10+W19*'Input &amp; Settings'!$C$11+X19*'Input &amp; Settings'!$C$12+Y19*'Input &amp; Settings'!$C$13+Z19*'Input &amp; Settings'!$C$14,1))</f>
        <v/>
      </c>
      <c r="AB19" s="38" t="str">
        <f>IF(OR(AA19="",E19=""),"",IFERROR(IF(AA19&gt;=VLOOKUP(E19,'Input &amp; Settings'!$F$5:$K$10,3,FALSE),"Outstanding",IF(AA19&gt;=VLOOKUP(E19,'Input &amp; Settings'!$F$5:$K$10,4,FALSE),"Exceeds Expectations",IF(AA19&gt;=VLOOKUP(E19,'Input &amp; Settings'!$F$5:$K$10,5,FALSE),"Meets Expectations",IF(AA19&gt;=VLOOKUP(E19,'Input &amp; Settings'!$F$5:$K$10,6,FALSE),"Needs Improvement","Performance Improvement Required")))),""))</f>
        <v/>
      </c>
      <c r="AC19" s="38" t="str">
        <f t="shared" si="0"/>
        <v/>
      </c>
      <c r="AD19" s="39"/>
      <c r="AE19" s="40"/>
      <c r="AF19" s="41" t="str">
        <f t="shared" si="1"/>
        <v/>
      </c>
      <c r="AG19" s="42" t="str">
        <f t="shared" si="2"/>
        <v/>
      </c>
      <c r="AH19" s="42" t="str">
        <f t="shared" si="3"/>
        <v>Kevin Luburd|January</v>
      </c>
    </row>
    <row r="20" spans="1:34" hidden="1">
      <c r="A20" s="32">
        <v>2026</v>
      </c>
      <c r="B20" s="32" t="s">
        <v>35</v>
      </c>
      <c r="C20" s="32" t="s">
        <v>53</v>
      </c>
      <c r="D20" s="32" t="s">
        <v>55</v>
      </c>
      <c r="E20" s="33"/>
      <c r="F20" s="34" t="str">
        <f>IF(E20="","",IFERROR(VLOOKUP(E20,'Input &amp; Settings'!$F$5:$G$10,2,FALSE),""))</f>
        <v/>
      </c>
      <c r="G20" s="33"/>
      <c r="H20" s="33"/>
      <c r="I20" s="35"/>
      <c r="J20" s="33"/>
      <c r="K20" s="36"/>
      <c r="L20" s="35"/>
      <c r="M20" s="33"/>
      <c r="N20" s="33"/>
      <c r="O20" s="33"/>
      <c r="P20" s="33"/>
      <c r="Q20" s="37" t="str">
        <f>IF(G20="","",IFERROR(MIN(100,G20/'Input &amp; Settings'!$B$5*100),""))</f>
        <v/>
      </c>
      <c r="R20" s="37" t="str">
        <f>IF(H20="","",IFERROR(MIN(100,H20/'Input &amp; Settings'!$B$6*100),""))</f>
        <v/>
      </c>
      <c r="S20" s="37" t="str">
        <f>IF(I20="","",IFERROR(MIN(100,I20/'Input &amp; Settings'!$B$7*100),""))</f>
        <v/>
      </c>
      <c r="T20" s="37" t="str">
        <f>IF(J20="","",IFERROR(MIN(100,J20/'Input &amp; Settings'!$B$8*100),""))</f>
        <v/>
      </c>
      <c r="U20" s="37" t="str">
        <f>IF(K20="","",IFERROR(MIN(100,K20/'Input &amp; Settings'!$B$9*100),""))</f>
        <v/>
      </c>
      <c r="V20" s="37" t="str">
        <f>IF(L20="","",IFERROR(MIN(100,L20/'Input &amp; Settings'!$B$10*100),""))</f>
        <v/>
      </c>
      <c r="W20" s="37" t="str">
        <f>IF(M20="","",IFERROR(IF(M20&lt;='Input &amp; Settings'!$B$11,100,MAX(0,100-(M20-'Input &amp; Settings'!$B$11)*20)),""))</f>
        <v/>
      </c>
      <c r="X20" s="37" t="str">
        <f>IF(N20="","",IFERROR(MIN(100,N20/'Input &amp; Settings'!$B$12*100),""))</f>
        <v/>
      </c>
      <c r="Y20" s="37" t="str">
        <f>IF(O20="","",IFERROR(MIN(100,O20/'Input &amp; Settings'!$B$13*100),""))</f>
        <v/>
      </c>
      <c r="Z20" s="37" t="str">
        <f>IF(P20="","",IFERROR(IF(P20&lt;='Input &amp; Settings'!$B$14,100,MAX(0,100-(P20-'Input &amp; Settings'!$B$14)*20)),""))</f>
        <v/>
      </c>
      <c r="AA20" s="37" t="str">
        <f>IF(COUNTA(G20:P20)=0,"",ROUND(Q20*'Input &amp; Settings'!$C$5+R20*'Input &amp; Settings'!$C$6+S20*'Input &amp; Settings'!$C$7+T20*'Input &amp; Settings'!$C$8+U20*'Input &amp; Settings'!$C$9+V20*'Input &amp; Settings'!$C$10+W20*'Input &amp; Settings'!$C$11+X20*'Input &amp; Settings'!$C$12+Y20*'Input &amp; Settings'!$C$13+Z20*'Input &amp; Settings'!$C$14,1))</f>
        <v/>
      </c>
      <c r="AB20" s="38" t="str">
        <f>IF(OR(AA20="",E20=""),"",IFERROR(IF(AA20&gt;=VLOOKUP(E20,'Input &amp; Settings'!$F$5:$K$10,3,FALSE),"Outstanding",IF(AA20&gt;=VLOOKUP(E20,'Input &amp; Settings'!$F$5:$K$10,4,FALSE),"Exceeds Expectations",IF(AA20&gt;=VLOOKUP(E20,'Input &amp; Settings'!$F$5:$K$10,5,FALSE),"Meets Expectations",IF(AA20&gt;=VLOOKUP(E20,'Input &amp; Settings'!$F$5:$K$10,6,FALSE),"Needs Improvement","Performance Improvement Required")))),""))</f>
        <v/>
      </c>
      <c r="AC20" s="38" t="str">
        <f t="shared" si="0"/>
        <v/>
      </c>
      <c r="AD20" s="39"/>
      <c r="AE20" s="40"/>
      <c r="AF20" s="41" t="str">
        <f t="shared" si="1"/>
        <v/>
      </c>
      <c r="AG20" s="42" t="str">
        <f t="shared" si="2"/>
        <v/>
      </c>
      <c r="AH20" s="42" t="str">
        <f t="shared" si="3"/>
        <v>Anthony Thompson|January</v>
      </c>
    </row>
    <row r="21" spans="1:34" hidden="1">
      <c r="A21" s="32">
        <v>2026</v>
      </c>
      <c r="B21" s="32" t="s">
        <v>35</v>
      </c>
      <c r="C21" s="32" t="s">
        <v>53</v>
      </c>
      <c r="D21" s="32" t="s">
        <v>56</v>
      </c>
      <c r="E21" s="33"/>
      <c r="F21" s="34" t="str">
        <f>IF(E21="","",IFERROR(VLOOKUP(E21,'Input &amp; Settings'!$F$5:$G$10,2,FALSE),""))</f>
        <v/>
      </c>
      <c r="G21" s="33"/>
      <c r="H21" s="33"/>
      <c r="I21" s="35"/>
      <c r="J21" s="33"/>
      <c r="K21" s="36"/>
      <c r="L21" s="35"/>
      <c r="M21" s="33"/>
      <c r="N21" s="33"/>
      <c r="O21" s="33"/>
      <c r="P21" s="33"/>
      <c r="Q21" s="37" t="str">
        <f>IF(G21="","",IFERROR(MIN(100,G21/'Input &amp; Settings'!$B$5*100),""))</f>
        <v/>
      </c>
      <c r="R21" s="37" t="str">
        <f>IF(H21="","",IFERROR(MIN(100,H21/'Input &amp; Settings'!$B$6*100),""))</f>
        <v/>
      </c>
      <c r="S21" s="37" t="str">
        <f>IF(I21="","",IFERROR(MIN(100,I21/'Input &amp; Settings'!$B$7*100),""))</f>
        <v/>
      </c>
      <c r="T21" s="37" t="str">
        <f>IF(J21="","",IFERROR(MIN(100,J21/'Input &amp; Settings'!$B$8*100),""))</f>
        <v/>
      </c>
      <c r="U21" s="37" t="str">
        <f>IF(K21="","",IFERROR(MIN(100,K21/'Input &amp; Settings'!$B$9*100),""))</f>
        <v/>
      </c>
      <c r="V21" s="37" t="str">
        <f>IF(L21="","",IFERROR(MIN(100,L21/'Input &amp; Settings'!$B$10*100),""))</f>
        <v/>
      </c>
      <c r="W21" s="37" t="str">
        <f>IF(M21="","",IFERROR(IF(M21&lt;='Input &amp; Settings'!$B$11,100,MAX(0,100-(M21-'Input &amp; Settings'!$B$11)*20)),""))</f>
        <v/>
      </c>
      <c r="X21" s="37" t="str">
        <f>IF(N21="","",IFERROR(MIN(100,N21/'Input &amp; Settings'!$B$12*100),""))</f>
        <v/>
      </c>
      <c r="Y21" s="37" t="str">
        <f>IF(O21="","",IFERROR(MIN(100,O21/'Input &amp; Settings'!$B$13*100),""))</f>
        <v/>
      </c>
      <c r="Z21" s="37" t="str">
        <f>IF(P21="","",IFERROR(IF(P21&lt;='Input &amp; Settings'!$B$14,100,MAX(0,100-(P21-'Input &amp; Settings'!$B$14)*20)),""))</f>
        <v/>
      </c>
      <c r="AA21" s="37" t="str">
        <f>IF(COUNTA(G21:P21)=0,"",ROUND(Q21*'Input &amp; Settings'!$C$5+R21*'Input &amp; Settings'!$C$6+S21*'Input &amp; Settings'!$C$7+T21*'Input &amp; Settings'!$C$8+U21*'Input &amp; Settings'!$C$9+V21*'Input &amp; Settings'!$C$10+W21*'Input &amp; Settings'!$C$11+X21*'Input &amp; Settings'!$C$12+Y21*'Input &amp; Settings'!$C$13+Z21*'Input &amp; Settings'!$C$14,1))</f>
        <v/>
      </c>
      <c r="AB21" s="38" t="str">
        <f>IF(OR(AA21="",E21=""),"",IFERROR(IF(AA21&gt;=VLOOKUP(E21,'Input &amp; Settings'!$F$5:$K$10,3,FALSE),"Outstanding",IF(AA21&gt;=VLOOKUP(E21,'Input &amp; Settings'!$F$5:$K$10,4,FALSE),"Exceeds Expectations",IF(AA21&gt;=VLOOKUP(E21,'Input &amp; Settings'!$F$5:$K$10,5,FALSE),"Meets Expectations",IF(AA21&gt;=VLOOKUP(E21,'Input &amp; Settings'!$F$5:$K$10,6,FALSE),"Needs Improvement","Performance Improvement Required")))),""))</f>
        <v/>
      </c>
      <c r="AC21" s="38" t="str">
        <f t="shared" si="0"/>
        <v/>
      </c>
      <c r="AD21" s="39"/>
      <c r="AE21" s="40"/>
      <c r="AF21" s="41" t="str">
        <f t="shared" si="1"/>
        <v/>
      </c>
      <c r="AG21" s="42" t="str">
        <f t="shared" si="2"/>
        <v/>
      </c>
      <c r="AH21" s="42" t="str">
        <f t="shared" si="3"/>
        <v>Shamar Modeste|January</v>
      </c>
    </row>
    <row r="22" spans="1:34" hidden="1">
      <c r="A22" s="32">
        <v>2026</v>
      </c>
      <c r="B22" s="32" t="s">
        <v>35</v>
      </c>
      <c r="C22" s="32" t="s">
        <v>53</v>
      </c>
      <c r="D22" s="32" t="s">
        <v>57</v>
      </c>
      <c r="E22" s="33"/>
      <c r="F22" s="34" t="str">
        <f>IF(E22="","",IFERROR(VLOOKUP(E22,'Input &amp; Settings'!$F$5:$G$10,2,FALSE),""))</f>
        <v/>
      </c>
      <c r="G22" s="33"/>
      <c r="H22" s="33"/>
      <c r="I22" s="35"/>
      <c r="J22" s="33"/>
      <c r="K22" s="36"/>
      <c r="L22" s="35"/>
      <c r="M22" s="33"/>
      <c r="N22" s="33"/>
      <c r="O22" s="33"/>
      <c r="P22" s="33"/>
      <c r="Q22" s="37" t="str">
        <f>IF(G22="","",IFERROR(MIN(100,G22/'Input &amp; Settings'!$B$5*100),""))</f>
        <v/>
      </c>
      <c r="R22" s="37" t="str">
        <f>IF(H22="","",IFERROR(MIN(100,H22/'Input &amp; Settings'!$B$6*100),""))</f>
        <v/>
      </c>
      <c r="S22" s="37" t="str">
        <f>IF(I22="","",IFERROR(MIN(100,I22/'Input &amp; Settings'!$B$7*100),""))</f>
        <v/>
      </c>
      <c r="T22" s="37" t="str">
        <f>IF(J22="","",IFERROR(MIN(100,J22/'Input &amp; Settings'!$B$8*100),""))</f>
        <v/>
      </c>
      <c r="U22" s="37" t="str">
        <f>IF(K22="","",IFERROR(MIN(100,K22/'Input &amp; Settings'!$B$9*100),""))</f>
        <v/>
      </c>
      <c r="V22" s="37" t="str">
        <f>IF(L22="","",IFERROR(MIN(100,L22/'Input &amp; Settings'!$B$10*100),""))</f>
        <v/>
      </c>
      <c r="W22" s="37" t="str">
        <f>IF(M22="","",IFERROR(IF(M22&lt;='Input &amp; Settings'!$B$11,100,MAX(0,100-(M22-'Input &amp; Settings'!$B$11)*20)),""))</f>
        <v/>
      </c>
      <c r="X22" s="37" t="str">
        <f>IF(N22="","",IFERROR(MIN(100,N22/'Input &amp; Settings'!$B$12*100),""))</f>
        <v/>
      </c>
      <c r="Y22" s="37" t="str">
        <f>IF(O22="","",IFERROR(MIN(100,O22/'Input &amp; Settings'!$B$13*100),""))</f>
        <v/>
      </c>
      <c r="Z22" s="37" t="str">
        <f>IF(P22="","",IFERROR(IF(P22&lt;='Input &amp; Settings'!$B$14,100,MAX(0,100-(P22-'Input &amp; Settings'!$B$14)*20)),""))</f>
        <v/>
      </c>
      <c r="AA22" s="37" t="str">
        <f>IF(COUNTA(G22:P22)=0,"",ROUND(Q22*'Input &amp; Settings'!$C$5+R22*'Input &amp; Settings'!$C$6+S22*'Input &amp; Settings'!$C$7+T22*'Input &amp; Settings'!$C$8+U22*'Input &amp; Settings'!$C$9+V22*'Input &amp; Settings'!$C$10+W22*'Input &amp; Settings'!$C$11+X22*'Input &amp; Settings'!$C$12+Y22*'Input &amp; Settings'!$C$13+Z22*'Input &amp; Settings'!$C$14,1))</f>
        <v/>
      </c>
      <c r="AB22" s="38" t="str">
        <f>IF(OR(AA22="",E22=""),"",IFERROR(IF(AA22&gt;=VLOOKUP(E22,'Input &amp; Settings'!$F$5:$K$10,3,FALSE),"Outstanding",IF(AA22&gt;=VLOOKUP(E22,'Input &amp; Settings'!$F$5:$K$10,4,FALSE),"Exceeds Expectations",IF(AA22&gt;=VLOOKUP(E22,'Input &amp; Settings'!$F$5:$K$10,5,FALSE),"Meets Expectations",IF(AA22&gt;=VLOOKUP(E22,'Input &amp; Settings'!$F$5:$K$10,6,FALSE),"Needs Improvement","Performance Improvement Required")))),""))</f>
        <v/>
      </c>
      <c r="AC22" s="38" t="str">
        <f t="shared" si="0"/>
        <v/>
      </c>
      <c r="AD22" s="39"/>
      <c r="AE22" s="40"/>
      <c r="AF22" s="41" t="str">
        <f t="shared" si="1"/>
        <v/>
      </c>
      <c r="AG22" s="42" t="str">
        <f t="shared" si="2"/>
        <v/>
      </c>
      <c r="AH22" s="42" t="str">
        <f t="shared" si="3"/>
        <v>Steven Morejon|January</v>
      </c>
    </row>
    <row r="23" spans="1:34" hidden="1">
      <c r="A23" s="32">
        <v>2026</v>
      </c>
      <c r="B23" s="32" t="s">
        <v>35</v>
      </c>
      <c r="C23" s="32" t="s">
        <v>53</v>
      </c>
      <c r="D23" s="32" t="s">
        <v>58</v>
      </c>
      <c r="E23" s="33"/>
      <c r="F23" s="34" t="str">
        <f>IF(E23="","",IFERROR(VLOOKUP(E23,'Input &amp; Settings'!$F$5:$G$10,2,FALSE),""))</f>
        <v/>
      </c>
      <c r="G23" s="33"/>
      <c r="H23" s="33"/>
      <c r="I23" s="35"/>
      <c r="J23" s="33"/>
      <c r="K23" s="36"/>
      <c r="L23" s="35"/>
      <c r="M23" s="33"/>
      <c r="N23" s="33"/>
      <c r="O23" s="33"/>
      <c r="P23" s="33"/>
      <c r="Q23" s="37" t="str">
        <f>IF(G23="","",IFERROR(MIN(100,G23/'Input &amp; Settings'!$B$5*100),""))</f>
        <v/>
      </c>
      <c r="R23" s="37" t="str">
        <f>IF(H23="","",IFERROR(MIN(100,H23/'Input &amp; Settings'!$B$6*100),""))</f>
        <v/>
      </c>
      <c r="S23" s="37" t="str">
        <f>IF(I23="","",IFERROR(MIN(100,I23/'Input &amp; Settings'!$B$7*100),""))</f>
        <v/>
      </c>
      <c r="T23" s="37" t="str">
        <f>IF(J23="","",IFERROR(MIN(100,J23/'Input &amp; Settings'!$B$8*100),""))</f>
        <v/>
      </c>
      <c r="U23" s="37" t="str">
        <f>IF(K23="","",IFERROR(MIN(100,K23/'Input &amp; Settings'!$B$9*100),""))</f>
        <v/>
      </c>
      <c r="V23" s="37" t="str">
        <f>IF(L23="","",IFERROR(MIN(100,L23/'Input &amp; Settings'!$B$10*100),""))</f>
        <v/>
      </c>
      <c r="W23" s="37" t="str">
        <f>IF(M23="","",IFERROR(IF(M23&lt;='Input &amp; Settings'!$B$11,100,MAX(0,100-(M23-'Input &amp; Settings'!$B$11)*20)),""))</f>
        <v/>
      </c>
      <c r="X23" s="37" t="str">
        <f>IF(N23="","",IFERROR(MIN(100,N23/'Input &amp; Settings'!$B$12*100),""))</f>
        <v/>
      </c>
      <c r="Y23" s="37" t="str">
        <f>IF(O23="","",IFERROR(MIN(100,O23/'Input &amp; Settings'!$B$13*100),""))</f>
        <v/>
      </c>
      <c r="Z23" s="37" t="str">
        <f>IF(P23="","",IFERROR(IF(P23&lt;='Input &amp; Settings'!$B$14,100,MAX(0,100-(P23-'Input &amp; Settings'!$B$14)*20)),""))</f>
        <v/>
      </c>
      <c r="AA23" s="37" t="str">
        <f>IF(COUNTA(G23:P23)=0,"",ROUND(Q23*'Input &amp; Settings'!$C$5+R23*'Input &amp; Settings'!$C$6+S23*'Input &amp; Settings'!$C$7+T23*'Input &amp; Settings'!$C$8+U23*'Input &amp; Settings'!$C$9+V23*'Input &amp; Settings'!$C$10+W23*'Input &amp; Settings'!$C$11+X23*'Input &amp; Settings'!$C$12+Y23*'Input &amp; Settings'!$C$13+Z23*'Input &amp; Settings'!$C$14,1))</f>
        <v/>
      </c>
      <c r="AB23" s="38" t="str">
        <f>IF(OR(AA23="",E23=""),"",IFERROR(IF(AA23&gt;=VLOOKUP(E23,'Input &amp; Settings'!$F$5:$K$10,3,FALSE),"Outstanding",IF(AA23&gt;=VLOOKUP(E23,'Input &amp; Settings'!$F$5:$K$10,4,FALSE),"Exceeds Expectations",IF(AA23&gt;=VLOOKUP(E23,'Input &amp; Settings'!$F$5:$K$10,5,FALSE),"Meets Expectations",IF(AA23&gt;=VLOOKUP(E23,'Input &amp; Settings'!$F$5:$K$10,6,FALSE),"Needs Improvement","Performance Improvement Required")))),""))</f>
        <v/>
      </c>
      <c r="AC23" s="38" t="str">
        <f t="shared" si="0"/>
        <v/>
      </c>
      <c r="AD23" s="39"/>
      <c r="AE23" s="40"/>
      <c r="AF23" s="41" t="str">
        <f t="shared" si="1"/>
        <v/>
      </c>
      <c r="AG23" s="42" t="str">
        <f t="shared" si="2"/>
        <v/>
      </c>
      <c r="AH23" s="42" t="str">
        <f t="shared" si="3"/>
        <v>Nicolas Abello|January</v>
      </c>
    </row>
    <row r="24" spans="1:34" hidden="1">
      <c r="A24" s="32">
        <v>2026</v>
      </c>
      <c r="B24" s="32" t="s">
        <v>35</v>
      </c>
      <c r="C24" s="32" t="s">
        <v>53</v>
      </c>
      <c r="D24" s="32" t="s">
        <v>59</v>
      </c>
      <c r="E24" s="33"/>
      <c r="F24" s="34" t="str">
        <f>IF(E24="","",IFERROR(VLOOKUP(E24,'Input &amp; Settings'!$F$5:$G$10,2,FALSE),""))</f>
        <v/>
      </c>
      <c r="G24" s="33"/>
      <c r="H24" s="33"/>
      <c r="I24" s="35"/>
      <c r="J24" s="33"/>
      <c r="K24" s="36"/>
      <c r="L24" s="35"/>
      <c r="M24" s="33"/>
      <c r="N24" s="33"/>
      <c r="O24" s="33"/>
      <c r="P24" s="33"/>
      <c r="Q24" s="37" t="str">
        <f>IF(G24="","",IFERROR(MIN(100,G24/'Input &amp; Settings'!$B$5*100),""))</f>
        <v/>
      </c>
      <c r="R24" s="37" t="str">
        <f>IF(H24="","",IFERROR(MIN(100,H24/'Input &amp; Settings'!$B$6*100),""))</f>
        <v/>
      </c>
      <c r="S24" s="37" t="str">
        <f>IF(I24="","",IFERROR(MIN(100,I24/'Input &amp; Settings'!$B$7*100),""))</f>
        <v/>
      </c>
      <c r="T24" s="37" t="str">
        <f>IF(J24="","",IFERROR(MIN(100,J24/'Input &amp; Settings'!$B$8*100),""))</f>
        <v/>
      </c>
      <c r="U24" s="37" t="str">
        <f>IF(K24="","",IFERROR(MIN(100,K24/'Input &amp; Settings'!$B$9*100),""))</f>
        <v/>
      </c>
      <c r="V24" s="37" t="str">
        <f>IF(L24="","",IFERROR(MIN(100,L24/'Input &amp; Settings'!$B$10*100),""))</f>
        <v/>
      </c>
      <c r="W24" s="37" t="str">
        <f>IF(M24="","",IFERROR(IF(M24&lt;='Input &amp; Settings'!$B$11,100,MAX(0,100-(M24-'Input &amp; Settings'!$B$11)*20)),""))</f>
        <v/>
      </c>
      <c r="X24" s="37" t="str">
        <f>IF(N24="","",IFERROR(MIN(100,N24/'Input &amp; Settings'!$B$12*100),""))</f>
        <v/>
      </c>
      <c r="Y24" s="37" t="str">
        <f>IF(O24="","",IFERROR(MIN(100,O24/'Input &amp; Settings'!$B$13*100),""))</f>
        <v/>
      </c>
      <c r="Z24" s="37" t="str">
        <f>IF(P24="","",IFERROR(IF(P24&lt;='Input &amp; Settings'!$B$14,100,MAX(0,100-(P24-'Input &amp; Settings'!$B$14)*20)),""))</f>
        <v/>
      </c>
      <c r="AA24" s="37" t="str">
        <f>IF(COUNTA(G24:P24)=0,"",ROUND(Q24*'Input &amp; Settings'!$C$5+R24*'Input &amp; Settings'!$C$6+S24*'Input &amp; Settings'!$C$7+T24*'Input &amp; Settings'!$C$8+U24*'Input &amp; Settings'!$C$9+V24*'Input &amp; Settings'!$C$10+W24*'Input &amp; Settings'!$C$11+X24*'Input &amp; Settings'!$C$12+Y24*'Input &amp; Settings'!$C$13+Z24*'Input &amp; Settings'!$C$14,1))</f>
        <v/>
      </c>
      <c r="AB24" s="38" t="str">
        <f>IF(OR(AA24="",E24=""),"",IFERROR(IF(AA24&gt;=VLOOKUP(E24,'Input &amp; Settings'!$F$5:$K$10,3,FALSE),"Outstanding",IF(AA24&gt;=VLOOKUP(E24,'Input &amp; Settings'!$F$5:$K$10,4,FALSE),"Exceeds Expectations",IF(AA24&gt;=VLOOKUP(E24,'Input &amp; Settings'!$F$5:$K$10,5,FALSE),"Meets Expectations",IF(AA24&gt;=VLOOKUP(E24,'Input &amp; Settings'!$F$5:$K$10,6,FALSE),"Needs Improvement","Performance Improvement Required")))),""))</f>
        <v/>
      </c>
      <c r="AC24" s="38" t="str">
        <f t="shared" si="0"/>
        <v/>
      </c>
      <c r="AD24" s="39"/>
      <c r="AE24" s="40"/>
      <c r="AF24" s="41" t="str">
        <f t="shared" si="1"/>
        <v/>
      </c>
      <c r="AG24" s="42" t="str">
        <f t="shared" si="2"/>
        <v/>
      </c>
      <c r="AH24" s="42" t="str">
        <f t="shared" si="3"/>
        <v>Carlos Espinosa|January</v>
      </c>
    </row>
    <row r="25" spans="1:34" hidden="1">
      <c r="A25" s="32">
        <v>2026</v>
      </c>
      <c r="B25" s="32" t="s">
        <v>35</v>
      </c>
      <c r="C25" s="32" t="s">
        <v>53</v>
      </c>
      <c r="D25" s="32" t="s">
        <v>60</v>
      </c>
      <c r="E25" s="33"/>
      <c r="F25" s="34" t="str">
        <f>IF(E25="","",IFERROR(VLOOKUP(E25,'Input &amp; Settings'!$F$5:$G$10,2,FALSE),""))</f>
        <v/>
      </c>
      <c r="G25" s="33"/>
      <c r="H25" s="33"/>
      <c r="I25" s="35"/>
      <c r="J25" s="33"/>
      <c r="K25" s="36"/>
      <c r="L25" s="35"/>
      <c r="M25" s="33"/>
      <c r="N25" s="33"/>
      <c r="O25" s="33"/>
      <c r="P25" s="33"/>
      <c r="Q25" s="37" t="str">
        <f>IF(G25="","",IFERROR(MIN(100,G25/'Input &amp; Settings'!$B$5*100),""))</f>
        <v/>
      </c>
      <c r="R25" s="37" t="str">
        <f>IF(H25="","",IFERROR(MIN(100,H25/'Input &amp; Settings'!$B$6*100),""))</f>
        <v/>
      </c>
      <c r="S25" s="37" t="str">
        <f>IF(I25="","",IFERROR(MIN(100,I25/'Input &amp; Settings'!$B$7*100),""))</f>
        <v/>
      </c>
      <c r="T25" s="37" t="str">
        <f>IF(J25="","",IFERROR(MIN(100,J25/'Input &amp; Settings'!$B$8*100),""))</f>
        <v/>
      </c>
      <c r="U25" s="37" t="str">
        <f>IF(K25="","",IFERROR(MIN(100,K25/'Input &amp; Settings'!$B$9*100),""))</f>
        <v/>
      </c>
      <c r="V25" s="37" t="str">
        <f>IF(L25="","",IFERROR(MIN(100,L25/'Input &amp; Settings'!$B$10*100),""))</f>
        <v/>
      </c>
      <c r="W25" s="37" t="str">
        <f>IF(M25="","",IFERROR(IF(M25&lt;='Input &amp; Settings'!$B$11,100,MAX(0,100-(M25-'Input &amp; Settings'!$B$11)*20)),""))</f>
        <v/>
      </c>
      <c r="X25" s="37" t="str">
        <f>IF(N25="","",IFERROR(MIN(100,N25/'Input &amp; Settings'!$B$12*100),""))</f>
        <v/>
      </c>
      <c r="Y25" s="37" t="str">
        <f>IF(O25="","",IFERROR(MIN(100,O25/'Input &amp; Settings'!$B$13*100),""))</f>
        <v/>
      </c>
      <c r="Z25" s="37" t="str">
        <f>IF(P25="","",IFERROR(IF(P25&lt;='Input &amp; Settings'!$B$14,100,MAX(0,100-(P25-'Input &amp; Settings'!$B$14)*20)),""))</f>
        <v/>
      </c>
      <c r="AA25" s="37" t="str">
        <f>IF(COUNTA(G25:P25)=0,"",ROUND(Q25*'Input &amp; Settings'!$C$5+R25*'Input &amp; Settings'!$C$6+S25*'Input &amp; Settings'!$C$7+T25*'Input &amp; Settings'!$C$8+U25*'Input &amp; Settings'!$C$9+V25*'Input &amp; Settings'!$C$10+W25*'Input &amp; Settings'!$C$11+X25*'Input &amp; Settings'!$C$12+Y25*'Input &amp; Settings'!$C$13+Z25*'Input &amp; Settings'!$C$14,1))</f>
        <v/>
      </c>
      <c r="AB25" s="38" t="str">
        <f>IF(OR(AA25="",E25=""),"",IFERROR(IF(AA25&gt;=VLOOKUP(E25,'Input &amp; Settings'!$F$5:$K$10,3,FALSE),"Outstanding",IF(AA25&gt;=VLOOKUP(E25,'Input &amp; Settings'!$F$5:$K$10,4,FALSE),"Exceeds Expectations",IF(AA25&gt;=VLOOKUP(E25,'Input &amp; Settings'!$F$5:$K$10,5,FALSE),"Meets Expectations",IF(AA25&gt;=VLOOKUP(E25,'Input &amp; Settings'!$F$5:$K$10,6,FALSE),"Needs Improvement","Performance Improvement Required")))),""))</f>
        <v/>
      </c>
      <c r="AC25" s="38" t="str">
        <f t="shared" si="0"/>
        <v/>
      </c>
      <c r="AD25" s="39"/>
      <c r="AE25" s="40"/>
      <c r="AF25" s="41" t="str">
        <f t="shared" si="1"/>
        <v/>
      </c>
      <c r="AG25" s="42" t="str">
        <f t="shared" si="2"/>
        <v/>
      </c>
      <c r="AH25" s="42" t="str">
        <f t="shared" si="3"/>
        <v>Fernando Barbera - Boyer|January</v>
      </c>
    </row>
    <row r="26" spans="1:34" hidden="1">
      <c r="A26" s="32">
        <v>2026</v>
      </c>
      <c r="B26" s="32" t="s">
        <v>35</v>
      </c>
      <c r="C26" s="32" t="s">
        <v>53</v>
      </c>
      <c r="D26" s="32" t="s">
        <v>61</v>
      </c>
      <c r="E26" s="33"/>
      <c r="F26" s="34" t="str">
        <f>IF(E26="","",IFERROR(VLOOKUP(E26,'Input &amp; Settings'!$F$5:$G$10,2,FALSE),""))</f>
        <v/>
      </c>
      <c r="G26" s="33"/>
      <c r="H26" s="33"/>
      <c r="I26" s="35"/>
      <c r="J26" s="33"/>
      <c r="K26" s="36"/>
      <c r="L26" s="35"/>
      <c r="M26" s="33"/>
      <c r="N26" s="33"/>
      <c r="O26" s="33"/>
      <c r="P26" s="33"/>
      <c r="Q26" s="37" t="str">
        <f>IF(G26="","",IFERROR(MIN(100,G26/'Input &amp; Settings'!$B$5*100),""))</f>
        <v/>
      </c>
      <c r="R26" s="37" t="str">
        <f>IF(H26="","",IFERROR(MIN(100,H26/'Input &amp; Settings'!$B$6*100),""))</f>
        <v/>
      </c>
      <c r="S26" s="37" t="str">
        <f>IF(I26="","",IFERROR(MIN(100,I26/'Input &amp; Settings'!$B$7*100),""))</f>
        <v/>
      </c>
      <c r="T26" s="37" t="str">
        <f>IF(J26="","",IFERROR(MIN(100,J26/'Input &amp; Settings'!$B$8*100),""))</f>
        <v/>
      </c>
      <c r="U26" s="37" t="str">
        <f>IF(K26="","",IFERROR(MIN(100,K26/'Input &amp; Settings'!$B$9*100),""))</f>
        <v/>
      </c>
      <c r="V26" s="37" t="str">
        <f>IF(L26="","",IFERROR(MIN(100,L26/'Input &amp; Settings'!$B$10*100),""))</f>
        <v/>
      </c>
      <c r="W26" s="37" t="str">
        <f>IF(M26="","",IFERROR(IF(M26&lt;='Input &amp; Settings'!$B$11,100,MAX(0,100-(M26-'Input &amp; Settings'!$B$11)*20)),""))</f>
        <v/>
      </c>
      <c r="X26" s="37" t="str">
        <f>IF(N26="","",IFERROR(MIN(100,N26/'Input &amp; Settings'!$B$12*100),""))</f>
        <v/>
      </c>
      <c r="Y26" s="37" t="str">
        <f>IF(O26="","",IFERROR(MIN(100,O26/'Input &amp; Settings'!$B$13*100),""))</f>
        <v/>
      </c>
      <c r="Z26" s="37" t="str">
        <f>IF(P26="","",IFERROR(IF(P26&lt;='Input &amp; Settings'!$B$14,100,MAX(0,100-(P26-'Input &amp; Settings'!$B$14)*20)),""))</f>
        <v/>
      </c>
      <c r="AA26" s="37" t="str">
        <f>IF(COUNTA(G26:P26)=0,"",ROUND(Q26*'Input &amp; Settings'!$C$5+R26*'Input &amp; Settings'!$C$6+S26*'Input &amp; Settings'!$C$7+T26*'Input &amp; Settings'!$C$8+U26*'Input &amp; Settings'!$C$9+V26*'Input &amp; Settings'!$C$10+W26*'Input &amp; Settings'!$C$11+X26*'Input &amp; Settings'!$C$12+Y26*'Input &amp; Settings'!$C$13+Z26*'Input &amp; Settings'!$C$14,1))</f>
        <v/>
      </c>
      <c r="AB26" s="38" t="str">
        <f>IF(OR(AA26="",E26=""),"",IFERROR(IF(AA26&gt;=VLOOKUP(E26,'Input &amp; Settings'!$F$5:$K$10,3,FALSE),"Outstanding",IF(AA26&gt;=VLOOKUP(E26,'Input &amp; Settings'!$F$5:$K$10,4,FALSE),"Exceeds Expectations",IF(AA26&gt;=VLOOKUP(E26,'Input &amp; Settings'!$F$5:$K$10,5,FALSE),"Meets Expectations",IF(AA26&gt;=VLOOKUP(E26,'Input &amp; Settings'!$F$5:$K$10,6,FALSE),"Needs Improvement","Performance Improvement Required")))),""))</f>
        <v/>
      </c>
      <c r="AC26" s="38" t="str">
        <f t="shared" si="0"/>
        <v/>
      </c>
      <c r="AD26" s="39"/>
      <c r="AE26" s="40"/>
      <c r="AF26" s="41" t="str">
        <f t="shared" si="1"/>
        <v/>
      </c>
      <c r="AG26" s="42" t="str">
        <f t="shared" si="2"/>
        <v/>
      </c>
      <c r="AH26" s="42" t="str">
        <f t="shared" si="3"/>
        <v>Miquelle Cordova|January</v>
      </c>
    </row>
    <row r="27" spans="1:34" hidden="1">
      <c r="A27" s="32">
        <v>2026</v>
      </c>
      <c r="B27" s="32" t="s">
        <v>35</v>
      </c>
      <c r="C27" s="32" t="s">
        <v>53</v>
      </c>
      <c r="D27" s="32" t="s">
        <v>62</v>
      </c>
      <c r="E27" s="33"/>
      <c r="F27" s="34" t="str">
        <f>IF(E27="","",IFERROR(VLOOKUP(E27,'Input &amp; Settings'!$F$5:$G$10,2,FALSE),""))</f>
        <v/>
      </c>
      <c r="G27" s="33"/>
      <c r="H27" s="33"/>
      <c r="I27" s="35"/>
      <c r="J27" s="33"/>
      <c r="K27" s="36"/>
      <c r="L27" s="35"/>
      <c r="M27" s="33"/>
      <c r="N27" s="33"/>
      <c r="O27" s="33"/>
      <c r="P27" s="33"/>
      <c r="Q27" s="37" t="str">
        <f>IF(G27="","",IFERROR(MIN(100,G27/'Input &amp; Settings'!$B$5*100),""))</f>
        <v/>
      </c>
      <c r="R27" s="37" t="str">
        <f>IF(H27="","",IFERROR(MIN(100,H27/'Input &amp; Settings'!$B$6*100),""))</f>
        <v/>
      </c>
      <c r="S27" s="37" t="str">
        <f>IF(I27="","",IFERROR(MIN(100,I27/'Input &amp; Settings'!$B$7*100),""))</f>
        <v/>
      </c>
      <c r="T27" s="37" t="str">
        <f>IF(J27="","",IFERROR(MIN(100,J27/'Input &amp; Settings'!$B$8*100),""))</f>
        <v/>
      </c>
      <c r="U27" s="37" t="str">
        <f>IF(K27="","",IFERROR(MIN(100,K27/'Input &amp; Settings'!$B$9*100),""))</f>
        <v/>
      </c>
      <c r="V27" s="37" t="str">
        <f>IF(L27="","",IFERROR(MIN(100,L27/'Input &amp; Settings'!$B$10*100),""))</f>
        <v/>
      </c>
      <c r="W27" s="37" t="str">
        <f>IF(M27="","",IFERROR(IF(M27&lt;='Input &amp; Settings'!$B$11,100,MAX(0,100-(M27-'Input &amp; Settings'!$B$11)*20)),""))</f>
        <v/>
      </c>
      <c r="X27" s="37" t="str">
        <f>IF(N27="","",IFERROR(MIN(100,N27/'Input &amp; Settings'!$B$12*100),""))</f>
        <v/>
      </c>
      <c r="Y27" s="37" t="str">
        <f>IF(O27="","",IFERROR(MIN(100,O27/'Input &amp; Settings'!$B$13*100),""))</f>
        <v/>
      </c>
      <c r="Z27" s="37" t="str">
        <f>IF(P27="","",IFERROR(IF(P27&lt;='Input &amp; Settings'!$B$14,100,MAX(0,100-(P27-'Input &amp; Settings'!$B$14)*20)),""))</f>
        <v/>
      </c>
      <c r="AA27" s="37" t="str">
        <f>IF(COUNTA(G27:P27)=0,"",ROUND(Q27*'Input &amp; Settings'!$C$5+R27*'Input &amp; Settings'!$C$6+S27*'Input &amp; Settings'!$C$7+T27*'Input &amp; Settings'!$C$8+U27*'Input &amp; Settings'!$C$9+V27*'Input &amp; Settings'!$C$10+W27*'Input &amp; Settings'!$C$11+X27*'Input &amp; Settings'!$C$12+Y27*'Input &amp; Settings'!$C$13+Z27*'Input &amp; Settings'!$C$14,1))</f>
        <v/>
      </c>
      <c r="AB27" s="38" t="str">
        <f>IF(OR(AA27="",E27=""),"",IFERROR(IF(AA27&gt;=VLOOKUP(E27,'Input &amp; Settings'!$F$5:$K$10,3,FALSE),"Outstanding",IF(AA27&gt;=VLOOKUP(E27,'Input &amp; Settings'!$F$5:$K$10,4,FALSE),"Exceeds Expectations",IF(AA27&gt;=VLOOKUP(E27,'Input &amp; Settings'!$F$5:$K$10,5,FALSE),"Meets Expectations",IF(AA27&gt;=VLOOKUP(E27,'Input &amp; Settings'!$F$5:$K$10,6,FALSE),"Needs Improvement","Performance Improvement Required")))),""))</f>
        <v/>
      </c>
      <c r="AC27" s="38" t="str">
        <f t="shared" si="0"/>
        <v/>
      </c>
      <c r="AD27" s="39"/>
      <c r="AE27" s="40"/>
      <c r="AF27" s="41" t="str">
        <f t="shared" si="1"/>
        <v/>
      </c>
      <c r="AG27" s="42" t="str">
        <f t="shared" si="2"/>
        <v/>
      </c>
      <c r="AH27" s="42" t="str">
        <f t="shared" si="3"/>
        <v>Daniel Sanchez|January</v>
      </c>
    </row>
    <row r="28" spans="1:34" hidden="1">
      <c r="A28" s="32">
        <v>2026</v>
      </c>
      <c r="B28" s="32" t="s">
        <v>35</v>
      </c>
      <c r="C28" s="32" t="s">
        <v>53</v>
      </c>
      <c r="D28" s="32" t="s">
        <v>63</v>
      </c>
      <c r="E28" s="33"/>
      <c r="F28" s="34" t="str">
        <f>IF(E28="","",IFERROR(VLOOKUP(E28,'Input &amp; Settings'!$F$5:$G$10,2,FALSE),""))</f>
        <v/>
      </c>
      <c r="G28" s="33"/>
      <c r="H28" s="33"/>
      <c r="I28" s="35"/>
      <c r="J28" s="33"/>
      <c r="K28" s="36"/>
      <c r="L28" s="35"/>
      <c r="M28" s="33"/>
      <c r="N28" s="33"/>
      <c r="O28" s="33"/>
      <c r="P28" s="33"/>
      <c r="Q28" s="37" t="str">
        <f>IF(G28="","",IFERROR(MIN(100,G28/'Input &amp; Settings'!$B$5*100),""))</f>
        <v/>
      </c>
      <c r="R28" s="37" t="str">
        <f>IF(H28="","",IFERROR(MIN(100,H28/'Input &amp; Settings'!$B$6*100),""))</f>
        <v/>
      </c>
      <c r="S28" s="37" t="str">
        <f>IF(I28="","",IFERROR(MIN(100,I28/'Input &amp; Settings'!$B$7*100),""))</f>
        <v/>
      </c>
      <c r="T28" s="37" t="str">
        <f>IF(J28="","",IFERROR(MIN(100,J28/'Input &amp; Settings'!$B$8*100),""))</f>
        <v/>
      </c>
      <c r="U28" s="37" t="str">
        <f>IF(K28="","",IFERROR(MIN(100,K28/'Input &amp; Settings'!$B$9*100),""))</f>
        <v/>
      </c>
      <c r="V28" s="37" t="str">
        <f>IF(L28="","",IFERROR(MIN(100,L28/'Input &amp; Settings'!$B$10*100),""))</f>
        <v/>
      </c>
      <c r="W28" s="37" t="str">
        <f>IF(M28="","",IFERROR(IF(M28&lt;='Input &amp; Settings'!$B$11,100,MAX(0,100-(M28-'Input &amp; Settings'!$B$11)*20)),""))</f>
        <v/>
      </c>
      <c r="X28" s="37" t="str">
        <f>IF(N28="","",IFERROR(MIN(100,N28/'Input &amp; Settings'!$B$12*100),""))</f>
        <v/>
      </c>
      <c r="Y28" s="37" t="str">
        <f>IF(O28="","",IFERROR(MIN(100,O28/'Input &amp; Settings'!$B$13*100),""))</f>
        <v/>
      </c>
      <c r="Z28" s="37" t="str">
        <f>IF(P28="","",IFERROR(IF(P28&lt;='Input &amp; Settings'!$B$14,100,MAX(0,100-(P28-'Input &amp; Settings'!$B$14)*20)),""))</f>
        <v/>
      </c>
      <c r="AA28" s="37" t="str">
        <f>IF(COUNTA(G28:P28)=0,"",ROUND(Q28*'Input &amp; Settings'!$C$5+R28*'Input &amp; Settings'!$C$6+S28*'Input &amp; Settings'!$C$7+T28*'Input &amp; Settings'!$C$8+U28*'Input &amp; Settings'!$C$9+V28*'Input &amp; Settings'!$C$10+W28*'Input &amp; Settings'!$C$11+X28*'Input &amp; Settings'!$C$12+Y28*'Input &amp; Settings'!$C$13+Z28*'Input &amp; Settings'!$C$14,1))</f>
        <v/>
      </c>
      <c r="AB28" s="38" t="str">
        <f>IF(OR(AA28="",E28=""),"",IFERROR(IF(AA28&gt;=VLOOKUP(E28,'Input &amp; Settings'!$F$5:$K$10,3,FALSE),"Outstanding",IF(AA28&gt;=VLOOKUP(E28,'Input &amp; Settings'!$F$5:$K$10,4,FALSE),"Exceeds Expectations",IF(AA28&gt;=VLOOKUP(E28,'Input &amp; Settings'!$F$5:$K$10,5,FALSE),"Meets Expectations",IF(AA28&gt;=VLOOKUP(E28,'Input &amp; Settings'!$F$5:$K$10,6,FALSE),"Needs Improvement","Performance Improvement Required")))),""))</f>
        <v/>
      </c>
      <c r="AC28" s="38" t="str">
        <f t="shared" si="0"/>
        <v/>
      </c>
      <c r="AD28" s="39"/>
      <c r="AE28" s="40"/>
      <c r="AF28" s="41" t="str">
        <f t="shared" si="1"/>
        <v/>
      </c>
      <c r="AG28" s="42" t="str">
        <f t="shared" si="2"/>
        <v/>
      </c>
      <c r="AH28" s="42" t="str">
        <f t="shared" si="3"/>
        <v>Braynon Edwards|January</v>
      </c>
    </row>
    <row r="29" spans="1:34" hidden="1">
      <c r="A29" s="32">
        <v>2026</v>
      </c>
      <c r="B29" s="32" t="s">
        <v>35</v>
      </c>
      <c r="C29" s="32" t="s">
        <v>53</v>
      </c>
      <c r="D29" s="32" t="s">
        <v>64</v>
      </c>
      <c r="E29" s="33"/>
      <c r="F29" s="34" t="str">
        <f>IF(E29="","",IFERROR(VLOOKUP(E29,'Input &amp; Settings'!$F$5:$G$10,2,FALSE),""))</f>
        <v/>
      </c>
      <c r="G29" s="33"/>
      <c r="H29" s="33"/>
      <c r="I29" s="35"/>
      <c r="J29" s="33"/>
      <c r="K29" s="36"/>
      <c r="L29" s="35"/>
      <c r="M29" s="33"/>
      <c r="N29" s="33"/>
      <c r="O29" s="33"/>
      <c r="P29" s="33"/>
      <c r="Q29" s="37" t="str">
        <f>IF(G29="","",IFERROR(MIN(100,G29/'Input &amp; Settings'!$B$5*100),""))</f>
        <v/>
      </c>
      <c r="R29" s="37" t="str">
        <f>IF(H29="","",IFERROR(MIN(100,H29/'Input &amp; Settings'!$B$6*100),""))</f>
        <v/>
      </c>
      <c r="S29" s="37" t="str">
        <f>IF(I29="","",IFERROR(MIN(100,I29/'Input &amp; Settings'!$B$7*100),""))</f>
        <v/>
      </c>
      <c r="T29" s="37" t="str">
        <f>IF(J29="","",IFERROR(MIN(100,J29/'Input &amp; Settings'!$B$8*100),""))</f>
        <v/>
      </c>
      <c r="U29" s="37" t="str">
        <f>IF(K29="","",IFERROR(MIN(100,K29/'Input &amp; Settings'!$B$9*100),""))</f>
        <v/>
      </c>
      <c r="V29" s="37" t="str">
        <f>IF(L29="","",IFERROR(MIN(100,L29/'Input &amp; Settings'!$B$10*100),""))</f>
        <v/>
      </c>
      <c r="W29" s="37" t="str">
        <f>IF(M29="","",IFERROR(IF(M29&lt;='Input &amp; Settings'!$B$11,100,MAX(0,100-(M29-'Input &amp; Settings'!$B$11)*20)),""))</f>
        <v/>
      </c>
      <c r="X29" s="37" t="str">
        <f>IF(N29="","",IFERROR(MIN(100,N29/'Input &amp; Settings'!$B$12*100),""))</f>
        <v/>
      </c>
      <c r="Y29" s="37" t="str">
        <f>IF(O29="","",IFERROR(MIN(100,O29/'Input &amp; Settings'!$B$13*100),""))</f>
        <v/>
      </c>
      <c r="Z29" s="37" t="str">
        <f>IF(P29="","",IFERROR(IF(P29&lt;='Input &amp; Settings'!$B$14,100,MAX(0,100-(P29-'Input &amp; Settings'!$B$14)*20)),""))</f>
        <v/>
      </c>
      <c r="AA29" s="37" t="str">
        <f>IF(COUNTA(G29:P29)=0,"",ROUND(Q29*'Input &amp; Settings'!$C$5+R29*'Input &amp; Settings'!$C$6+S29*'Input &amp; Settings'!$C$7+T29*'Input &amp; Settings'!$C$8+U29*'Input &amp; Settings'!$C$9+V29*'Input &amp; Settings'!$C$10+W29*'Input &amp; Settings'!$C$11+X29*'Input &amp; Settings'!$C$12+Y29*'Input &amp; Settings'!$C$13+Z29*'Input &amp; Settings'!$C$14,1))</f>
        <v/>
      </c>
      <c r="AB29" s="38" t="str">
        <f>IF(OR(AA29="",E29=""),"",IFERROR(IF(AA29&gt;=VLOOKUP(E29,'Input &amp; Settings'!$F$5:$K$10,3,FALSE),"Outstanding",IF(AA29&gt;=VLOOKUP(E29,'Input &amp; Settings'!$F$5:$K$10,4,FALSE),"Exceeds Expectations",IF(AA29&gt;=VLOOKUP(E29,'Input &amp; Settings'!$F$5:$K$10,5,FALSE),"Meets Expectations",IF(AA29&gt;=VLOOKUP(E29,'Input &amp; Settings'!$F$5:$K$10,6,FALSE),"Needs Improvement","Performance Improvement Required")))),""))</f>
        <v/>
      </c>
      <c r="AC29" s="38" t="str">
        <f t="shared" si="0"/>
        <v/>
      </c>
      <c r="AD29" s="39"/>
      <c r="AE29" s="40"/>
      <c r="AF29" s="41" t="str">
        <f t="shared" si="1"/>
        <v/>
      </c>
      <c r="AG29" s="42" t="str">
        <f t="shared" si="2"/>
        <v/>
      </c>
      <c r="AH29" s="42" t="str">
        <f t="shared" si="3"/>
        <v>Sebastian Lopez|January</v>
      </c>
    </row>
    <row r="30" spans="1:34" hidden="1">
      <c r="A30" s="32">
        <v>2026</v>
      </c>
      <c r="B30" s="32" t="s">
        <v>35</v>
      </c>
      <c r="C30" s="32" t="s">
        <v>53</v>
      </c>
      <c r="D30" s="32" t="s">
        <v>65</v>
      </c>
      <c r="E30" s="33"/>
      <c r="F30" s="34" t="str">
        <f>IF(E30="","",IFERROR(VLOOKUP(E30,'Input &amp; Settings'!$F$5:$G$10,2,FALSE),""))</f>
        <v/>
      </c>
      <c r="G30" s="33"/>
      <c r="H30" s="33"/>
      <c r="I30" s="35"/>
      <c r="J30" s="33"/>
      <c r="K30" s="36"/>
      <c r="L30" s="35"/>
      <c r="M30" s="33"/>
      <c r="N30" s="33"/>
      <c r="O30" s="33"/>
      <c r="P30" s="33"/>
      <c r="Q30" s="37" t="str">
        <f>IF(G30="","",IFERROR(MIN(100,G30/'Input &amp; Settings'!$B$5*100),""))</f>
        <v/>
      </c>
      <c r="R30" s="37" t="str">
        <f>IF(H30="","",IFERROR(MIN(100,H30/'Input &amp; Settings'!$B$6*100),""))</f>
        <v/>
      </c>
      <c r="S30" s="37" t="str">
        <f>IF(I30="","",IFERROR(MIN(100,I30/'Input &amp; Settings'!$B$7*100),""))</f>
        <v/>
      </c>
      <c r="T30" s="37" t="str">
        <f>IF(J30="","",IFERROR(MIN(100,J30/'Input &amp; Settings'!$B$8*100),""))</f>
        <v/>
      </c>
      <c r="U30" s="37" t="str">
        <f>IF(K30="","",IFERROR(MIN(100,K30/'Input &amp; Settings'!$B$9*100),""))</f>
        <v/>
      </c>
      <c r="V30" s="37" t="str">
        <f>IF(L30="","",IFERROR(MIN(100,L30/'Input &amp; Settings'!$B$10*100),""))</f>
        <v/>
      </c>
      <c r="W30" s="37" t="str">
        <f>IF(M30="","",IFERROR(IF(M30&lt;='Input &amp; Settings'!$B$11,100,MAX(0,100-(M30-'Input &amp; Settings'!$B$11)*20)),""))</f>
        <v/>
      </c>
      <c r="X30" s="37" t="str">
        <f>IF(N30="","",IFERROR(MIN(100,N30/'Input &amp; Settings'!$B$12*100),""))</f>
        <v/>
      </c>
      <c r="Y30" s="37" t="str">
        <f>IF(O30="","",IFERROR(MIN(100,O30/'Input &amp; Settings'!$B$13*100),""))</f>
        <v/>
      </c>
      <c r="Z30" s="37" t="str">
        <f>IF(P30="","",IFERROR(IF(P30&lt;='Input &amp; Settings'!$B$14,100,MAX(0,100-(P30-'Input &amp; Settings'!$B$14)*20)),""))</f>
        <v/>
      </c>
      <c r="AA30" s="37" t="str">
        <f>IF(COUNTA(G30:P30)=0,"",ROUND(Q30*'Input &amp; Settings'!$C$5+R30*'Input &amp; Settings'!$C$6+S30*'Input &amp; Settings'!$C$7+T30*'Input &amp; Settings'!$C$8+U30*'Input &amp; Settings'!$C$9+V30*'Input &amp; Settings'!$C$10+W30*'Input &amp; Settings'!$C$11+X30*'Input &amp; Settings'!$C$12+Y30*'Input &amp; Settings'!$C$13+Z30*'Input &amp; Settings'!$C$14,1))</f>
        <v/>
      </c>
      <c r="AB30" s="38" t="str">
        <f>IF(OR(AA30="",E30=""),"",IFERROR(IF(AA30&gt;=VLOOKUP(E30,'Input &amp; Settings'!$F$5:$K$10,3,FALSE),"Outstanding",IF(AA30&gt;=VLOOKUP(E30,'Input &amp; Settings'!$F$5:$K$10,4,FALSE),"Exceeds Expectations",IF(AA30&gt;=VLOOKUP(E30,'Input &amp; Settings'!$F$5:$K$10,5,FALSE),"Meets Expectations",IF(AA30&gt;=VLOOKUP(E30,'Input &amp; Settings'!$F$5:$K$10,6,FALSE),"Needs Improvement","Performance Improvement Required")))),""))</f>
        <v/>
      </c>
      <c r="AC30" s="38" t="str">
        <f t="shared" si="0"/>
        <v/>
      </c>
      <c r="AD30" s="39"/>
      <c r="AE30" s="40"/>
      <c r="AF30" s="41" t="str">
        <f t="shared" si="1"/>
        <v/>
      </c>
      <c r="AG30" s="42" t="str">
        <f t="shared" si="2"/>
        <v/>
      </c>
      <c r="AH30" s="42" t="str">
        <f t="shared" si="3"/>
        <v>Lucas Degomme|January</v>
      </c>
    </row>
    <row r="31" spans="1:34" hidden="1">
      <c r="A31" s="32">
        <v>2026</v>
      </c>
      <c r="B31" s="32" t="s">
        <v>35</v>
      </c>
      <c r="C31" s="32" t="s">
        <v>53</v>
      </c>
      <c r="D31" s="32" t="s">
        <v>66</v>
      </c>
      <c r="E31" s="33"/>
      <c r="F31" s="34" t="str">
        <f>IF(E31="","",IFERROR(VLOOKUP(E31,'Input &amp; Settings'!$F$5:$G$10,2,FALSE),""))</f>
        <v/>
      </c>
      <c r="G31" s="33"/>
      <c r="H31" s="33"/>
      <c r="I31" s="35"/>
      <c r="J31" s="33"/>
      <c r="K31" s="36"/>
      <c r="L31" s="35"/>
      <c r="M31" s="33"/>
      <c r="N31" s="33"/>
      <c r="O31" s="33"/>
      <c r="P31" s="33"/>
      <c r="Q31" s="37" t="str">
        <f>IF(G31="","",IFERROR(MIN(100,G31/'Input &amp; Settings'!$B$5*100),""))</f>
        <v/>
      </c>
      <c r="R31" s="37" t="str">
        <f>IF(H31="","",IFERROR(MIN(100,H31/'Input &amp; Settings'!$B$6*100),""))</f>
        <v/>
      </c>
      <c r="S31" s="37" t="str">
        <f>IF(I31="","",IFERROR(MIN(100,I31/'Input &amp; Settings'!$B$7*100),""))</f>
        <v/>
      </c>
      <c r="T31" s="37" t="str">
        <f>IF(J31="","",IFERROR(MIN(100,J31/'Input &amp; Settings'!$B$8*100),""))</f>
        <v/>
      </c>
      <c r="U31" s="37" t="str">
        <f>IF(K31="","",IFERROR(MIN(100,K31/'Input &amp; Settings'!$B$9*100),""))</f>
        <v/>
      </c>
      <c r="V31" s="37" t="str">
        <f>IF(L31="","",IFERROR(MIN(100,L31/'Input &amp; Settings'!$B$10*100),""))</f>
        <v/>
      </c>
      <c r="W31" s="37" t="str">
        <f>IF(M31="","",IFERROR(IF(M31&lt;='Input &amp; Settings'!$B$11,100,MAX(0,100-(M31-'Input &amp; Settings'!$B$11)*20)),""))</f>
        <v/>
      </c>
      <c r="X31" s="37" t="str">
        <f>IF(N31="","",IFERROR(MIN(100,N31/'Input &amp; Settings'!$B$12*100),""))</f>
        <v/>
      </c>
      <c r="Y31" s="37" t="str">
        <f>IF(O31="","",IFERROR(MIN(100,O31/'Input &amp; Settings'!$B$13*100),""))</f>
        <v/>
      </c>
      <c r="Z31" s="37" t="str">
        <f>IF(P31="","",IFERROR(IF(P31&lt;='Input &amp; Settings'!$B$14,100,MAX(0,100-(P31-'Input &amp; Settings'!$B$14)*20)),""))</f>
        <v/>
      </c>
      <c r="AA31" s="37" t="str">
        <f>IF(COUNTA(G31:P31)=0,"",ROUND(Q31*'Input &amp; Settings'!$C$5+R31*'Input &amp; Settings'!$C$6+S31*'Input &amp; Settings'!$C$7+T31*'Input &amp; Settings'!$C$8+U31*'Input &amp; Settings'!$C$9+V31*'Input &amp; Settings'!$C$10+W31*'Input &amp; Settings'!$C$11+X31*'Input &amp; Settings'!$C$12+Y31*'Input &amp; Settings'!$C$13+Z31*'Input &amp; Settings'!$C$14,1))</f>
        <v/>
      </c>
      <c r="AB31" s="38" t="str">
        <f>IF(OR(AA31="",E31=""),"",IFERROR(IF(AA31&gt;=VLOOKUP(E31,'Input &amp; Settings'!$F$5:$K$10,3,FALSE),"Outstanding",IF(AA31&gt;=VLOOKUP(E31,'Input &amp; Settings'!$F$5:$K$10,4,FALSE),"Exceeds Expectations",IF(AA31&gt;=VLOOKUP(E31,'Input &amp; Settings'!$F$5:$K$10,5,FALSE),"Meets Expectations",IF(AA31&gt;=VLOOKUP(E31,'Input &amp; Settings'!$F$5:$K$10,6,FALSE),"Needs Improvement","Performance Improvement Required")))),""))</f>
        <v/>
      </c>
      <c r="AC31" s="38" t="str">
        <f t="shared" si="0"/>
        <v/>
      </c>
      <c r="AD31" s="39"/>
      <c r="AE31" s="40"/>
      <c r="AF31" s="41" t="str">
        <f t="shared" si="1"/>
        <v/>
      </c>
      <c r="AG31" s="42" t="str">
        <f t="shared" si="2"/>
        <v/>
      </c>
      <c r="AH31" s="42" t="str">
        <f t="shared" si="3"/>
        <v>Alexander Chinea|January</v>
      </c>
    </row>
    <row r="32" spans="1:34" hidden="1">
      <c r="A32" s="32">
        <v>2026</v>
      </c>
      <c r="B32" s="32" t="s">
        <v>35</v>
      </c>
      <c r="C32" s="32" t="s">
        <v>53</v>
      </c>
      <c r="D32" s="32" t="s">
        <v>67</v>
      </c>
      <c r="E32" s="33"/>
      <c r="F32" s="34" t="str">
        <f>IF(E32="","",IFERROR(VLOOKUP(E32,'Input &amp; Settings'!$F$5:$G$10,2,FALSE),""))</f>
        <v/>
      </c>
      <c r="G32" s="33"/>
      <c r="H32" s="33"/>
      <c r="I32" s="35"/>
      <c r="J32" s="33"/>
      <c r="K32" s="36"/>
      <c r="L32" s="35"/>
      <c r="M32" s="33"/>
      <c r="N32" s="33"/>
      <c r="O32" s="33"/>
      <c r="P32" s="33"/>
      <c r="Q32" s="37" t="str">
        <f>IF(G32="","",IFERROR(MIN(100,G32/'Input &amp; Settings'!$B$5*100),""))</f>
        <v/>
      </c>
      <c r="R32" s="37" t="str">
        <f>IF(H32="","",IFERROR(MIN(100,H32/'Input &amp; Settings'!$B$6*100),""))</f>
        <v/>
      </c>
      <c r="S32" s="37" t="str">
        <f>IF(I32="","",IFERROR(MIN(100,I32/'Input &amp; Settings'!$B$7*100),""))</f>
        <v/>
      </c>
      <c r="T32" s="37" t="str">
        <f>IF(J32="","",IFERROR(MIN(100,J32/'Input &amp; Settings'!$B$8*100),""))</f>
        <v/>
      </c>
      <c r="U32" s="37" t="str">
        <f>IF(K32="","",IFERROR(MIN(100,K32/'Input &amp; Settings'!$B$9*100),""))</f>
        <v/>
      </c>
      <c r="V32" s="37" t="str">
        <f>IF(L32="","",IFERROR(MIN(100,L32/'Input &amp; Settings'!$B$10*100),""))</f>
        <v/>
      </c>
      <c r="W32" s="37" t="str">
        <f>IF(M32="","",IFERROR(IF(M32&lt;='Input &amp; Settings'!$B$11,100,MAX(0,100-(M32-'Input &amp; Settings'!$B$11)*20)),""))</f>
        <v/>
      </c>
      <c r="X32" s="37" t="str">
        <f>IF(N32="","",IFERROR(MIN(100,N32/'Input &amp; Settings'!$B$12*100),""))</f>
        <v/>
      </c>
      <c r="Y32" s="37" t="str">
        <f>IF(O32="","",IFERROR(MIN(100,O32/'Input &amp; Settings'!$B$13*100),""))</f>
        <v/>
      </c>
      <c r="Z32" s="37" t="str">
        <f>IF(P32="","",IFERROR(IF(P32&lt;='Input &amp; Settings'!$B$14,100,MAX(0,100-(P32-'Input &amp; Settings'!$B$14)*20)),""))</f>
        <v/>
      </c>
      <c r="AA32" s="37" t="str">
        <f>IF(COUNTA(G32:P32)=0,"",ROUND(Q32*'Input &amp; Settings'!$C$5+R32*'Input &amp; Settings'!$C$6+S32*'Input &amp; Settings'!$C$7+T32*'Input &amp; Settings'!$C$8+U32*'Input &amp; Settings'!$C$9+V32*'Input &amp; Settings'!$C$10+W32*'Input &amp; Settings'!$C$11+X32*'Input &amp; Settings'!$C$12+Y32*'Input &amp; Settings'!$C$13+Z32*'Input &amp; Settings'!$C$14,1))</f>
        <v/>
      </c>
      <c r="AB32" s="38" t="str">
        <f>IF(OR(AA32="",E32=""),"",IFERROR(IF(AA32&gt;=VLOOKUP(E32,'Input &amp; Settings'!$F$5:$K$10,3,FALSE),"Outstanding",IF(AA32&gt;=VLOOKUP(E32,'Input &amp; Settings'!$F$5:$K$10,4,FALSE),"Exceeds Expectations",IF(AA32&gt;=VLOOKUP(E32,'Input &amp; Settings'!$F$5:$K$10,5,FALSE),"Meets Expectations",IF(AA32&gt;=VLOOKUP(E32,'Input &amp; Settings'!$F$5:$K$10,6,FALSE),"Needs Improvement","Performance Improvement Required")))),""))</f>
        <v/>
      </c>
      <c r="AC32" s="38" t="str">
        <f t="shared" si="0"/>
        <v/>
      </c>
      <c r="AD32" s="39"/>
      <c r="AE32" s="40"/>
      <c r="AF32" s="41" t="str">
        <f t="shared" si="1"/>
        <v/>
      </c>
      <c r="AG32" s="42" t="str">
        <f t="shared" si="2"/>
        <v/>
      </c>
      <c r="AH32" s="42" t="str">
        <f t="shared" si="3"/>
        <v>Carlos Martinez Monzon|January</v>
      </c>
    </row>
    <row r="33" spans="1:34" hidden="1">
      <c r="A33" s="32">
        <v>2026</v>
      </c>
      <c r="B33" s="32" t="s">
        <v>35</v>
      </c>
      <c r="C33" s="32" t="s">
        <v>53</v>
      </c>
      <c r="D33" s="32" t="s">
        <v>68</v>
      </c>
      <c r="E33" s="33"/>
      <c r="F33" s="34" t="str">
        <f>IF(E33="","",IFERROR(VLOOKUP(E33,'Input &amp; Settings'!$F$5:$G$10,2,FALSE),""))</f>
        <v/>
      </c>
      <c r="G33" s="33"/>
      <c r="H33" s="33"/>
      <c r="I33" s="35"/>
      <c r="J33" s="33"/>
      <c r="K33" s="36"/>
      <c r="L33" s="35"/>
      <c r="M33" s="33"/>
      <c r="N33" s="33"/>
      <c r="O33" s="33"/>
      <c r="P33" s="33"/>
      <c r="Q33" s="37" t="str">
        <f>IF(G33="","",IFERROR(MIN(100,G33/'Input &amp; Settings'!$B$5*100),""))</f>
        <v/>
      </c>
      <c r="R33" s="37" t="str">
        <f>IF(H33="","",IFERROR(MIN(100,H33/'Input &amp; Settings'!$B$6*100),""))</f>
        <v/>
      </c>
      <c r="S33" s="37" t="str">
        <f>IF(I33="","",IFERROR(MIN(100,I33/'Input &amp; Settings'!$B$7*100),""))</f>
        <v/>
      </c>
      <c r="T33" s="37" t="str">
        <f>IF(J33="","",IFERROR(MIN(100,J33/'Input &amp; Settings'!$B$8*100),""))</f>
        <v/>
      </c>
      <c r="U33" s="37" t="str">
        <f>IF(K33="","",IFERROR(MIN(100,K33/'Input &amp; Settings'!$B$9*100),""))</f>
        <v/>
      </c>
      <c r="V33" s="37" t="str">
        <f>IF(L33="","",IFERROR(MIN(100,L33/'Input &amp; Settings'!$B$10*100),""))</f>
        <v/>
      </c>
      <c r="W33" s="37" t="str">
        <f>IF(M33="","",IFERROR(IF(M33&lt;='Input &amp; Settings'!$B$11,100,MAX(0,100-(M33-'Input &amp; Settings'!$B$11)*20)),""))</f>
        <v/>
      </c>
      <c r="X33" s="37" t="str">
        <f>IF(N33="","",IFERROR(MIN(100,N33/'Input &amp; Settings'!$B$12*100),""))</f>
        <v/>
      </c>
      <c r="Y33" s="37" t="str">
        <f>IF(O33="","",IFERROR(MIN(100,O33/'Input &amp; Settings'!$B$13*100),""))</f>
        <v/>
      </c>
      <c r="Z33" s="37" t="str">
        <f>IF(P33="","",IFERROR(IF(P33&lt;='Input &amp; Settings'!$B$14,100,MAX(0,100-(P33-'Input &amp; Settings'!$B$14)*20)),""))</f>
        <v/>
      </c>
      <c r="AA33" s="37" t="str">
        <f>IF(COUNTA(G33:P33)=0,"",ROUND(Q33*'Input &amp; Settings'!$C$5+R33*'Input &amp; Settings'!$C$6+S33*'Input &amp; Settings'!$C$7+T33*'Input &amp; Settings'!$C$8+U33*'Input &amp; Settings'!$C$9+V33*'Input &amp; Settings'!$C$10+W33*'Input &amp; Settings'!$C$11+X33*'Input &amp; Settings'!$C$12+Y33*'Input &amp; Settings'!$C$13+Z33*'Input &amp; Settings'!$C$14,1))</f>
        <v/>
      </c>
      <c r="AB33" s="38" t="str">
        <f>IF(OR(AA33="",E33=""),"",IFERROR(IF(AA33&gt;=VLOOKUP(E33,'Input &amp; Settings'!$F$5:$K$10,3,FALSE),"Outstanding",IF(AA33&gt;=VLOOKUP(E33,'Input &amp; Settings'!$F$5:$K$10,4,FALSE),"Exceeds Expectations",IF(AA33&gt;=VLOOKUP(E33,'Input &amp; Settings'!$F$5:$K$10,5,FALSE),"Meets Expectations",IF(AA33&gt;=VLOOKUP(E33,'Input &amp; Settings'!$F$5:$K$10,6,FALSE),"Needs Improvement","Performance Improvement Required")))),""))</f>
        <v/>
      </c>
      <c r="AC33" s="38" t="str">
        <f t="shared" si="0"/>
        <v/>
      </c>
      <c r="AD33" s="39"/>
      <c r="AE33" s="40"/>
      <c r="AF33" s="41" t="str">
        <f t="shared" si="1"/>
        <v/>
      </c>
      <c r="AG33" s="42" t="str">
        <f t="shared" si="2"/>
        <v/>
      </c>
      <c r="AH33" s="42" t="str">
        <f t="shared" si="3"/>
        <v>Carlos Sanabria|January</v>
      </c>
    </row>
    <row r="34" spans="1:34" hidden="1">
      <c r="A34" s="32">
        <v>2026</v>
      </c>
      <c r="B34" s="32" t="s">
        <v>35</v>
      </c>
      <c r="C34" s="32" t="s">
        <v>53</v>
      </c>
      <c r="D34" s="32" t="s">
        <v>69</v>
      </c>
      <c r="E34" s="33"/>
      <c r="F34" s="34" t="str">
        <f>IF(E34="","",IFERROR(VLOOKUP(E34,'Input &amp; Settings'!$F$5:$G$10,2,FALSE),""))</f>
        <v/>
      </c>
      <c r="G34" s="33"/>
      <c r="H34" s="33"/>
      <c r="I34" s="35"/>
      <c r="J34" s="33"/>
      <c r="K34" s="36"/>
      <c r="L34" s="35"/>
      <c r="M34" s="33"/>
      <c r="N34" s="33"/>
      <c r="O34" s="33"/>
      <c r="P34" s="33"/>
      <c r="Q34" s="37" t="str">
        <f>IF(G34="","",IFERROR(MIN(100,G34/'Input &amp; Settings'!$B$5*100),""))</f>
        <v/>
      </c>
      <c r="R34" s="37" t="str">
        <f>IF(H34="","",IFERROR(MIN(100,H34/'Input &amp; Settings'!$B$6*100),""))</f>
        <v/>
      </c>
      <c r="S34" s="37" t="str">
        <f>IF(I34="","",IFERROR(MIN(100,I34/'Input &amp; Settings'!$B$7*100),""))</f>
        <v/>
      </c>
      <c r="T34" s="37" t="str">
        <f>IF(J34="","",IFERROR(MIN(100,J34/'Input &amp; Settings'!$B$8*100),""))</f>
        <v/>
      </c>
      <c r="U34" s="37" t="str">
        <f>IF(K34="","",IFERROR(MIN(100,K34/'Input &amp; Settings'!$B$9*100),""))</f>
        <v/>
      </c>
      <c r="V34" s="37" t="str">
        <f>IF(L34="","",IFERROR(MIN(100,L34/'Input &amp; Settings'!$B$10*100),""))</f>
        <v/>
      </c>
      <c r="W34" s="37" t="str">
        <f>IF(M34="","",IFERROR(IF(M34&lt;='Input &amp; Settings'!$B$11,100,MAX(0,100-(M34-'Input &amp; Settings'!$B$11)*20)),""))</f>
        <v/>
      </c>
      <c r="X34" s="37" t="str">
        <f>IF(N34="","",IFERROR(MIN(100,N34/'Input &amp; Settings'!$B$12*100),""))</f>
        <v/>
      </c>
      <c r="Y34" s="37" t="str">
        <f>IF(O34="","",IFERROR(MIN(100,O34/'Input &amp; Settings'!$B$13*100),""))</f>
        <v/>
      </c>
      <c r="Z34" s="37" t="str">
        <f>IF(P34="","",IFERROR(IF(P34&lt;='Input &amp; Settings'!$B$14,100,MAX(0,100-(P34-'Input &amp; Settings'!$B$14)*20)),""))</f>
        <v/>
      </c>
      <c r="AA34" s="37" t="str">
        <f>IF(COUNTA(G34:P34)=0,"",ROUND(Q34*'Input &amp; Settings'!$C$5+R34*'Input &amp; Settings'!$C$6+S34*'Input &amp; Settings'!$C$7+T34*'Input &amp; Settings'!$C$8+U34*'Input &amp; Settings'!$C$9+V34*'Input &amp; Settings'!$C$10+W34*'Input &amp; Settings'!$C$11+X34*'Input &amp; Settings'!$C$12+Y34*'Input &amp; Settings'!$C$13+Z34*'Input &amp; Settings'!$C$14,1))</f>
        <v/>
      </c>
      <c r="AB34" s="38" t="str">
        <f>IF(OR(AA34="",E34=""),"",IFERROR(IF(AA34&gt;=VLOOKUP(E34,'Input &amp; Settings'!$F$5:$K$10,3,FALSE),"Outstanding",IF(AA34&gt;=VLOOKUP(E34,'Input &amp; Settings'!$F$5:$K$10,4,FALSE),"Exceeds Expectations",IF(AA34&gt;=VLOOKUP(E34,'Input &amp; Settings'!$F$5:$K$10,5,FALSE),"Meets Expectations",IF(AA34&gt;=VLOOKUP(E34,'Input &amp; Settings'!$F$5:$K$10,6,FALSE),"Needs Improvement","Performance Improvement Required")))),""))</f>
        <v/>
      </c>
      <c r="AC34" s="38" t="str">
        <f t="shared" si="0"/>
        <v/>
      </c>
      <c r="AD34" s="39"/>
      <c r="AE34" s="40"/>
      <c r="AF34" s="41" t="str">
        <f t="shared" si="1"/>
        <v/>
      </c>
      <c r="AG34" s="42" t="str">
        <f t="shared" si="2"/>
        <v/>
      </c>
      <c r="AH34" s="42" t="str">
        <f t="shared" si="3"/>
        <v>Alex Gomes|January</v>
      </c>
    </row>
    <row r="35" spans="1:34" hidden="1">
      <c r="A35" s="32">
        <v>2026</v>
      </c>
      <c r="B35" s="32" t="s">
        <v>35</v>
      </c>
      <c r="C35" s="32" t="s">
        <v>53</v>
      </c>
      <c r="D35" s="32" t="s">
        <v>70</v>
      </c>
      <c r="E35" s="33"/>
      <c r="F35" s="34" t="str">
        <f>IF(E35="","",IFERROR(VLOOKUP(E35,'Input &amp; Settings'!$F$5:$G$10,2,FALSE),""))</f>
        <v/>
      </c>
      <c r="G35" s="33"/>
      <c r="H35" s="33"/>
      <c r="I35" s="35"/>
      <c r="J35" s="33"/>
      <c r="K35" s="36"/>
      <c r="L35" s="35"/>
      <c r="M35" s="33"/>
      <c r="N35" s="33"/>
      <c r="O35" s="33"/>
      <c r="P35" s="33"/>
      <c r="Q35" s="37" t="str">
        <f>IF(G35="","",IFERROR(MIN(100,G35/'Input &amp; Settings'!$B$5*100),""))</f>
        <v/>
      </c>
      <c r="R35" s="37" t="str">
        <f>IF(H35="","",IFERROR(MIN(100,H35/'Input &amp; Settings'!$B$6*100),""))</f>
        <v/>
      </c>
      <c r="S35" s="37" t="str">
        <f>IF(I35="","",IFERROR(MIN(100,I35/'Input &amp; Settings'!$B$7*100),""))</f>
        <v/>
      </c>
      <c r="T35" s="37" t="str">
        <f>IF(J35="","",IFERROR(MIN(100,J35/'Input &amp; Settings'!$B$8*100),""))</f>
        <v/>
      </c>
      <c r="U35" s="37" t="str">
        <f>IF(K35="","",IFERROR(MIN(100,K35/'Input &amp; Settings'!$B$9*100),""))</f>
        <v/>
      </c>
      <c r="V35" s="37" t="str">
        <f>IF(L35="","",IFERROR(MIN(100,L35/'Input &amp; Settings'!$B$10*100),""))</f>
        <v/>
      </c>
      <c r="W35" s="37" t="str">
        <f>IF(M35="","",IFERROR(IF(M35&lt;='Input &amp; Settings'!$B$11,100,MAX(0,100-(M35-'Input &amp; Settings'!$B$11)*20)),""))</f>
        <v/>
      </c>
      <c r="X35" s="37" t="str">
        <f>IF(N35="","",IFERROR(MIN(100,N35/'Input &amp; Settings'!$B$12*100),""))</f>
        <v/>
      </c>
      <c r="Y35" s="37" t="str">
        <f>IF(O35="","",IFERROR(MIN(100,O35/'Input &amp; Settings'!$B$13*100),""))</f>
        <v/>
      </c>
      <c r="Z35" s="37" t="str">
        <f>IF(P35="","",IFERROR(IF(P35&lt;='Input &amp; Settings'!$B$14,100,MAX(0,100-(P35-'Input &amp; Settings'!$B$14)*20)),""))</f>
        <v/>
      </c>
      <c r="AA35" s="37" t="str">
        <f>IF(COUNTA(G35:P35)=0,"",ROUND(Q35*'Input &amp; Settings'!$C$5+R35*'Input &amp; Settings'!$C$6+S35*'Input &amp; Settings'!$C$7+T35*'Input &amp; Settings'!$C$8+U35*'Input &amp; Settings'!$C$9+V35*'Input &amp; Settings'!$C$10+W35*'Input &amp; Settings'!$C$11+X35*'Input &amp; Settings'!$C$12+Y35*'Input &amp; Settings'!$C$13+Z35*'Input &amp; Settings'!$C$14,1))</f>
        <v/>
      </c>
      <c r="AB35" s="38" t="str">
        <f>IF(OR(AA35="",E35=""),"",IFERROR(IF(AA35&gt;=VLOOKUP(E35,'Input &amp; Settings'!$F$5:$K$10,3,FALSE),"Outstanding",IF(AA35&gt;=VLOOKUP(E35,'Input &amp; Settings'!$F$5:$K$10,4,FALSE),"Exceeds Expectations",IF(AA35&gt;=VLOOKUP(E35,'Input &amp; Settings'!$F$5:$K$10,5,FALSE),"Meets Expectations",IF(AA35&gt;=VLOOKUP(E35,'Input &amp; Settings'!$F$5:$K$10,6,FALSE),"Needs Improvement","Performance Improvement Required")))),""))</f>
        <v/>
      </c>
      <c r="AC35" s="38" t="str">
        <f t="shared" si="0"/>
        <v/>
      </c>
      <c r="AD35" s="39"/>
      <c r="AE35" s="40"/>
      <c r="AF35" s="41" t="str">
        <f t="shared" si="1"/>
        <v/>
      </c>
      <c r="AG35" s="42" t="str">
        <f t="shared" si="2"/>
        <v/>
      </c>
      <c r="AH35" s="42" t="str">
        <f t="shared" si="3"/>
        <v>Teddy Joseph|January</v>
      </c>
    </row>
    <row r="36" spans="1:34" hidden="1">
      <c r="A36" s="32">
        <v>2026</v>
      </c>
      <c r="B36" s="32" t="s">
        <v>35</v>
      </c>
      <c r="C36" s="32" t="s">
        <v>53</v>
      </c>
      <c r="D36" s="32" t="s">
        <v>71</v>
      </c>
      <c r="E36" s="33"/>
      <c r="F36" s="34" t="str">
        <f>IF(E36="","",IFERROR(VLOOKUP(E36,'Input &amp; Settings'!$F$5:$G$10,2,FALSE),""))</f>
        <v/>
      </c>
      <c r="G36" s="33"/>
      <c r="H36" s="33"/>
      <c r="I36" s="35"/>
      <c r="J36" s="33"/>
      <c r="K36" s="36"/>
      <c r="L36" s="35"/>
      <c r="M36" s="33"/>
      <c r="N36" s="33"/>
      <c r="O36" s="33"/>
      <c r="P36" s="33"/>
      <c r="Q36" s="37" t="str">
        <f>IF(G36="","",IFERROR(MIN(100,G36/'Input &amp; Settings'!$B$5*100),""))</f>
        <v/>
      </c>
      <c r="R36" s="37" t="str">
        <f>IF(H36="","",IFERROR(MIN(100,H36/'Input &amp; Settings'!$B$6*100),""))</f>
        <v/>
      </c>
      <c r="S36" s="37" t="str">
        <f>IF(I36="","",IFERROR(MIN(100,I36/'Input &amp; Settings'!$B$7*100),""))</f>
        <v/>
      </c>
      <c r="T36" s="37" t="str">
        <f>IF(J36="","",IFERROR(MIN(100,J36/'Input &amp; Settings'!$B$8*100),""))</f>
        <v/>
      </c>
      <c r="U36" s="37" t="str">
        <f>IF(K36="","",IFERROR(MIN(100,K36/'Input &amp; Settings'!$B$9*100),""))</f>
        <v/>
      </c>
      <c r="V36" s="37" t="str">
        <f>IF(L36="","",IFERROR(MIN(100,L36/'Input &amp; Settings'!$B$10*100),""))</f>
        <v/>
      </c>
      <c r="W36" s="37" t="str">
        <f>IF(M36="","",IFERROR(IF(M36&lt;='Input &amp; Settings'!$B$11,100,MAX(0,100-(M36-'Input &amp; Settings'!$B$11)*20)),""))</f>
        <v/>
      </c>
      <c r="X36" s="37" t="str">
        <f>IF(N36="","",IFERROR(MIN(100,N36/'Input &amp; Settings'!$B$12*100),""))</f>
        <v/>
      </c>
      <c r="Y36" s="37" t="str">
        <f>IF(O36="","",IFERROR(MIN(100,O36/'Input &amp; Settings'!$B$13*100),""))</f>
        <v/>
      </c>
      <c r="Z36" s="37" t="str">
        <f>IF(P36="","",IFERROR(IF(P36&lt;='Input &amp; Settings'!$B$14,100,MAX(0,100-(P36-'Input &amp; Settings'!$B$14)*20)),""))</f>
        <v/>
      </c>
      <c r="AA36" s="37" t="str">
        <f>IF(COUNTA(G36:P36)=0,"",ROUND(Q36*'Input &amp; Settings'!$C$5+R36*'Input &amp; Settings'!$C$6+S36*'Input &amp; Settings'!$C$7+T36*'Input &amp; Settings'!$C$8+U36*'Input &amp; Settings'!$C$9+V36*'Input &amp; Settings'!$C$10+W36*'Input &amp; Settings'!$C$11+X36*'Input &amp; Settings'!$C$12+Y36*'Input &amp; Settings'!$C$13+Z36*'Input &amp; Settings'!$C$14,1))</f>
        <v/>
      </c>
      <c r="AB36" s="38" t="str">
        <f>IF(OR(AA36="",E36=""),"",IFERROR(IF(AA36&gt;=VLOOKUP(E36,'Input &amp; Settings'!$F$5:$K$10,3,FALSE),"Outstanding",IF(AA36&gt;=VLOOKUP(E36,'Input &amp; Settings'!$F$5:$K$10,4,FALSE),"Exceeds Expectations",IF(AA36&gt;=VLOOKUP(E36,'Input &amp; Settings'!$F$5:$K$10,5,FALSE),"Meets Expectations",IF(AA36&gt;=VLOOKUP(E36,'Input &amp; Settings'!$F$5:$K$10,6,FALSE),"Needs Improvement","Performance Improvement Required")))),""))</f>
        <v/>
      </c>
      <c r="AC36" s="38" t="str">
        <f t="shared" si="0"/>
        <v/>
      </c>
      <c r="AD36" s="39"/>
      <c r="AE36" s="40"/>
      <c r="AF36" s="41" t="str">
        <f t="shared" si="1"/>
        <v/>
      </c>
      <c r="AG36" s="42" t="str">
        <f t="shared" si="2"/>
        <v/>
      </c>
      <c r="AH36" s="42" t="str">
        <f t="shared" si="3"/>
        <v>Andrew Montgomery|January</v>
      </c>
    </row>
    <row r="37" spans="1:34" hidden="1">
      <c r="A37" s="32">
        <v>2026</v>
      </c>
      <c r="B37" s="32" t="s">
        <v>35</v>
      </c>
      <c r="C37" s="32" t="s">
        <v>53</v>
      </c>
      <c r="D37" s="32" t="s">
        <v>72</v>
      </c>
      <c r="E37" s="33"/>
      <c r="F37" s="34" t="str">
        <f>IF(E37="","",IFERROR(VLOOKUP(E37,'Input &amp; Settings'!$F$5:$G$10,2,FALSE),""))</f>
        <v/>
      </c>
      <c r="G37" s="33"/>
      <c r="H37" s="33"/>
      <c r="I37" s="35"/>
      <c r="J37" s="33"/>
      <c r="K37" s="36"/>
      <c r="L37" s="35"/>
      <c r="M37" s="33"/>
      <c r="N37" s="33"/>
      <c r="O37" s="33"/>
      <c r="P37" s="33"/>
      <c r="Q37" s="37" t="str">
        <f>IF(G37="","",IFERROR(MIN(100,G37/'Input &amp; Settings'!$B$5*100),""))</f>
        <v/>
      </c>
      <c r="R37" s="37" t="str">
        <f>IF(H37="","",IFERROR(MIN(100,H37/'Input &amp; Settings'!$B$6*100),""))</f>
        <v/>
      </c>
      <c r="S37" s="37" t="str">
        <f>IF(I37="","",IFERROR(MIN(100,I37/'Input &amp; Settings'!$B$7*100),""))</f>
        <v/>
      </c>
      <c r="T37" s="37" t="str">
        <f>IF(J37="","",IFERROR(MIN(100,J37/'Input &amp; Settings'!$B$8*100),""))</f>
        <v/>
      </c>
      <c r="U37" s="37" t="str">
        <f>IF(K37="","",IFERROR(MIN(100,K37/'Input &amp; Settings'!$B$9*100),""))</f>
        <v/>
      </c>
      <c r="V37" s="37" t="str">
        <f>IF(L37="","",IFERROR(MIN(100,L37/'Input &amp; Settings'!$B$10*100),""))</f>
        <v/>
      </c>
      <c r="W37" s="37" t="str">
        <f>IF(M37="","",IFERROR(IF(M37&lt;='Input &amp; Settings'!$B$11,100,MAX(0,100-(M37-'Input &amp; Settings'!$B$11)*20)),""))</f>
        <v/>
      </c>
      <c r="X37" s="37" t="str">
        <f>IF(N37="","",IFERROR(MIN(100,N37/'Input &amp; Settings'!$B$12*100),""))</f>
        <v/>
      </c>
      <c r="Y37" s="37" t="str">
        <f>IF(O37="","",IFERROR(MIN(100,O37/'Input &amp; Settings'!$B$13*100),""))</f>
        <v/>
      </c>
      <c r="Z37" s="37" t="str">
        <f>IF(P37="","",IFERROR(IF(P37&lt;='Input &amp; Settings'!$B$14,100,MAX(0,100-(P37-'Input &amp; Settings'!$B$14)*20)),""))</f>
        <v/>
      </c>
      <c r="AA37" s="37" t="str">
        <f>IF(COUNTA(G37:P37)=0,"",ROUND(Q37*'Input &amp; Settings'!$C$5+R37*'Input &amp; Settings'!$C$6+S37*'Input &amp; Settings'!$C$7+T37*'Input &amp; Settings'!$C$8+U37*'Input &amp; Settings'!$C$9+V37*'Input &amp; Settings'!$C$10+W37*'Input &amp; Settings'!$C$11+X37*'Input &amp; Settings'!$C$12+Y37*'Input &amp; Settings'!$C$13+Z37*'Input &amp; Settings'!$C$14,1))</f>
        <v/>
      </c>
      <c r="AB37" s="38" t="str">
        <f>IF(OR(AA37="",E37=""),"",IFERROR(IF(AA37&gt;=VLOOKUP(E37,'Input &amp; Settings'!$F$5:$K$10,3,FALSE),"Outstanding",IF(AA37&gt;=VLOOKUP(E37,'Input &amp; Settings'!$F$5:$K$10,4,FALSE),"Exceeds Expectations",IF(AA37&gt;=VLOOKUP(E37,'Input &amp; Settings'!$F$5:$K$10,5,FALSE),"Meets Expectations",IF(AA37&gt;=VLOOKUP(E37,'Input &amp; Settings'!$F$5:$K$10,6,FALSE),"Needs Improvement","Performance Improvement Required")))),""))</f>
        <v/>
      </c>
      <c r="AC37" s="38" t="str">
        <f t="shared" si="0"/>
        <v/>
      </c>
      <c r="AD37" s="39"/>
      <c r="AE37" s="40"/>
      <c r="AF37" s="41" t="str">
        <f t="shared" si="1"/>
        <v/>
      </c>
      <c r="AG37" s="42" t="str">
        <f t="shared" si="2"/>
        <v/>
      </c>
      <c r="AH37" s="42" t="str">
        <f t="shared" si="3"/>
        <v>Amanda Rodriguez|January</v>
      </c>
    </row>
    <row r="38" spans="1:34" hidden="1">
      <c r="A38" s="32">
        <v>2026</v>
      </c>
      <c r="B38" s="32" t="s">
        <v>35</v>
      </c>
      <c r="C38" s="32" t="s">
        <v>53</v>
      </c>
      <c r="D38" s="32" t="s">
        <v>73</v>
      </c>
      <c r="E38" s="33"/>
      <c r="F38" s="34" t="str">
        <f>IF(E38="","",IFERROR(VLOOKUP(E38,'Input &amp; Settings'!$F$5:$G$10,2,FALSE),""))</f>
        <v/>
      </c>
      <c r="G38" s="33"/>
      <c r="H38" s="33"/>
      <c r="I38" s="35"/>
      <c r="J38" s="33"/>
      <c r="K38" s="36"/>
      <c r="L38" s="35"/>
      <c r="M38" s="33"/>
      <c r="N38" s="33"/>
      <c r="O38" s="33"/>
      <c r="P38" s="33"/>
      <c r="Q38" s="37" t="str">
        <f>IF(G38="","",IFERROR(MIN(100,G38/'Input &amp; Settings'!$B$5*100),""))</f>
        <v/>
      </c>
      <c r="R38" s="37" t="str">
        <f>IF(H38="","",IFERROR(MIN(100,H38/'Input &amp; Settings'!$B$6*100),""))</f>
        <v/>
      </c>
      <c r="S38" s="37" t="str">
        <f>IF(I38="","",IFERROR(MIN(100,I38/'Input &amp; Settings'!$B$7*100),""))</f>
        <v/>
      </c>
      <c r="T38" s="37" t="str">
        <f>IF(J38="","",IFERROR(MIN(100,J38/'Input &amp; Settings'!$B$8*100),""))</f>
        <v/>
      </c>
      <c r="U38" s="37" t="str">
        <f>IF(K38="","",IFERROR(MIN(100,K38/'Input &amp; Settings'!$B$9*100),""))</f>
        <v/>
      </c>
      <c r="V38" s="37" t="str">
        <f>IF(L38="","",IFERROR(MIN(100,L38/'Input &amp; Settings'!$B$10*100),""))</f>
        <v/>
      </c>
      <c r="W38" s="37" t="str">
        <f>IF(M38="","",IFERROR(IF(M38&lt;='Input &amp; Settings'!$B$11,100,MAX(0,100-(M38-'Input &amp; Settings'!$B$11)*20)),""))</f>
        <v/>
      </c>
      <c r="X38" s="37" t="str">
        <f>IF(N38="","",IFERROR(MIN(100,N38/'Input &amp; Settings'!$B$12*100),""))</f>
        <v/>
      </c>
      <c r="Y38" s="37" t="str">
        <f>IF(O38="","",IFERROR(MIN(100,O38/'Input &amp; Settings'!$B$13*100),""))</f>
        <v/>
      </c>
      <c r="Z38" s="37" t="str">
        <f>IF(P38="","",IFERROR(IF(P38&lt;='Input &amp; Settings'!$B$14,100,MAX(0,100-(P38-'Input &amp; Settings'!$B$14)*20)),""))</f>
        <v/>
      </c>
      <c r="AA38" s="37" t="str">
        <f>IF(COUNTA(G38:P38)=0,"",ROUND(Q38*'Input &amp; Settings'!$C$5+R38*'Input &amp; Settings'!$C$6+S38*'Input &amp; Settings'!$C$7+T38*'Input &amp; Settings'!$C$8+U38*'Input &amp; Settings'!$C$9+V38*'Input &amp; Settings'!$C$10+W38*'Input &amp; Settings'!$C$11+X38*'Input &amp; Settings'!$C$12+Y38*'Input &amp; Settings'!$C$13+Z38*'Input &amp; Settings'!$C$14,1))</f>
        <v/>
      </c>
      <c r="AB38" s="38" t="str">
        <f>IF(OR(AA38="",E38=""),"",IFERROR(IF(AA38&gt;=VLOOKUP(E38,'Input &amp; Settings'!$F$5:$K$10,3,FALSE),"Outstanding",IF(AA38&gt;=VLOOKUP(E38,'Input &amp; Settings'!$F$5:$K$10,4,FALSE),"Exceeds Expectations",IF(AA38&gt;=VLOOKUP(E38,'Input &amp; Settings'!$F$5:$K$10,5,FALSE),"Meets Expectations",IF(AA38&gt;=VLOOKUP(E38,'Input &amp; Settings'!$F$5:$K$10,6,FALSE),"Needs Improvement","Performance Improvement Required")))),""))</f>
        <v/>
      </c>
      <c r="AC38" s="38" t="str">
        <f t="shared" si="0"/>
        <v/>
      </c>
      <c r="AD38" s="39"/>
      <c r="AE38" s="40"/>
      <c r="AF38" s="41" t="str">
        <f t="shared" si="1"/>
        <v/>
      </c>
      <c r="AG38" s="42" t="str">
        <f t="shared" si="2"/>
        <v/>
      </c>
      <c r="AH38" s="42" t="str">
        <f t="shared" si="3"/>
        <v>Erick Mojica|January</v>
      </c>
    </row>
    <row r="39" spans="1:34" hidden="1">
      <c r="A39" s="32">
        <v>2026</v>
      </c>
      <c r="B39" s="32" t="s">
        <v>35</v>
      </c>
      <c r="C39" s="32" t="s">
        <v>74</v>
      </c>
      <c r="D39" s="32" t="s">
        <v>75</v>
      </c>
      <c r="E39" s="33"/>
      <c r="F39" s="34" t="str">
        <f>IF(E39="","",IFERROR(VLOOKUP(E39,'Input &amp; Settings'!$F$5:$G$10,2,FALSE),""))</f>
        <v/>
      </c>
      <c r="G39" s="33"/>
      <c r="H39" s="33"/>
      <c r="I39" s="35"/>
      <c r="J39" s="33"/>
      <c r="K39" s="36"/>
      <c r="L39" s="35"/>
      <c r="M39" s="33"/>
      <c r="N39" s="33"/>
      <c r="O39" s="33"/>
      <c r="P39" s="33"/>
      <c r="Q39" s="37" t="str">
        <f>IF(G39="","",IFERROR(MIN(100,G39/'Input &amp; Settings'!$B$5*100),""))</f>
        <v/>
      </c>
      <c r="R39" s="37" t="str">
        <f>IF(H39="","",IFERROR(MIN(100,H39/'Input &amp; Settings'!$B$6*100),""))</f>
        <v/>
      </c>
      <c r="S39" s="37" t="str">
        <f>IF(I39="","",IFERROR(MIN(100,I39/'Input &amp; Settings'!$B$7*100),""))</f>
        <v/>
      </c>
      <c r="T39" s="37" t="str">
        <f>IF(J39="","",IFERROR(MIN(100,J39/'Input &amp; Settings'!$B$8*100),""))</f>
        <v/>
      </c>
      <c r="U39" s="37" t="str">
        <f>IF(K39="","",IFERROR(MIN(100,K39/'Input &amp; Settings'!$B$9*100),""))</f>
        <v/>
      </c>
      <c r="V39" s="37" t="str">
        <f>IF(L39="","",IFERROR(MIN(100,L39/'Input &amp; Settings'!$B$10*100),""))</f>
        <v/>
      </c>
      <c r="W39" s="37" t="str">
        <f>IF(M39="","",IFERROR(IF(M39&lt;='Input &amp; Settings'!$B$11,100,MAX(0,100-(M39-'Input &amp; Settings'!$B$11)*20)),""))</f>
        <v/>
      </c>
      <c r="X39" s="37" t="str">
        <f>IF(N39="","",IFERROR(MIN(100,N39/'Input &amp; Settings'!$B$12*100),""))</f>
        <v/>
      </c>
      <c r="Y39" s="37" t="str">
        <f>IF(O39="","",IFERROR(MIN(100,O39/'Input &amp; Settings'!$B$13*100),""))</f>
        <v/>
      </c>
      <c r="Z39" s="37" t="str">
        <f>IF(P39="","",IFERROR(IF(P39&lt;='Input &amp; Settings'!$B$14,100,MAX(0,100-(P39-'Input &amp; Settings'!$B$14)*20)),""))</f>
        <v/>
      </c>
      <c r="AA39" s="37" t="str">
        <f>IF(COUNTA(G39:P39)=0,"",ROUND(Q39*'Input &amp; Settings'!$C$5+R39*'Input &amp; Settings'!$C$6+S39*'Input &amp; Settings'!$C$7+T39*'Input &amp; Settings'!$C$8+U39*'Input &amp; Settings'!$C$9+V39*'Input &amp; Settings'!$C$10+W39*'Input &amp; Settings'!$C$11+X39*'Input &amp; Settings'!$C$12+Y39*'Input &amp; Settings'!$C$13+Z39*'Input &amp; Settings'!$C$14,1))</f>
        <v/>
      </c>
      <c r="AB39" s="38" t="str">
        <f>IF(OR(AA39="",E39=""),"",IFERROR(IF(AA39&gt;=VLOOKUP(E39,'Input &amp; Settings'!$F$5:$K$10,3,FALSE),"Outstanding",IF(AA39&gt;=VLOOKUP(E39,'Input &amp; Settings'!$F$5:$K$10,4,FALSE),"Exceeds Expectations",IF(AA39&gt;=VLOOKUP(E39,'Input &amp; Settings'!$F$5:$K$10,5,FALSE),"Meets Expectations",IF(AA39&gt;=VLOOKUP(E39,'Input &amp; Settings'!$F$5:$K$10,6,FALSE),"Needs Improvement","Performance Improvement Required")))),""))</f>
        <v/>
      </c>
      <c r="AC39" s="38" t="str">
        <f t="shared" si="0"/>
        <v/>
      </c>
      <c r="AD39" s="39"/>
      <c r="AE39" s="40"/>
      <c r="AF39" s="41" t="str">
        <f t="shared" si="1"/>
        <v/>
      </c>
      <c r="AG39" s="42" t="str">
        <f t="shared" si="2"/>
        <v/>
      </c>
      <c r="AH39" s="42" t="str">
        <f t="shared" si="3"/>
        <v>Raul Rama|January</v>
      </c>
    </row>
    <row r="40" spans="1:34" hidden="1">
      <c r="A40" s="32">
        <v>2026</v>
      </c>
      <c r="B40" s="32" t="s">
        <v>35</v>
      </c>
      <c r="C40" s="32" t="s">
        <v>74</v>
      </c>
      <c r="D40" s="32" t="s">
        <v>76</v>
      </c>
      <c r="E40" s="33"/>
      <c r="F40" s="34" t="str">
        <f>IF(E40="","",IFERROR(VLOOKUP(E40,'Input &amp; Settings'!$F$5:$G$10,2,FALSE),""))</f>
        <v/>
      </c>
      <c r="G40" s="33"/>
      <c r="H40" s="33"/>
      <c r="I40" s="35"/>
      <c r="J40" s="33"/>
      <c r="K40" s="36"/>
      <c r="L40" s="35"/>
      <c r="M40" s="33"/>
      <c r="N40" s="33"/>
      <c r="O40" s="33"/>
      <c r="P40" s="33"/>
      <c r="Q40" s="37" t="str">
        <f>IF(G40="","",IFERROR(MIN(100,G40/'Input &amp; Settings'!$B$5*100),""))</f>
        <v/>
      </c>
      <c r="R40" s="37" t="str">
        <f>IF(H40="","",IFERROR(MIN(100,H40/'Input &amp; Settings'!$B$6*100),""))</f>
        <v/>
      </c>
      <c r="S40" s="37" t="str">
        <f>IF(I40="","",IFERROR(MIN(100,I40/'Input &amp; Settings'!$B$7*100),""))</f>
        <v/>
      </c>
      <c r="T40" s="37" t="str">
        <f>IF(J40="","",IFERROR(MIN(100,J40/'Input &amp; Settings'!$B$8*100),""))</f>
        <v/>
      </c>
      <c r="U40" s="37" t="str">
        <f>IF(K40="","",IFERROR(MIN(100,K40/'Input &amp; Settings'!$B$9*100),""))</f>
        <v/>
      </c>
      <c r="V40" s="37" t="str">
        <f>IF(L40="","",IFERROR(MIN(100,L40/'Input &amp; Settings'!$B$10*100),""))</f>
        <v/>
      </c>
      <c r="W40" s="37" t="str">
        <f>IF(M40="","",IFERROR(IF(M40&lt;='Input &amp; Settings'!$B$11,100,MAX(0,100-(M40-'Input &amp; Settings'!$B$11)*20)),""))</f>
        <v/>
      </c>
      <c r="X40" s="37" t="str">
        <f>IF(N40="","",IFERROR(MIN(100,N40/'Input &amp; Settings'!$B$12*100),""))</f>
        <v/>
      </c>
      <c r="Y40" s="37" t="str">
        <f>IF(O40="","",IFERROR(MIN(100,O40/'Input &amp; Settings'!$B$13*100),""))</f>
        <v/>
      </c>
      <c r="Z40" s="37" t="str">
        <f>IF(P40="","",IFERROR(IF(P40&lt;='Input &amp; Settings'!$B$14,100,MAX(0,100-(P40-'Input &amp; Settings'!$B$14)*20)),""))</f>
        <v/>
      </c>
      <c r="AA40" s="37" t="str">
        <f>IF(COUNTA(G40:P40)=0,"",ROUND(Q40*'Input &amp; Settings'!$C$5+R40*'Input &amp; Settings'!$C$6+S40*'Input &amp; Settings'!$C$7+T40*'Input &amp; Settings'!$C$8+U40*'Input &amp; Settings'!$C$9+V40*'Input &amp; Settings'!$C$10+W40*'Input &amp; Settings'!$C$11+X40*'Input &amp; Settings'!$C$12+Y40*'Input &amp; Settings'!$C$13+Z40*'Input &amp; Settings'!$C$14,1))</f>
        <v/>
      </c>
      <c r="AB40" s="38" t="str">
        <f>IF(OR(AA40="",E40=""),"",IFERROR(IF(AA40&gt;=VLOOKUP(E40,'Input &amp; Settings'!$F$5:$K$10,3,FALSE),"Outstanding",IF(AA40&gt;=VLOOKUP(E40,'Input &amp; Settings'!$F$5:$K$10,4,FALSE),"Exceeds Expectations",IF(AA40&gt;=VLOOKUP(E40,'Input &amp; Settings'!$F$5:$K$10,5,FALSE),"Meets Expectations",IF(AA40&gt;=VLOOKUP(E40,'Input &amp; Settings'!$F$5:$K$10,6,FALSE),"Needs Improvement","Performance Improvement Required")))),""))</f>
        <v/>
      </c>
      <c r="AC40" s="38" t="str">
        <f t="shared" si="0"/>
        <v/>
      </c>
      <c r="AD40" s="39"/>
      <c r="AE40" s="40"/>
      <c r="AF40" s="41" t="str">
        <f t="shared" si="1"/>
        <v/>
      </c>
      <c r="AG40" s="42" t="str">
        <f t="shared" si="2"/>
        <v/>
      </c>
      <c r="AH40" s="42" t="str">
        <f t="shared" si="3"/>
        <v>Kaevon Tyler|January</v>
      </c>
    </row>
    <row r="41" spans="1:34" hidden="1">
      <c r="A41" s="32">
        <v>2026</v>
      </c>
      <c r="B41" s="32" t="s">
        <v>35</v>
      </c>
      <c r="C41" s="32" t="s">
        <v>74</v>
      </c>
      <c r="D41" s="32" t="s">
        <v>77</v>
      </c>
      <c r="E41" s="33"/>
      <c r="F41" s="34" t="str">
        <f>IF(E41="","",IFERROR(VLOOKUP(E41,'Input &amp; Settings'!$F$5:$G$10,2,FALSE),""))</f>
        <v/>
      </c>
      <c r="G41" s="33"/>
      <c r="H41" s="33"/>
      <c r="I41" s="35"/>
      <c r="J41" s="33"/>
      <c r="K41" s="36"/>
      <c r="L41" s="35"/>
      <c r="M41" s="33"/>
      <c r="N41" s="33"/>
      <c r="O41" s="33"/>
      <c r="P41" s="33"/>
      <c r="Q41" s="37" t="str">
        <f>IF(G41="","",IFERROR(MIN(100,G41/'Input &amp; Settings'!$B$5*100),""))</f>
        <v/>
      </c>
      <c r="R41" s="37" t="str">
        <f>IF(H41="","",IFERROR(MIN(100,H41/'Input &amp; Settings'!$B$6*100),""))</f>
        <v/>
      </c>
      <c r="S41" s="37" t="str">
        <f>IF(I41="","",IFERROR(MIN(100,I41/'Input &amp; Settings'!$B$7*100),""))</f>
        <v/>
      </c>
      <c r="T41" s="37" t="str">
        <f>IF(J41="","",IFERROR(MIN(100,J41/'Input &amp; Settings'!$B$8*100),""))</f>
        <v/>
      </c>
      <c r="U41" s="37" t="str">
        <f>IF(K41="","",IFERROR(MIN(100,K41/'Input &amp; Settings'!$B$9*100),""))</f>
        <v/>
      </c>
      <c r="V41" s="37" t="str">
        <f>IF(L41="","",IFERROR(MIN(100,L41/'Input &amp; Settings'!$B$10*100),""))</f>
        <v/>
      </c>
      <c r="W41" s="37" t="str">
        <f>IF(M41="","",IFERROR(IF(M41&lt;='Input &amp; Settings'!$B$11,100,MAX(0,100-(M41-'Input &amp; Settings'!$B$11)*20)),""))</f>
        <v/>
      </c>
      <c r="X41" s="37" t="str">
        <f>IF(N41="","",IFERROR(MIN(100,N41/'Input &amp; Settings'!$B$12*100),""))</f>
        <v/>
      </c>
      <c r="Y41" s="37" t="str">
        <f>IF(O41="","",IFERROR(MIN(100,O41/'Input &amp; Settings'!$B$13*100),""))</f>
        <v/>
      </c>
      <c r="Z41" s="37" t="str">
        <f>IF(P41="","",IFERROR(IF(P41&lt;='Input &amp; Settings'!$B$14,100,MAX(0,100-(P41-'Input &amp; Settings'!$B$14)*20)),""))</f>
        <v/>
      </c>
      <c r="AA41" s="37" t="str">
        <f>IF(COUNTA(G41:P41)=0,"",ROUND(Q41*'Input &amp; Settings'!$C$5+R41*'Input &amp; Settings'!$C$6+S41*'Input &amp; Settings'!$C$7+T41*'Input &amp; Settings'!$C$8+U41*'Input &amp; Settings'!$C$9+V41*'Input &amp; Settings'!$C$10+W41*'Input &amp; Settings'!$C$11+X41*'Input &amp; Settings'!$C$12+Y41*'Input &amp; Settings'!$C$13+Z41*'Input &amp; Settings'!$C$14,1))</f>
        <v/>
      </c>
      <c r="AB41" s="38" t="str">
        <f>IF(OR(AA41="",E41=""),"",IFERROR(IF(AA41&gt;=VLOOKUP(E41,'Input &amp; Settings'!$F$5:$K$10,3,FALSE),"Outstanding",IF(AA41&gt;=VLOOKUP(E41,'Input &amp; Settings'!$F$5:$K$10,4,FALSE),"Exceeds Expectations",IF(AA41&gt;=VLOOKUP(E41,'Input &amp; Settings'!$F$5:$K$10,5,FALSE),"Meets Expectations",IF(AA41&gt;=VLOOKUP(E41,'Input &amp; Settings'!$F$5:$K$10,6,FALSE),"Needs Improvement","Performance Improvement Required")))),""))</f>
        <v/>
      </c>
      <c r="AC41" s="38" t="str">
        <f t="shared" si="0"/>
        <v/>
      </c>
      <c r="AD41" s="39"/>
      <c r="AE41" s="40"/>
      <c r="AF41" s="41" t="str">
        <f t="shared" si="1"/>
        <v/>
      </c>
      <c r="AG41" s="42" t="str">
        <f t="shared" si="2"/>
        <v/>
      </c>
      <c r="AH41" s="42" t="str">
        <f t="shared" si="3"/>
        <v>Christopher Dorta|January</v>
      </c>
    </row>
    <row r="42" spans="1:34" hidden="1">
      <c r="A42" s="32">
        <v>2026</v>
      </c>
      <c r="B42" s="32" t="s">
        <v>35</v>
      </c>
      <c r="C42" s="32" t="s">
        <v>74</v>
      </c>
      <c r="D42" s="32" t="s">
        <v>78</v>
      </c>
      <c r="E42" s="33"/>
      <c r="F42" s="34" t="str">
        <f>IF(E42="","",IFERROR(VLOOKUP(E42,'Input &amp; Settings'!$F$5:$G$10,2,FALSE),""))</f>
        <v/>
      </c>
      <c r="G42" s="33"/>
      <c r="H42" s="33"/>
      <c r="I42" s="35"/>
      <c r="J42" s="33"/>
      <c r="K42" s="36"/>
      <c r="L42" s="35"/>
      <c r="M42" s="33"/>
      <c r="N42" s="33"/>
      <c r="O42" s="33"/>
      <c r="P42" s="33"/>
      <c r="Q42" s="37" t="str">
        <f>IF(G42="","",IFERROR(MIN(100,G42/'Input &amp; Settings'!$B$5*100),""))</f>
        <v/>
      </c>
      <c r="R42" s="37" t="str">
        <f>IF(H42="","",IFERROR(MIN(100,H42/'Input &amp; Settings'!$B$6*100),""))</f>
        <v/>
      </c>
      <c r="S42" s="37" t="str">
        <f>IF(I42="","",IFERROR(MIN(100,I42/'Input &amp; Settings'!$B$7*100),""))</f>
        <v/>
      </c>
      <c r="T42" s="37" t="str">
        <f>IF(J42="","",IFERROR(MIN(100,J42/'Input &amp; Settings'!$B$8*100),""))</f>
        <v/>
      </c>
      <c r="U42" s="37" t="str">
        <f>IF(K42="","",IFERROR(MIN(100,K42/'Input &amp; Settings'!$B$9*100),""))</f>
        <v/>
      </c>
      <c r="V42" s="37" t="str">
        <f>IF(L42="","",IFERROR(MIN(100,L42/'Input &amp; Settings'!$B$10*100),""))</f>
        <v/>
      </c>
      <c r="W42" s="37" t="str">
        <f>IF(M42="","",IFERROR(IF(M42&lt;='Input &amp; Settings'!$B$11,100,MAX(0,100-(M42-'Input &amp; Settings'!$B$11)*20)),""))</f>
        <v/>
      </c>
      <c r="X42" s="37" t="str">
        <f>IF(N42="","",IFERROR(MIN(100,N42/'Input &amp; Settings'!$B$12*100),""))</f>
        <v/>
      </c>
      <c r="Y42" s="37" t="str">
        <f>IF(O42="","",IFERROR(MIN(100,O42/'Input &amp; Settings'!$B$13*100),""))</f>
        <v/>
      </c>
      <c r="Z42" s="37" t="str">
        <f>IF(P42="","",IFERROR(IF(P42&lt;='Input &amp; Settings'!$B$14,100,MAX(0,100-(P42-'Input &amp; Settings'!$B$14)*20)),""))</f>
        <v/>
      </c>
      <c r="AA42" s="37" t="str">
        <f>IF(COUNTA(G42:P42)=0,"",ROUND(Q42*'Input &amp; Settings'!$C$5+R42*'Input &amp; Settings'!$C$6+S42*'Input &amp; Settings'!$C$7+T42*'Input &amp; Settings'!$C$8+U42*'Input &amp; Settings'!$C$9+V42*'Input &amp; Settings'!$C$10+W42*'Input &amp; Settings'!$C$11+X42*'Input &amp; Settings'!$C$12+Y42*'Input &amp; Settings'!$C$13+Z42*'Input &amp; Settings'!$C$14,1))</f>
        <v/>
      </c>
      <c r="AB42" s="38" t="str">
        <f>IF(OR(AA42="",E42=""),"",IFERROR(IF(AA42&gt;=VLOOKUP(E42,'Input &amp; Settings'!$F$5:$K$10,3,FALSE),"Outstanding",IF(AA42&gt;=VLOOKUP(E42,'Input &amp; Settings'!$F$5:$K$10,4,FALSE),"Exceeds Expectations",IF(AA42&gt;=VLOOKUP(E42,'Input &amp; Settings'!$F$5:$K$10,5,FALSE),"Meets Expectations",IF(AA42&gt;=VLOOKUP(E42,'Input &amp; Settings'!$F$5:$K$10,6,FALSE),"Needs Improvement","Performance Improvement Required")))),""))</f>
        <v/>
      </c>
      <c r="AC42" s="38" t="str">
        <f t="shared" si="0"/>
        <v/>
      </c>
      <c r="AD42" s="39"/>
      <c r="AE42" s="40"/>
      <c r="AF42" s="41" t="str">
        <f t="shared" si="1"/>
        <v/>
      </c>
      <c r="AG42" s="42" t="str">
        <f t="shared" si="2"/>
        <v/>
      </c>
      <c r="AH42" s="42" t="str">
        <f t="shared" si="3"/>
        <v>Andres Galvis|January</v>
      </c>
    </row>
    <row r="43" spans="1:34" hidden="1">
      <c r="A43" s="32">
        <v>2026</v>
      </c>
      <c r="B43" s="32" t="s">
        <v>35</v>
      </c>
      <c r="C43" s="32" t="s">
        <v>74</v>
      </c>
      <c r="D43" s="32" t="s">
        <v>79</v>
      </c>
      <c r="E43" s="33"/>
      <c r="F43" s="34" t="str">
        <f>IF(E43="","",IFERROR(VLOOKUP(E43,'Input &amp; Settings'!$F$5:$G$10,2,FALSE),""))</f>
        <v/>
      </c>
      <c r="G43" s="33"/>
      <c r="H43" s="33"/>
      <c r="I43" s="35"/>
      <c r="J43" s="33"/>
      <c r="K43" s="36"/>
      <c r="L43" s="35"/>
      <c r="M43" s="33"/>
      <c r="N43" s="33"/>
      <c r="O43" s="33"/>
      <c r="P43" s="33"/>
      <c r="Q43" s="37" t="str">
        <f>IF(G43="","",IFERROR(MIN(100,G43/'Input &amp; Settings'!$B$5*100),""))</f>
        <v/>
      </c>
      <c r="R43" s="37" t="str">
        <f>IF(H43="","",IFERROR(MIN(100,H43/'Input &amp; Settings'!$B$6*100),""))</f>
        <v/>
      </c>
      <c r="S43" s="37" t="str">
        <f>IF(I43="","",IFERROR(MIN(100,I43/'Input &amp; Settings'!$B$7*100),""))</f>
        <v/>
      </c>
      <c r="T43" s="37" t="str">
        <f>IF(J43="","",IFERROR(MIN(100,J43/'Input &amp; Settings'!$B$8*100),""))</f>
        <v/>
      </c>
      <c r="U43" s="37" t="str">
        <f>IF(K43="","",IFERROR(MIN(100,K43/'Input &amp; Settings'!$B$9*100),""))</f>
        <v/>
      </c>
      <c r="V43" s="37" t="str">
        <f>IF(L43="","",IFERROR(MIN(100,L43/'Input &amp; Settings'!$B$10*100),""))</f>
        <v/>
      </c>
      <c r="W43" s="37" t="str">
        <f>IF(M43="","",IFERROR(IF(M43&lt;='Input &amp; Settings'!$B$11,100,MAX(0,100-(M43-'Input &amp; Settings'!$B$11)*20)),""))</f>
        <v/>
      </c>
      <c r="X43" s="37" t="str">
        <f>IF(N43="","",IFERROR(MIN(100,N43/'Input &amp; Settings'!$B$12*100),""))</f>
        <v/>
      </c>
      <c r="Y43" s="37" t="str">
        <f>IF(O43="","",IFERROR(MIN(100,O43/'Input &amp; Settings'!$B$13*100),""))</f>
        <v/>
      </c>
      <c r="Z43" s="37" t="str">
        <f>IF(P43="","",IFERROR(IF(P43&lt;='Input &amp; Settings'!$B$14,100,MAX(0,100-(P43-'Input &amp; Settings'!$B$14)*20)),""))</f>
        <v/>
      </c>
      <c r="AA43" s="37" t="str">
        <f>IF(COUNTA(G43:P43)=0,"",ROUND(Q43*'Input &amp; Settings'!$C$5+R43*'Input &amp; Settings'!$C$6+S43*'Input &amp; Settings'!$C$7+T43*'Input &amp; Settings'!$C$8+U43*'Input &amp; Settings'!$C$9+V43*'Input &amp; Settings'!$C$10+W43*'Input &amp; Settings'!$C$11+X43*'Input &amp; Settings'!$C$12+Y43*'Input &amp; Settings'!$C$13+Z43*'Input &amp; Settings'!$C$14,1))</f>
        <v/>
      </c>
      <c r="AB43" s="38" t="str">
        <f>IF(OR(AA43="",E43=""),"",IFERROR(IF(AA43&gt;=VLOOKUP(E43,'Input &amp; Settings'!$F$5:$K$10,3,FALSE),"Outstanding",IF(AA43&gt;=VLOOKUP(E43,'Input &amp; Settings'!$F$5:$K$10,4,FALSE),"Exceeds Expectations",IF(AA43&gt;=VLOOKUP(E43,'Input &amp; Settings'!$F$5:$K$10,5,FALSE),"Meets Expectations",IF(AA43&gt;=VLOOKUP(E43,'Input &amp; Settings'!$F$5:$K$10,6,FALSE),"Needs Improvement","Performance Improvement Required")))),""))</f>
        <v/>
      </c>
      <c r="AC43" s="38" t="str">
        <f t="shared" si="0"/>
        <v/>
      </c>
      <c r="AD43" s="39"/>
      <c r="AE43" s="40"/>
      <c r="AF43" s="41" t="str">
        <f t="shared" si="1"/>
        <v/>
      </c>
      <c r="AG43" s="42" t="str">
        <f t="shared" si="2"/>
        <v/>
      </c>
      <c r="AH43" s="42" t="str">
        <f t="shared" si="3"/>
        <v>Roberto Eckardt|January</v>
      </c>
    </row>
    <row r="44" spans="1:34" hidden="1">
      <c r="A44" s="32">
        <v>2026</v>
      </c>
      <c r="B44" s="32" t="s">
        <v>35</v>
      </c>
      <c r="C44" s="32" t="s">
        <v>74</v>
      </c>
      <c r="D44" s="32" t="s">
        <v>80</v>
      </c>
      <c r="E44" s="33"/>
      <c r="F44" s="34" t="str">
        <f>IF(E44="","",IFERROR(VLOOKUP(E44,'Input &amp; Settings'!$F$5:$G$10,2,FALSE),""))</f>
        <v/>
      </c>
      <c r="G44" s="33"/>
      <c r="H44" s="33"/>
      <c r="I44" s="35"/>
      <c r="J44" s="33"/>
      <c r="K44" s="36"/>
      <c r="L44" s="35"/>
      <c r="M44" s="33"/>
      <c r="N44" s="33"/>
      <c r="O44" s="33"/>
      <c r="P44" s="33"/>
      <c r="Q44" s="37" t="str">
        <f>IF(G44="","",IFERROR(MIN(100,G44/'Input &amp; Settings'!$B$5*100),""))</f>
        <v/>
      </c>
      <c r="R44" s="37" t="str">
        <f>IF(H44="","",IFERROR(MIN(100,H44/'Input &amp; Settings'!$B$6*100),""))</f>
        <v/>
      </c>
      <c r="S44" s="37" t="str">
        <f>IF(I44="","",IFERROR(MIN(100,I44/'Input &amp; Settings'!$B$7*100),""))</f>
        <v/>
      </c>
      <c r="T44" s="37" t="str">
        <f>IF(J44="","",IFERROR(MIN(100,J44/'Input &amp; Settings'!$B$8*100),""))</f>
        <v/>
      </c>
      <c r="U44" s="37" t="str">
        <f>IF(K44="","",IFERROR(MIN(100,K44/'Input &amp; Settings'!$B$9*100),""))</f>
        <v/>
      </c>
      <c r="V44" s="37" t="str">
        <f>IF(L44="","",IFERROR(MIN(100,L44/'Input &amp; Settings'!$B$10*100),""))</f>
        <v/>
      </c>
      <c r="W44" s="37" t="str">
        <f>IF(M44="","",IFERROR(IF(M44&lt;='Input &amp; Settings'!$B$11,100,MAX(0,100-(M44-'Input &amp; Settings'!$B$11)*20)),""))</f>
        <v/>
      </c>
      <c r="X44" s="37" t="str">
        <f>IF(N44="","",IFERROR(MIN(100,N44/'Input &amp; Settings'!$B$12*100),""))</f>
        <v/>
      </c>
      <c r="Y44" s="37" t="str">
        <f>IF(O44="","",IFERROR(MIN(100,O44/'Input &amp; Settings'!$B$13*100),""))</f>
        <v/>
      </c>
      <c r="Z44" s="37" t="str">
        <f>IF(P44="","",IFERROR(IF(P44&lt;='Input &amp; Settings'!$B$14,100,MAX(0,100-(P44-'Input &amp; Settings'!$B$14)*20)),""))</f>
        <v/>
      </c>
      <c r="AA44" s="37" t="str">
        <f>IF(COUNTA(G44:P44)=0,"",ROUND(Q44*'Input &amp; Settings'!$C$5+R44*'Input &amp; Settings'!$C$6+S44*'Input &amp; Settings'!$C$7+T44*'Input &amp; Settings'!$C$8+U44*'Input &amp; Settings'!$C$9+V44*'Input &amp; Settings'!$C$10+W44*'Input &amp; Settings'!$C$11+X44*'Input &amp; Settings'!$C$12+Y44*'Input &amp; Settings'!$C$13+Z44*'Input &amp; Settings'!$C$14,1))</f>
        <v/>
      </c>
      <c r="AB44" s="38" t="str">
        <f>IF(OR(AA44="",E44=""),"",IFERROR(IF(AA44&gt;=VLOOKUP(E44,'Input &amp; Settings'!$F$5:$K$10,3,FALSE),"Outstanding",IF(AA44&gt;=VLOOKUP(E44,'Input &amp; Settings'!$F$5:$K$10,4,FALSE),"Exceeds Expectations",IF(AA44&gt;=VLOOKUP(E44,'Input &amp; Settings'!$F$5:$K$10,5,FALSE),"Meets Expectations",IF(AA44&gt;=VLOOKUP(E44,'Input &amp; Settings'!$F$5:$K$10,6,FALSE),"Needs Improvement","Performance Improvement Required")))),""))</f>
        <v/>
      </c>
      <c r="AC44" s="38" t="str">
        <f t="shared" si="0"/>
        <v/>
      </c>
      <c r="AD44" s="39"/>
      <c r="AE44" s="40"/>
      <c r="AF44" s="41" t="str">
        <f t="shared" si="1"/>
        <v/>
      </c>
      <c r="AG44" s="42" t="str">
        <f t="shared" si="2"/>
        <v/>
      </c>
      <c r="AH44" s="42" t="str">
        <f t="shared" si="3"/>
        <v>Angel Perez Martinez|January</v>
      </c>
    </row>
    <row r="45" spans="1:34" hidden="1">
      <c r="A45" s="32">
        <v>2026</v>
      </c>
      <c r="B45" s="32" t="s">
        <v>81</v>
      </c>
      <c r="C45" s="32" t="s">
        <v>36</v>
      </c>
      <c r="D45" s="32" t="s">
        <v>37</v>
      </c>
      <c r="E45" s="33"/>
      <c r="F45" s="34" t="str">
        <f>IF(E45="","",IFERROR(VLOOKUP(E45,'Input &amp; Settings'!$F$5:$G$10,2,FALSE),""))</f>
        <v/>
      </c>
      <c r="G45" s="33"/>
      <c r="H45" s="33"/>
      <c r="I45" s="35"/>
      <c r="J45" s="33"/>
      <c r="K45" s="36"/>
      <c r="L45" s="35"/>
      <c r="M45" s="33"/>
      <c r="N45" s="33"/>
      <c r="O45" s="33"/>
      <c r="P45" s="33"/>
      <c r="Q45" s="37" t="str">
        <f>IF(G45="","",IFERROR(MIN(100,G45/'Input &amp; Settings'!$B$5*100),""))</f>
        <v/>
      </c>
      <c r="R45" s="37" t="str">
        <f>IF(H45="","",IFERROR(MIN(100,H45/'Input &amp; Settings'!$B$6*100),""))</f>
        <v/>
      </c>
      <c r="S45" s="37" t="str">
        <f>IF(I45="","",IFERROR(MIN(100,I45/'Input &amp; Settings'!$B$7*100),""))</f>
        <v/>
      </c>
      <c r="T45" s="37" t="str">
        <f>IF(J45="","",IFERROR(MIN(100,J45/'Input &amp; Settings'!$B$8*100),""))</f>
        <v/>
      </c>
      <c r="U45" s="37" t="str">
        <f>IF(K45="","",IFERROR(MIN(100,K45/'Input &amp; Settings'!$B$9*100),""))</f>
        <v/>
      </c>
      <c r="V45" s="37" t="str">
        <f>IF(L45="","",IFERROR(MIN(100,L45/'Input &amp; Settings'!$B$10*100),""))</f>
        <v/>
      </c>
      <c r="W45" s="37" t="str">
        <f>IF(M45="","",IFERROR(IF(M45&lt;='Input &amp; Settings'!$B$11,100,MAX(0,100-(M45-'Input &amp; Settings'!$B$11)*20)),""))</f>
        <v/>
      </c>
      <c r="X45" s="37" t="str">
        <f>IF(N45="","",IFERROR(MIN(100,N45/'Input &amp; Settings'!$B$12*100),""))</f>
        <v/>
      </c>
      <c r="Y45" s="37" t="str">
        <f>IF(O45="","",IFERROR(MIN(100,O45/'Input &amp; Settings'!$B$13*100),""))</f>
        <v/>
      </c>
      <c r="Z45" s="37" t="str">
        <f>IF(P45="","",IFERROR(IF(P45&lt;='Input &amp; Settings'!$B$14,100,MAX(0,100-(P45-'Input &amp; Settings'!$B$14)*20)),""))</f>
        <v/>
      </c>
      <c r="AA45" s="37" t="str">
        <f>IF(COUNTA(G45:P45)=0,"",ROUND(Q45*'Input &amp; Settings'!$C$5+R45*'Input &amp; Settings'!$C$6+S45*'Input &amp; Settings'!$C$7+T45*'Input &amp; Settings'!$C$8+U45*'Input &amp; Settings'!$C$9+V45*'Input &amp; Settings'!$C$10+W45*'Input &amp; Settings'!$C$11+X45*'Input &amp; Settings'!$C$12+Y45*'Input &amp; Settings'!$C$13+Z45*'Input &amp; Settings'!$C$14,1))</f>
        <v/>
      </c>
      <c r="AB45" s="38" t="str">
        <f>IF(OR(AA45="",E45=""),"",IFERROR(IF(AA45&gt;=VLOOKUP(E45,'Input &amp; Settings'!$F$5:$K$10,3,FALSE),"Outstanding",IF(AA45&gt;=VLOOKUP(E45,'Input &amp; Settings'!$F$5:$K$10,4,FALSE),"Exceeds Expectations",IF(AA45&gt;=VLOOKUP(E45,'Input &amp; Settings'!$F$5:$K$10,5,FALSE),"Meets Expectations",IF(AA45&gt;=VLOOKUP(E45,'Input &amp; Settings'!$F$5:$K$10,6,FALSE),"Needs Improvement","Performance Improvement Required")))),""))</f>
        <v/>
      </c>
      <c r="AC45" s="38" t="str">
        <f t="shared" si="0"/>
        <v/>
      </c>
      <c r="AD45" s="39"/>
      <c r="AE45" s="40"/>
      <c r="AF45" s="41" t="str">
        <f t="shared" si="1"/>
        <v/>
      </c>
      <c r="AG45" s="42" t="str">
        <f t="shared" si="2"/>
        <v/>
      </c>
      <c r="AH45" s="42" t="str">
        <f t="shared" si="3"/>
        <v>Carly Huber|February</v>
      </c>
    </row>
    <row r="46" spans="1:34" hidden="1">
      <c r="A46" s="32">
        <v>2026</v>
      </c>
      <c r="B46" s="32" t="s">
        <v>81</v>
      </c>
      <c r="C46" s="32" t="s">
        <v>36</v>
      </c>
      <c r="D46" s="32" t="s">
        <v>38</v>
      </c>
      <c r="E46" s="33"/>
      <c r="F46" s="34" t="str">
        <f>IF(E46="","",IFERROR(VLOOKUP(E46,'Input &amp; Settings'!$F$5:$G$10,2,FALSE),""))</f>
        <v/>
      </c>
      <c r="G46" s="33"/>
      <c r="H46" s="33"/>
      <c r="I46" s="35"/>
      <c r="J46" s="33"/>
      <c r="K46" s="36"/>
      <c r="L46" s="35"/>
      <c r="M46" s="33"/>
      <c r="N46" s="33"/>
      <c r="O46" s="33"/>
      <c r="P46" s="33"/>
      <c r="Q46" s="37" t="str">
        <f>IF(G46="","",IFERROR(MIN(100,G46/'Input &amp; Settings'!$B$5*100),""))</f>
        <v/>
      </c>
      <c r="R46" s="37" t="str">
        <f>IF(H46="","",IFERROR(MIN(100,H46/'Input &amp; Settings'!$B$6*100),""))</f>
        <v/>
      </c>
      <c r="S46" s="37" t="str">
        <f>IF(I46="","",IFERROR(MIN(100,I46/'Input &amp; Settings'!$B$7*100),""))</f>
        <v/>
      </c>
      <c r="T46" s="37" t="str">
        <f>IF(J46="","",IFERROR(MIN(100,J46/'Input &amp; Settings'!$B$8*100),""))</f>
        <v/>
      </c>
      <c r="U46" s="37" t="str">
        <f>IF(K46="","",IFERROR(MIN(100,K46/'Input &amp; Settings'!$B$9*100),""))</f>
        <v/>
      </c>
      <c r="V46" s="37" t="str">
        <f>IF(L46="","",IFERROR(MIN(100,L46/'Input &amp; Settings'!$B$10*100),""))</f>
        <v/>
      </c>
      <c r="W46" s="37" t="str">
        <f>IF(M46="","",IFERROR(IF(M46&lt;='Input &amp; Settings'!$B$11,100,MAX(0,100-(M46-'Input &amp; Settings'!$B$11)*20)),""))</f>
        <v/>
      </c>
      <c r="X46" s="37" t="str">
        <f>IF(N46="","",IFERROR(MIN(100,N46/'Input &amp; Settings'!$B$12*100),""))</f>
        <v/>
      </c>
      <c r="Y46" s="37" t="str">
        <f>IF(O46="","",IFERROR(MIN(100,O46/'Input &amp; Settings'!$B$13*100),""))</f>
        <v/>
      </c>
      <c r="Z46" s="37" t="str">
        <f>IF(P46="","",IFERROR(IF(P46&lt;='Input &amp; Settings'!$B$14,100,MAX(0,100-(P46-'Input &amp; Settings'!$B$14)*20)),""))</f>
        <v/>
      </c>
      <c r="AA46" s="37" t="str">
        <f>IF(COUNTA(G46:P46)=0,"",ROUND(Q46*'Input &amp; Settings'!$C$5+R46*'Input &amp; Settings'!$C$6+S46*'Input &amp; Settings'!$C$7+T46*'Input &amp; Settings'!$C$8+U46*'Input &amp; Settings'!$C$9+V46*'Input &amp; Settings'!$C$10+W46*'Input &amp; Settings'!$C$11+X46*'Input &amp; Settings'!$C$12+Y46*'Input &amp; Settings'!$C$13+Z46*'Input &amp; Settings'!$C$14,1))</f>
        <v/>
      </c>
      <c r="AB46" s="38" t="str">
        <f>IF(OR(AA46="",E46=""),"",IFERROR(IF(AA46&gt;=VLOOKUP(E46,'Input &amp; Settings'!$F$5:$K$10,3,FALSE),"Outstanding",IF(AA46&gt;=VLOOKUP(E46,'Input &amp; Settings'!$F$5:$K$10,4,FALSE),"Exceeds Expectations",IF(AA46&gt;=VLOOKUP(E46,'Input &amp; Settings'!$F$5:$K$10,5,FALSE),"Meets Expectations",IF(AA46&gt;=VLOOKUP(E46,'Input &amp; Settings'!$F$5:$K$10,6,FALSE),"Needs Improvement","Performance Improvement Required")))),""))</f>
        <v/>
      </c>
      <c r="AC46" s="38" t="str">
        <f t="shared" si="0"/>
        <v/>
      </c>
      <c r="AD46" s="39"/>
      <c r="AE46" s="40"/>
      <c r="AF46" s="41" t="str">
        <f t="shared" si="1"/>
        <v/>
      </c>
      <c r="AG46" s="42" t="str">
        <f t="shared" si="2"/>
        <v/>
      </c>
      <c r="AH46" s="42" t="str">
        <f t="shared" si="3"/>
        <v>Julian Grier|February</v>
      </c>
    </row>
    <row r="47" spans="1:34" hidden="1">
      <c r="A47" s="32">
        <v>2026</v>
      </c>
      <c r="B47" s="32" t="s">
        <v>81</v>
      </c>
      <c r="C47" s="32" t="s">
        <v>36</v>
      </c>
      <c r="D47" s="32" t="s">
        <v>39</v>
      </c>
      <c r="E47" s="33"/>
      <c r="F47" s="34" t="str">
        <f>IF(E47="","",IFERROR(VLOOKUP(E47,'Input &amp; Settings'!$F$5:$G$10,2,FALSE),""))</f>
        <v/>
      </c>
      <c r="G47" s="33"/>
      <c r="H47" s="33"/>
      <c r="I47" s="35"/>
      <c r="J47" s="33"/>
      <c r="K47" s="36"/>
      <c r="L47" s="35"/>
      <c r="M47" s="33"/>
      <c r="N47" s="33"/>
      <c r="O47" s="33"/>
      <c r="P47" s="33"/>
      <c r="Q47" s="37" t="str">
        <f>IF(G47="","",IFERROR(MIN(100,G47/'Input &amp; Settings'!$B$5*100),""))</f>
        <v/>
      </c>
      <c r="R47" s="37" t="str">
        <f>IF(H47="","",IFERROR(MIN(100,H47/'Input &amp; Settings'!$B$6*100),""))</f>
        <v/>
      </c>
      <c r="S47" s="37" t="str">
        <f>IF(I47="","",IFERROR(MIN(100,I47/'Input &amp; Settings'!$B$7*100),""))</f>
        <v/>
      </c>
      <c r="T47" s="37" t="str">
        <f>IF(J47="","",IFERROR(MIN(100,J47/'Input &amp; Settings'!$B$8*100),""))</f>
        <v/>
      </c>
      <c r="U47" s="37" t="str">
        <f>IF(K47="","",IFERROR(MIN(100,K47/'Input &amp; Settings'!$B$9*100),""))</f>
        <v/>
      </c>
      <c r="V47" s="37" t="str">
        <f>IF(L47="","",IFERROR(MIN(100,L47/'Input &amp; Settings'!$B$10*100),""))</f>
        <v/>
      </c>
      <c r="W47" s="37" t="str">
        <f>IF(M47="","",IFERROR(IF(M47&lt;='Input &amp; Settings'!$B$11,100,MAX(0,100-(M47-'Input &amp; Settings'!$B$11)*20)),""))</f>
        <v/>
      </c>
      <c r="X47" s="37" t="str">
        <f>IF(N47="","",IFERROR(MIN(100,N47/'Input &amp; Settings'!$B$12*100),""))</f>
        <v/>
      </c>
      <c r="Y47" s="37" t="str">
        <f>IF(O47="","",IFERROR(MIN(100,O47/'Input &amp; Settings'!$B$13*100),""))</f>
        <v/>
      </c>
      <c r="Z47" s="37" t="str">
        <f>IF(P47="","",IFERROR(IF(P47&lt;='Input &amp; Settings'!$B$14,100,MAX(0,100-(P47-'Input &amp; Settings'!$B$14)*20)),""))</f>
        <v/>
      </c>
      <c r="AA47" s="37" t="str">
        <f>IF(COUNTA(G47:P47)=0,"",ROUND(Q47*'Input &amp; Settings'!$C$5+R47*'Input &amp; Settings'!$C$6+S47*'Input &amp; Settings'!$C$7+T47*'Input &amp; Settings'!$C$8+U47*'Input &amp; Settings'!$C$9+V47*'Input &amp; Settings'!$C$10+W47*'Input &amp; Settings'!$C$11+X47*'Input &amp; Settings'!$C$12+Y47*'Input &amp; Settings'!$C$13+Z47*'Input &amp; Settings'!$C$14,1))</f>
        <v/>
      </c>
      <c r="AB47" s="38" t="str">
        <f>IF(OR(AA47="",E47=""),"",IFERROR(IF(AA47&gt;=VLOOKUP(E47,'Input &amp; Settings'!$F$5:$K$10,3,FALSE),"Outstanding",IF(AA47&gt;=VLOOKUP(E47,'Input &amp; Settings'!$F$5:$K$10,4,FALSE),"Exceeds Expectations",IF(AA47&gt;=VLOOKUP(E47,'Input &amp; Settings'!$F$5:$K$10,5,FALSE),"Meets Expectations",IF(AA47&gt;=VLOOKUP(E47,'Input &amp; Settings'!$F$5:$K$10,6,FALSE),"Needs Improvement","Performance Improvement Required")))),""))</f>
        <v/>
      </c>
      <c r="AC47" s="38" t="str">
        <f t="shared" si="0"/>
        <v/>
      </c>
      <c r="AD47" s="39"/>
      <c r="AE47" s="40"/>
      <c r="AF47" s="41" t="str">
        <f t="shared" si="1"/>
        <v/>
      </c>
      <c r="AG47" s="42" t="str">
        <f t="shared" si="2"/>
        <v/>
      </c>
      <c r="AH47" s="42" t="str">
        <f t="shared" si="3"/>
        <v>Jorge Lopez|February</v>
      </c>
    </row>
    <row r="48" spans="1:34" hidden="1">
      <c r="A48" s="32">
        <v>2026</v>
      </c>
      <c r="B48" s="32" t="s">
        <v>81</v>
      </c>
      <c r="C48" s="32" t="s">
        <v>36</v>
      </c>
      <c r="D48" s="32" t="s">
        <v>40</v>
      </c>
      <c r="E48" s="33"/>
      <c r="F48" s="34" t="str">
        <f>IF(E48="","",IFERROR(VLOOKUP(E48,'Input &amp; Settings'!$F$5:$G$10,2,FALSE),""))</f>
        <v/>
      </c>
      <c r="G48" s="33"/>
      <c r="H48" s="33"/>
      <c r="I48" s="35"/>
      <c r="J48" s="33"/>
      <c r="K48" s="36"/>
      <c r="L48" s="35"/>
      <c r="M48" s="33"/>
      <c r="N48" s="33"/>
      <c r="O48" s="33"/>
      <c r="P48" s="33"/>
      <c r="Q48" s="37" t="str">
        <f>IF(G48="","",IFERROR(MIN(100,G48/'Input &amp; Settings'!$B$5*100),""))</f>
        <v/>
      </c>
      <c r="R48" s="37" t="str">
        <f>IF(H48="","",IFERROR(MIN(100,H48/'Input &amp; Settings'!$B$6*100),""))</f>
        <v/>
      </c>
      <c r="S48" s="37" t="str">
        <f>IF(I48="","",IFERROR(MIN(100,I48/'Input &amp; Settings'!$B$7*100),""))</f>
        <v/>
      </c>
      <c r="T48" s="37" t="str">
        <f>IF(J48="","",IFERROR(MIN(100,J48/'Input &amp; Settings'!$B$8*100),""))</f>
        <v/>
      </c>
      <c r="U48" s="37" t="str">
        <f>IF(K48="","",IFERROR(MIN(100,K48/'Input &amp; Settings'!$B$9*100),""))</f>
        <v/>
      </c>
      <c r="V48" s="37" t="str">
        <f>IF(L48="","",IFERROR(MIN(100,L48/'Input &amp; Settings'!$B$10*100),""))</f>
        <v/>
      </c>
      <c r="W48" s="37" t="str">
        <f>IF(M48="","",IFERROR(IF(M48&lt;='Input &amp; Settings'!$B$11,100,MAX(0,100-(M48-'Input &amp; Settings'!$B$11)*20)),""))</f>
        <v/>
      </c>
      <c r="X48" s="37" t="str">
        <f>IF(N48="","",IFERROR(MIN(100,N48/'Input &amp; Settings'!$B$12*100),""))</f>
        <v/>
      </c>
      <c r="Y48" s="37" t="str">
        <f>IF(O48="","",IFERROR(MIN(100,O48/'Input &amp; Settings'!$B$13*100),""))</f>
        <v/>
      </c>
      <c r="Z48" s="37" t="str">
        <f>IF(P48="","",IFERROR(IF(P48&lt;='Input &amp; Settings'!$B$14,100,MAX(0,100-(P48-'Input &amp; Settings'!$B$14)*20)),""))</f>
        <v/>
      </c>
      <c r="AA48" s="37" t="str">
        <f>IF(COUNTA(G48:P48)=0,"",ROUND(Q48*'Input &amp; Settings'!$C$5+R48*'Input &amp; Settings'!$C$6+S48*'Input &amp; Settings'!$C$7+T48*'Input &amp; Settings'!$C$8+U48*'Input &amp; Settings'!$C$9+V48*'Input &amp; Settings'!$C$10+W48*'Input &amp; Settings'!$C$11+X48*'Input &amp; Settings'!$C$12+Y48*'Input &amp; Settings'!$C$13+Z48*'Input &amp; Settings'!$C$14,1))</f>
        <v/>
      </c>
      <c r="AB48" s="38" t="str">
        <f>IF(OR(AA48="",E48=""),"",IFERROR(IF(AA48&gt;=VLOOKUP(E48,'Input &amp; Settings'!$F$5:$K$10,3,FALSE),"Outstanding",IF(AA48&gt;=VLOOKUP(E48,'Input &amp; Settings'!$F$5:$K$10,4,FALSE),"Exceeds Expectations",IF(AA48&gt;=VLOOKUP(E48,'Input &amp; Settings'!$F$5:$K$10,5,FALSE),"Meets Expectations",IF(AA48&gt;=VLOOKUP(E48,'Input &amp; Settings'!$F$5:$K$10,6,FALSE),"Needs Improvement","Performance Improvement Required")))),""))</f>
        <v/>
      </c>
      <c r="AC48" s="38" t="str">
        <f t="shared" si="0"/>
        <v/>
      </c>
      <c r="AD48" s="39"/>
      <c r="AE48" s="40"/>
      <c r="AF48" s="41" t="str">
        <f t="shared" si="1"/>
        <v/>
      </c>
      <c r="AG48" s="42" t="str">
        <f t="shared" si="2"/>
        <v/>
      </c>
      <c r="AH48" s="42" t="str">
        <f t="shared" si="3"/>
        <v>Juan Pablo Pique Buil (JP)|February</v>
      </c>
    </row>
    <row r="49" spans="1:34" hidden="1">
      <c r="A49" s="32">
        <v>2026</v>
      </c>
      <c r="B49" s="32" t="s">
        <v>81</v>
      </c>
      <c r="C49" s="32" t="s">
        <v>36</v>
      </c>
      <c r="D49" s="32" t="s">
        <v>41</v>
      </c>
      <c r="E49" s="33"/>
      <c r="F49" s="34" t="str">
        <f>IF(E49="","",IFERROR(VLOOKUP(E49,'Input &amp; Settings'!$F$5:$G$10,2,FALSE),""))</f>
        <v/>
      </c>
      <c r="G49" s="33"/>
      <c r="H49" s="33"/>
      <c r="I49" s="35"/>
      <c r="J49" s="33"/>
      <c r="K49" s="36"/>
      <c r="L49" s="35"/>
      <c r="M49" s="33"/>
      <c r="N49" s="33"/>
      <c r="O49" s="33"/>
      <c r="P49" s="33"/>
      <c r="Q49" s="37" t="str">
        <f>IF(G49="","",IFERROR(MIN(100,G49/'Input &amp; Settings'!$B$5*100),""))</f>
        <v/>
      </c>
      <c r="R49" s="37" t="str">
        <f>IF(H49="","",IFERROR(MIN(100,H49/'Input &amp; Settings'!$B$6*100),""))</f>
        <v/>
      </c>
      <c r="S49" s="37" t="str">
        <f>IF(I49="","",IFERROR(MIN(100,I49/'Input &amp; Settings'!$B$7*100),""))</f>
        <v/>
      </c>
      <c r="T49" s="37" t="str">
        <f>IF(J49="","",IFERROR(MIN(100,J49/'Input &amp; Settings'!$B$8*100),""))</f>
        <v/>
      </c>
      <c r="U49" s="37" t="str">
        <f>IF(K49="","",IFERROR(MIN(100,K49/'Input &amp; Settings'!$B$9*100),""))</f>
        <v/>
      </c>
      <c r="V49" s="37" t="str">
        <f>IF(L49="","",IFERROR(MIN(100,L49/'Input &amp; Settings'!$B$10*100),""))</f>
        <v/>
      </c>
      <c r="W49" s="37" t="str">
        <f>IF(M49="","",IFERROR(IF(M49&lt;='Input &amp; Settings'!$B$11,100,MAX(0,100-(M49-'Input &amp; Settings'!$B$11)*20)),""))</f>
        <v/>
      </c>
      <c r="X49" s="37" t="str">
        <f>IF(N49="","",IFERROR(MIN(100,N49/'Input &amp; Settings'!$B$12*100),""))</f>
        <v/>
      </c>
      <c r="Y49" s="37" t="str">
        <f>IF(O49="","",IFERROR(MIN(100,O49/'Input &amp; Settings'!$B$13*100),""))</f>
        <v/>
      </c>
      <c r="Z49" s="37" t="str">
        <f>IF(P49="","",IFERROR(IF(P49&lt;='Input &amp; Settings'!$B$14,100,MAX(0,100-(P49-'Input &amp; Settings'!$B$14)*20)),""))</f>
        <v/>
      </c>
      <c r="AA49" s="37" t="str">
        <f>IF(COUNTA(G49:P49)=0,"",ROUND(Q49*'Input &amp; Settings'!$C$5+R49*'Input &amp; Settings'!$C$6+S49*'Input &amp; Settings'!$C$7+T49*'Input &amp; Settings'!$C$8+U49*'Input &amp; Settings'!$C$9+V49*'Input &amp; Settings'!$C$10+W49*'Input &amp; Settings'!$C$11+X49*'Input &amp; Settings'!$C$12+Y49*'Input &amp; Settings'!$C$13+Z49*'Input &amp; Settings'!$C$14,1))</f>
        <v/>
      </c>
      <c r="AB49" s="38" t="str">
        <f>IF(OR(AA49="",E49=""),"",IFERROR(IF(AA49&gt;=VLOOKUP(E49,'Input &amp; Settings'!$F$5:$K$10,3,FALSE),"Outstanding",IF(AA49&gt;=VLOOKUP(E49,'Input &amp; Settings'!$F$5:$K$10,4,FALSE),"Exceeds Expectations",IF(AA49&gt;=VLOOKUP(E49,'Input &amp; Settings'!$F$5:$K$10,5,FALSE),"Meets Expectations",IF(AA49&gt;=VLOOKUP(E49,'Input &amp; Settings'!$F$5:$K$10,6,FALSE),"Needs Improvement","Performance Improvement Required")))),""))</f>
        <v/>
      </c>
      <c r="AC49" s="38" t="str">
        <f t="shared" si="0"/>
        <v/>
      </c>
      <c r="AD49" s="39"/>
      <c r="AE49" s="40"/>
      <c r="AF49" s="41" t="str">
        <f t="shared" si="1"/>
        <v/>
      </c>
      <c r="AG49" s="42" t="str">
        <f t="shared" si="2"/>
        <v/>
      </c>
      <c r="AH49" s="42" t="str">
        <f t="shared" si="3"/>
        <v>Peter Gonzalez|February</v>
      </c>
    </row>
    <row r="50" spans="1:34" hidden="1">
      <c r="A50" s="32">
        <v>2026</v>
      </c>
      <c r="B50" s="32" t="s">
        <v>81</v>
      </c>
      <c r="C50" s="32" t="s">
        <v>36</v>
      </c>
      <c r="D50" s="32" t="s">
        <v>42</v>
      </c>
      <c r="E50" s="33"/>
      <c r="F50" s="34" t="str">
        <f>IF(E50="","",IFERROR(VLOOKUP(E50,'Input &amp; Settings'!$F$5:$G$10,2,FALSE),""))</f>
        <v/>
      </c>
      <c r="G50" s="33"/>
      <c r="H50" s="33"/>
      <c r="I50" s="35"/>
      <c r="J50" s="33"/>
      <c r="K50" s="36"/>
      <c r="L50" s="35"/>
      <c r="M50" s="33"/>
      <c r="N50" s="33"/>
      <c r="O50" s="33"/>
      <c r="P50" s="33"/>
      <c r="Q50" s="37" t="str">
        <f>IF(G50="","",IFERROR(MIN(100,G50/'Input &amp; Settings'!$B$5*100),""))</f>
        <v/>
      </c>
      <c r="R50" s="37" t="str">
        <f>IF(H50="","",IFERROR(MIN(100,H50/'Input &amp; Settings'!$B$6*100),""))</f>
        <v/>
      </c>
      <c r="S50" s="37" t="str">
        <f>IF(I50="","",IFERROR(MIN(100,I50/'Input &amp; Settings'!$B$7*100),""))</f>
        <v/>
      </c>
      <c r="T50" s="37" t="str">
        <f>IF(J50="","",IFERROR(MIN(100,J50/'Input &amp; Settings'!$B$8*100),""))</f>
        <v/>
      </c>
      <c r="U50" s="37" t="str">
        <f>IF(K50="","",IFERROR(MIN(100,K50/'Input &amp; Settings'!$B$9*100),""))</f>
        <v/>
      </c>
      <c r="V50" s="37" t="str">
        <f>IF(L50="","",IFERROR(MIN(100,L50/'Input &amp; Settings'!$B$10*100),""))</f>
        <v/>
      </c>
      <c r="W50" s="37" t="str">
        <f>IF(M50="","",IFERROR(IF(M50&lt;='Input &amp; Settings'!$B$11,100,MAX(0,100-(M50-'Input &amp; Settings'!$B$11)*20)),""))</f>
        <v/>
      </c>
      <c r="X50" s="37" t="str">
        <f>IF(N50="","",IFERROR(MIN(100,N50/'Input &amp; Settings'!$B$12*100),""))</f>
        <v/>
      </c>
      <c r="Y50" s="37" t="str">
        <f>IF(O50="","",IFERROR(MIN(100,O50/'Input &amp; Settings'!$B$13*100),""))</f>
        <v/>
      </c>
      <c r="Z50" s="37" t="str">
        <f>IF(P50="","",IFERROR(IF(P50&lt;='Input &amp; Settings'!$B$14,100,MAX(0,100-(P50-'Input &amp; Settings'!$B$14)*20)),""))</f>
        <v/>
      </c>
      <c r="AA50" s="37" t="str">
        <f>IF(COUNTA(G50:P50)=0,"",ROUND(Q50*'Input &amp; Settings'!$C$5+R50*'Input &amp; Settings'!$C$6+S50*'Input &amp; Settings'!$C$7+T50*'Input &amp; Settings'!$C$8+U50*'Input &amp; Settings'!$C$9+V50*'Input &amp; Settings'!$C$10+W50*'Input &amp; Settings'!$C$11+X50*'Input &amp; Settings'!$C$12+Y50*'Input &amp; Settings'!$C$13+Z50*'Input &amp; Settings'!$C$14,1))</f>
        <v/>
      </c>
      <c r="AB50" s="38" t="str">
        <f>IF(OR(AA50="",E50=""),"",IFERROR(IF(AA50&gt;=VLOOKUP(E50,'Input &amp; Settings'!$F$5:$K$10,3,FALSE),"Outstanding",IF(AA50&gt;=VLOOKUP(E50,'Input &amp; Settings'!$F$5:$K$10,4,FALSE),"Exceeds Expectations",IF(AA50&gt;=VLOOKUP(E50,'Input &amp; Settings'!$F$5:$K$10,5,FALSE),"Meets Expectations",IF(AA50&gt;=VLOOKUP(E50,'Input &amp; Settings'!$F$5:$K$10,6,FALSE),"Needs Improvement","Performance Improvement Required")))),""))</f>
        <v/>
      </c>
      <c r="AC50" s="38" t="str">
        <f t="shared" si="0"/>
        <v/>
      </c>
      <c r="AD50" s="39"/>
      <c r="AE50" s="40"/>
      <c r="AF50" s="41" t="str">
        <f t="shared" si="1"/>
        <v/>
      </c>
      <c r="AG50" s="42" t="str">
        <f t="shared" si="2"/>
        <v/>
      </c>
      <c r="AH50" s="42" t="str">
        <f t="shared" si="3"/>
        <v>Dennis Hartling|February</v>
      </c>
    </row>
    <row r="51" spans="1:34" hidden="1">
      <c r="A51" s="32">
        <v>2026</v>
      </c>
      <c r="B51" s="32" t="s">
        <v>81</v>
      </c>
      <c r="C51" s="32" t="s">
        <v>36</v>
      </c>
      <c r="D51" s="32" t="s">
        <v>43</v>
      </c>
      <c r="E51" s="33"/>
      <c r="F51" s="34" t="str">
        <f>IF(E51="","",IFERROR(VLOOKUP(E51,'Input &amp; Settings'!$F$5:$G$10,2,FALSE),""))</f>
        <v/>
      </c>
      <c r="G51" s="33"/>
      <c r="H51" s="33"/>
      <c r="I51" s="35"/>
      <c r="J51" s="33"/>
      <c r="K51" s="36"/>
      <c r="L51" s="35"/>
      <c r="M51" s="33"/>
      <c r="N51" s="33"/>
      <c r="O51" s="33"/>
      <c r="P51" s="33"/>
      <c r="Q51" s="37" t="str">
        <f>IF(G51="","",IFERROR(MIN(100,G51/'Input &amp; Settings'!$B$5*100),""))</f>
        <v/>
      </c>
      <c r="R51" s="37" t="str">
        <f>IF(H51="","",IFERROR(MIN(100,H51/'Input &amp; Settings'!$B$6*100),""))</f>
        <v/>
      </c>
      <c r="S51" s="37" t="str">
        <f>IF(I51="","",IFERROR(MIN(100,I51/'Input &amp; Settings'!$B$7*100),""))</f>
        <v/>
      </c>
      <c r="T51" s="37" t="str">
        <f>IF(J51="","",IFERROR(MIN(100,J51/'Input &amp; Settings'!$B$8*100),""))</f>
        <v/>
      </c>
      <c r="U51" s="37" t="str">
        <f>IF(K51="","",IFERROR(MIN(100,K51/'Input &amp; Settings'!$B$9*100),""))</f>
        <v/>
      </c>
      <c r="V51" s="37" t="str">
        <f>IF(L51="","",IFERROR(MIN(100,L51/'Input &amp; Settings'!$B$10*100),""))</f>
        <v/>
      </c>
      <c r="W51" s="37" t="str">
        <f>IF(M51="","",IFERROR(IF(M51&lt;='Input &amp; Settings'!$B$11,100,MAX(0,100-(M51-'Input &amp; Settings'!$B$11)*20)),""))</f>
        <v/>
      </c>
      <c r="X51" s="37" t="str">
        <f>IF(N51="","",IFERROR(MIN(100,N51/'Input &amp; Settings'!$B$12*100),""))</f>
        <v/>
      </c>
      <c r="Y51" s="37" t="str">
        <f>IF(O51="","",IFERROR(MIN(100,O51/'Input &amp; Settings'!$B$13*100),""))</f>
        <v/>
      </c>
      <c r="Z51" s="37" t="str">
        <f>IF(P51="","",IFERROR(IF(P51&lt;='Input &amp; Settings'!$B$14,100,MAX(0,100-(P51-'Input &amp; Settings'!$B$14)*20)),""))</f>
        <v/>
      </c>
      <c r="AA51" s="37" t="str">
        <f>IF(COUNTA(G51:P51)=0,"",ROUND(Q51*'Input &amp; Settings'!$C$5+R51*'Input &amp; Settings'!$C$6+S51*'Input &amp; Settings'!$C$7+T51*'Input &amp; Settings'!$C$8+U51*'Input &amp; Settings'!$C$9+V51*'Input &amp; Settings'!$C$10+W51*'Input &amp; Settings'!$C$11+X51*'Input &amp; Settings'!$C$12+Y51*'Input &amp; Settings'!$C$13+Z51*'Input &amp; Settings'!$C$14,1))</f>
        <v/>
      </c>
      <c r="AB51" s="38" t="str">
        <f>IF(OR(AA51="",E51=""),"",IFERROR(IF(AA51&gt;=VLOOKUP(E51,'Input &amp; Settings'!$F$5:$K$10,3,FALSE),"Outstanding",IF(AA51&gt;=VLOOKUP(E51,'Input &amp; Settings'!$F$5:$K$10,4,FALSE),"Exceeds Expectations",IF(AA51&gt;=VLOOKUP(E51,'Input &amp; Settings'!$F$5:$K$10,5,FALSE),"Meets Expectations",IF(AA51&gt;=VLOOKUP(E51,'Input &amp; Settings'!$F$5:$K$10,6,FALSE),"Needs Improvement","Performance Improvement Required")))),""))</f>
        <v/>
      </c>
      <c r="AC51" s="38" t="str">
        <f t="shared" si="0"/>
        <v/>
      </c>
      <c r="AD51" s="39"/>
      <c r="AE51" s="40"/>
      <c r="AF51" s="41" t="str">
        <f t="shared" si="1"/>
        <v/>
      </c>
      <c r="AG51" s="42" t="str">
        <f t="shared" si="2"/>
        <v/>
      </c>
      <c r="AH51" s="42" t="str">
        <f t="shared" si="3"/>
        <v>Gilbert Eugene|February</v>
      </c>
    </row>
    <row r="52" spans="1:34" hidden="1">
      <c r="A52" s="32">
        <v>2026</v>
      </c>
      <c r="B52" s="32" t="s">
        <v>81</v>
      </c>
      <c r="C52" s="32" t="s">
        <v>36</v>
      </c>
      <c r="D52" s="32" t="s">
        <v>44</v>
      </c>
      <c r="E52" s="33"/>
      <c r="F52" s="34" t="str">
        <f>IF(E52="","",IFERROR(VLOOKUP(E52,'Input &amp; Settings'!$F$5:$G$10,2,FALSE),""))</f>
        <v/>
      </c>
      <c r="G52" s="33"/>
      <c r="H52" s="33"/>
      <c r="I52" s="35"/>
      <c r="J52" s="33"/>
      <c r="K52" s="36"/>
      <c r="L52" s="35"/>
      <c r="M52" s="33"/>
      <c r="N52" s="33"/>
      <c r="O52" s="33"/>
      <c r="P52" s="33"/>
      <c r="Q52" s="37" t="str">
        <f>IF(G52="","",IFERROR(MIN(100,G52/'Input &amp; Settings'!$B$5*100),""))</f>
        <v/>
      </c>
      <c r="R52" s="37" t="str">
        <f>IF(H52="","",IFERROR(MIN(100,H52/'Input &amp; Settings'!$B$6*100),""))</f>
        <v/>
      </c>
      <c r="S52" s="37" t="str">
        <f>IF(I52="","",IFERROR(MIN(100,I52/'Input &amp; Settings'!$B$7*100),""))</f>
        <v/>
      </c>
      <c r="T52" s="37" t="str">
        <f>IF(J52="","",IFERROR(MIN(100,J52/'Input &amp; Settings'!$B$8*100),""))</f>
        <v/>
      </c>
      <c r="U52" s="37" t="str">
        <f>IF(K52="","",IFERROR(MIN(100,K52/'Input &amp; Settings'!$B$9*100),""))</f>
        <v/>
      </c>
      <c r="V52" s="37" t="str">
        <f>IF(L52="","",IFERROR(MIN(100,L52/'Input &amp; Settings'!$B$10*100),""))</f>
        <v/>
      </c>
      <c r="W52" s="37" t="str">
        <f>IF(M52="","",IFERROR(IF(M52&lt;='Input &amp; Settings'!$B$11,100,MAX(0,100-(M52-'Input &amp; Settings'!$B$11)*20)),""))</f>
        <v/>
      </c>
      <c r="X52" s="37" t="str">
        <f>IF(N52="","",IFERROR(MIN(100,N52/'Input &amp; Settings'!$B$12*100),""))</f>
        <v/>
      </c>
      <c r="Y52" s="37" t="str">
        <f>IF(O52="","",IFERROR(MIN(100,O52/'Input &amp; Settings'!$B$13*100),""))</f>
        <v/>
      </c>
      <c r="Z52" s="37" t="str">
        <f>IF(P52="","",IFERROR(IF(P52&lt;='Input &amp; Settings'!$B$14,100,MAX(0,100-(P52-'Input &amp; Settings'!$B$14)*20)),""))</f>
        <v/>
      </c>
      <c r="AA52" s="37" t="str">
        <f>IF(COUNTA(G52:P52)=0,"",ROUND(Q52*'Input &amp; Settings'!$C$5+R52*'Input &amp; Settings'!$C$6+S52*'Input &amp; Settings'!$C$7+T52*'Input &amp; Settings'!$C$8+U52*'Input &amp; Settings'!$C$9+V52*'Input &amp; Settings'!$C$10+W52*'Input &amp; Settings'!$C$11+X52*'Input &amp; Settings'!$C$12+Y52*'Input &amp; Settings'!$C$13+Z52*'Input &amp; Settings'!$C$14,1))</f>
        <v/>
      </c>
      <c r="AB52" s="38" t="str">
        <f>IF(OR(AA52="",E52=""),"",IFERROR(IF(AA52&gt;=VLOOKUP(E52,'Input &amp; Settings'!$F$5:$K$10,3,FALSE),"Outstanding",IF(AA52&gt;=VLOOKUP(E52,'Input &amp; Settings'!$F$5:$K$10,4,FALSE),"Exceeds Expectations",IF(AA52&gt;=VLOOKUP(E52,'Input &amp; Settings'!$F$5:$K$10,5,FALSE),"Meets Expectations",IF(AA52&gt;=VLOOKUP(E52,'Input &amp; Settings'!$F$5:$K$10,6,FALSE),"Needs Improvement","Performance Improvement Required")))),""))</f>
        <v/>
      </c>
      <c r="AC52" s="38" t="str">
        <f t="shared" si="0"/>
        <v/>
      </c>
      <c r="AD52" s="39"/>
      <c r="AE52" s="40"/>
      <c r="AF52" s="41" t="str">
        <f t="shared" si="1"/>
        <v/>
      </c>
      <c r="AG52" s="42" t="str">
        <f t="shared" si="2"/>
        <v/>
      </c>
      <c r="AH52" s="42" t="str">
        <f t="shared" si="3"/>
        <v>Cory Colstock|February</v>
      </c>
    </row>
    <row r="53" spans="1:34" hidden="1">
      <c r="A53" s="32">
        <v>2026</v>
      </c>
      <c r="B53" s="32" t="s">
        <v>81</v>
      </c>
      <c r="C53" s="32" t="s">
        <v>36</v>
      </c>
      <c r="D53" s="32" t="s">
        <v>45</v>
      </c>
      <c r="E53" s="33"/>
      <c r="F53" s="34" t="str">
        <f>IF(E53="","",IFERROR(VLOOKUP(E53,'Input &amp; Settings'!$F$5:$G$10,2,FALSE),""))</f>
        <v/>
      </c>
      <c r="G53" s="33"/>
      <c r="H53" s="33"/>
      <c r="I53" s="35"/>
      <c r="J53" s="33"/>
      <c r="K53" s="36"/>
      <c r="L53" s="35"/>
      <c r="M53" s="33"/>
      <c r="N53" s="33"/>
      <c r="O53" s="33"/>
      <c r="P53" s="33"/>
      <c r="Q53" s="37" t="str">
        <f>IF(G53="","",IFERROR(MIN(100,G53/'Input &amp; Settings'!$B$5*100),""))</f>
        <v/>
      </c>
      <c r="R53" s="37" t="str">
        <f>IF(H53="","",IFERROR(MIN(100,H53/'Input &amp; Settings'!$B$6*100),""))</f>
        <v/>
      </c>
      <c r="S53" s="37" t="str">
        <f>IF(I53="","",IFERROR(MIN(100,I53/'Input &amp; Settings'!$B$7*100),""))</f>
        <v/>
      </c>
      <c r="T53" s="37" t="str">
        <f>IF(J53="","",IFERROR(MIN(100,J53/'Input &amp; Settings'!$B$8*100),""))</f>
        <v/>
      </c>
      <c r="U53" s="37" t="str">
        <f>IF(K53="","",IFERROR(MIN(100,K53/'Input &amp; Settings'!$B$9*100),""))</f>
        <v/>
      </c>
      <c r="V53" s="37" t="str">
        <f>IF(L53="","",IFERROR(MIN(100,L53/'Input &amp; Settings'!$B$10*100),""))</f>
        <v/>
      </c>
      <c r="W53" s="37" t="str">
        <f>IF(M53="","",IFERROR(IF(M53&lt;='Input &amp; Settings'!$B$11,100,MAX(0,100-(M53-'Input &amp; Settings'!$B$11)*20)),""))</f>
        <v/>
      </c>
      <c r="X53" s="37" t="str">
        <f>IF(N53="","",IFERROR(MIN(100,N53/'Input &amp; Settings'!$B$12*100),""))</f>
        <v/>
      </c>
      <c r="Y53" s="37" t="str">
        <f>IF(O53="","",IFERROR(MIN(100,O53/'Input &amp; Settings'!$B$13*100),""))</f>
        <v/>
      </c>
      <c r="Z53" s="37" t="str">
        <f>IF(P53="","",IFERROR(IF(P53&lt;='Input &amp; Settings'!$B$14,100,MAX(0,100-(P53-'Input &amp; Settings'!$B$14)*20)),""))</f>
        <v/>
      </c>
      <c r="AA53" s="37" t="str">
        <f>IF(COUNTA(G53:P53)=0,"",ROUND(Q53*'Input &amp; Settings'!$C$5+R53*'Input &amp; Settings'!$C$6+S53*'Input &amp; Settings'!$C$7+T53*'Input &amp; Settings'!$C$8+U53*'Input &amp; Settings'!$C$9+V53*'Input &amp; Settings'!$C$10+W53*'Input &amp; Settings'!$C$11+X53*'Input &amp; Settings'!$C$12+Y53*'Input &amp; Settings'!$C$13+Z53*'Input &amp; Settings'!$C$14,1))</f>
        <v/>
      </c>
      <c r="AB53" s="38" t="str">
        <f>IF(OR(AA53="",E53=""),"",IFERROR(IF(AA53&gt;=VLOOKUP(E53,'Input &amp; Settings'!$F$5:$K$10,3,FALSE),"Outstanding",IF(AA53&gt;=VLOOKUP(E53,'Input &amp; Settings'!$F$5:$K$10,4,FALSE),"Exceeds Expectations",IF(AA53&gt;=VLOOKUP(E53,'Input &amp; Settings'!$F$5:$K$10,5,FALSE),"Meets Expectations",IF(AA53&gt;=VLOOKUP(E53,'Input &amp; Settings'!$F$5:$K$10,6,FALSE),"Needs Improvement","Performance Improvement Required")))),""))</f>
        <v/>
      </c>
      <c r="AC53" s="38" t="str">
        <f t="shared" si="0"/>
        <v/>
      </c>
      <c r="AD53" s="39"/>
      <c r="AE53" s="40"/>
      <c r="AF53" s="41" t="str">
        <f t="shared" si="1"/>
        <v/>
      </c>
      <c r="AG53" s="42" t="str">
        <f t="shared" si="2"/>
        <v/>
      </c>
      <c r="AH53" s="42" t="str">
        <f t="shared" si="3"/>
        <v>Jerald Woodward (Jerry)|February</v>
      </c>
    </row>
    <row r="54" spans="1:34" hidden="1">
      <c r="A54" s="32">
        <v>2026</v>
      </c>
      <c r="B54" s="32" t="s">
        <v>81</v>
      </c>
      <c r="C54" s="32" t="s">
        <v>36</v>
      </c>
      <c r="D54" s="32" t="s">
        <v>46</v>
      </c>
      <c r="E54" s="33"/>
      <c r="F54" s="34" t="str">
        <f>IF(E54="","",IFERROR(VLOOKUP(E54,'Input &amp; Settings'!$F$5:$G$10,2,FALSE),""))</f>
        <v/>
      </c>
      <c r="G54" s="33"/>
      <c r="H54" s="33"/>
      <c r="I54" s="35"/>
      <c r="J54" s="33"/>
      <c r="K54" s="36"/>
      <c r="L54" s="35"/>
      <c r="M54" s="33"/>
      <c r="N54" s="33"/>
      <c r="O54" s="33"/>
      <c r="P54" s="33"/>
      <c r="Q54" s="37" t="str">
        <f>IF(G54="","",IFERROR(MIN(100,G54/'Input &amp; Settings'!$B$5*100),""))</f>
        <v/>
      </c>
      <c r="R54" s="37" t="str">
        <f>IF(H54="","",IFERROR(MIN(100,H54/'Input &amp; Settings'!$B$6*100),""))</f>
        <v/>
      </c>
      <c r="S54" s="37" t="str">
        <f>IF(I54="","",IFERROR(MIN(100,I54/'Input &amp; Settings'!$B$7*100),""))</f>
        <v/>
      </c>
      <c r="T54" s="37" t="str">
        <f>IF(J54="","",IFERROR(MIN(100,J54/'Input &amp; Settings'!$B$8*100),""))</f>
        <v/>
      </c>
      <c r="U54" s="37" t="str">
        <f>IF(K54="","",IFERROR(MIN(100,K54/'Input &amp; Settings'!$B$9*100),""))</f>
        <v/>
      </c>
      <c r="V54" s="37" t="str">
        <f>IF(L54="","",IFERROR(MIN(100,L54/'Input &amp; Settings'!$B$10*100),""))</f>
        <v/>
      </c>
      <c r="W54" s="37" t="str">
        <f>IF(M54="","",IFERROR(IF(M54&lt;='Input &amp; Settings'!$B$11,100,MAX(0,100-(M54-'Input &amp; Settings'!$B$11)*20)),""))</f>
        <v/>
      </c>
      <c r="X54" s="37" t="str">
        <f>IF(N54="","",IFERROR(MIN(100,N54/'Input &amp; Settings'!$B$12*100),""))</f>
        <v/>
      </c>
      <c r="Y54" s="37" t="str">
        <f>IF(O54="","",IFERROR(MIN(100,O54/'Input &amp; Settings'!$B$13*100),""))</f>
        <v/>
      </c>
      <c r="Z54" s="37" t="str">
        <f>IF(P54="","",IFERROR(IF(P54&lt;='Input &amp; Settings'!$B$14,100,MAX(0,100-(P54-'Input &amp; Settings'!$B$14)*20)),""))</f>
        <v/>
      </c>
      <c r="AA54" s="37" t="str">
        <f>IF(COUNTA(G54:P54)=0,"",ROUND(Q54*'Input &amp; Settings'!$C$5+R54*'Input &amp; Settings'!$C$6+S54*'Input &amp; Settings'!$C$7+T54*'Input &amp; Settings'!$C$8+U54*'Input &amp; Settings'!$C$9+V54*'Input &amp; Settings'!$C$10+W54*'Input &amp; Settings'!$C$11+X54*'Input &amp; Settings'!$C$12+Y54*'Input &amp; Settings'!$C$13+Z54*'Input &amp; Settings'!$C$14,1))</f>
        <v/>
      </c>
      <c r="AB54" s="38" t="str">
        <f>IF(OR(AA54="",E54=""),"",IFERROR(IF(AA54&gt;=VLOOKUP(E54,'Input &amp; Settings'!$F$5:$K$10,3,FALSE),"Outstanding",IF(AA54&gt;=VLOOKUP(E54,'Input &amp; Settings'!$F$5:$K$10,4,FALSE),"Exceeds Expectations",IF(AA54&gt;=VLOOKUP(E54,'Input &amp; Settings'!$F$5:$K$10,5,FALSE),"Meets Expectations",IF(AA54&gt;=VLOOKUP(E54,'Input &amp; Settings'!$F$5:$K$10,6,FALSE),"Needs Improvement","Performance Improvement Required")))),""))</f>
        <v/>
      </c>
      <c r="AC54" s="38" t="str">
        <f t="shared" si="0"/>
        <v/>
      </c>
      <c r="AD54" s="39"/>
      <c r="AE54" s="40"/>
      <c r="AF54" s="41" t="str">
        <f t="shared" si="1"/>
        <v/>
      </c>
      <c r="AG54" s="42" t="str">
        <f t="shared" si="2"/>
        <v/>
      </c>
      <c r="AH54" s="42" t="str">
        <f t="shared" si="3"/>
        <v>Alvaro Hernandez|February</v>
      </c>
    </row>
    <row r="55" spans="1:34" hidden="1">
      <c r="A55" s="32">
        <v>2026</v>
      </c>
      <c r="B55" s="32" t="s">
        <v>81</v>
      </c>
      <c r="C55" s="32" t="s">
        <v>36</v>
      </c>
      <c r="D55" s="32" t="s">
        <v>47</v>
      </c>
      <c r="E55" s="33"/>
      <c r="F55" s="34" t="str">
        <f>IF(E55="","",IFERROR(VLOOKUP(E55,'Input &amp; Settings'!$F$5:$G$10,2,FALSE),""))</f>
        <v/>
      </c>
      <c r="G55" s="33"/>
      <c r="H55" s="33"/>
      <c r="I55" s="35"/>
      <c r="J55" s="33"/>
      <c r="K55" s="36"/>
      <c r="L55" s="35"/>
      <c r="M55" s="33"/>
      <c r="N55" s="33"/>
      <c r="O55" s="33"/>
      <c r="P55" s="33"/>
      <c r="Q55" s="37" t="str">
        <f>IF(G55="","",IFERROR(MIN(100,G55/'Input &amp; Settings'!$B$5*100),""))</f>
        <v/>
      </c>
      <c r="R55" s="37" t="str">
        <f>IF(H55="","",IFERROR(MIN(100,H55/'Input &amp; Settings'!$B$6*100),""))</f>
        <v/>
      </c>
      <c r="S55" s="37" t="str">
        <f>IF(I55="","",IFERROR(MIN(100,I55/'Input &amp; Settings'!$B$7*100),""))</f>
        <v/>
      </c>
      <c r="T55" s="37" t="str">
        <f>IF(J55="","",IFERROR(MIN(100,J55/'Input &amp; Settings'!$B$8*100),""))</f>
        <v/>
      </c>
      <c r="U55" s="37" t="str">
        <f>IF(K55="","",IFERROR(MIN(100,K55/'Input &amp; Settings'!$B$9*100),""))</f>
        <v/>
      </c>
      <c r="V55" s="37" t="str">
        <f>IF(L55="","",IFERROR(MIN(100,L55/'Input &amp; Settings'!$B$10*100),""))</f>
        <v/>
      </c>
      <c r="W55" s="37" t="str">
        <f>IF(M55="","",IFERROR(IF(M55&lt;='Input &amp; Settings'!$B$11,100,MAX(0,100-(M55-'Input &amp; Settings'!$B$11)*20)),""))</f>
        <v/>
      </c>
      <c r="X55" s="37" t="str">
        <f>IF(N55="","",IFERROR(MIN(100,N55/'Input &amp; Settings'!$B$12*100),""))</f>
        <v/>
      </c>
      <c r="Y55" s="37" t="str">
        <f>IF(O55="","",IFERROR(MIN(100,O55/'Input &amp; Settings'!$B$13*100),""))</f>
        <v/>
      </c>
      <c r="Z55" s="37" t="str">
        <f>IF(P55="","",IFERROR(IF(P55&lt;='Input &amp; Settings'!$B$14,100,MAX(0,100-(P55-'Input &amp; Settings'!$B$14)*20)),""))</f>
        <v/>
      </c>
      <c r="AA55" s="37" t="str">
        <f>IF(COUNTA(G55:P55)=0,"",ROUND(Q55*'Input &amp; Settings'!$C$5+R55*'Input &amp; Settings'!$C$6+S55*'Input &amp; Settings'!$C$7+T55*'Input &amp; Settings'!$C$8+U55*'Input &amp; Settings'!$C$9+V55*'Input &amp; Settings'!$C$10+W55*'Input &amp; Settings'!$C$11+X55*'Input &amp; Settings'!$C$12+Y55*'Input &amp; Settings'!$C$13+Z55*'Input &amp; Settings'!$C$14,1))</f>
        <v/>
      </c>
      <c r="AB55" s="38" t="str">
        <f>IF(OR(AA55="",E55=""),"",IFERROR(IF(AA55&gt;=VLOOKUP(E55,'Input &amp; Settings'!$F$5:$K$10,3,FALSE),"Outstanding",IF(AA55&gt;=VLOOKUP(E55,'Input &amp; Settings'!$F$5:$K$10,4,FALSE),"Exceeds Expectations",IF(AA55&gt;=VLOOKUP(E55,'Input &amp; Settings'!$F$5:$K$10,5,FALSE),"Meets Expectations",IF(AA55&gt;=VLOOKUP(E55,'Input &amp; Settings'!$F$5:$K$10,6,FALSE),"Needs Improvement","Performance Improvement Required")))),""))</f>
        <v/>
      </c>
      <c r="AC55" s="38" t="str">
        <f t="shared" si="0"/>
        <v/>
      </c>
      <c r="AD55" s="39"/>
      <c r="AE55" s="40"/>
      <c r="AF55" s="41" t="str">
        <f t="shared" si="1"/>
        <v/>
      </c>
      <c r="AG55" s="42" t="str">
        <f t="shared" si="2"/>
        <v/>
      </c>
      <c r="AH55" s="42" t="str">
        <f t="shared" si="3"/>
        <v>Sarah Clervil|February</v>
      </c>
    </row>
    <row r="56" spans="1:34" hidden="1">
      <c r="A56" s="32">
        <v>2026</v>
      </c>
      <c r="B56" s="32" t="s">
        <v>81</v>
      </c>
      <c r="C56" s="32" t="s">
        <v>36</v>
      </c>
      <c r="D56" s="32" t="s">
        <v>48</v>
      </c>
      <c r="E56" s="33"/>
      <c r="F56" s="34" t="str">
        <f>IF(E56="","",IFERROR(VLOOKUP(E56,'Input &amp; Settings'!$F$5:$G$10,2,FALSE),""))</f>
        <v/>
      </c>
      <c r="G56" s="33"/>
      <c r="H56" s="33"/>
      <c r="I56" s="35"/>
      <c r="J56" s="33"/>
      <c r="K56" s="36"/>
      <c r="L56" s="35"/>
      <c r="M56" s="33"/>
      <c r="N56" s="33"/>
      <c r="O56" s="33"/>
      <c r="P56" s="33"/>
      <c r="Q56" s="37" t="str">
        <f>IF(G56="","",IFERROR(MIN(100,G56/'Input &amp; Settings'!$B$5*100),""))</f>
        <v/>
      </c>
      <c r="R56" s="37" t="str">
        <f>IF(H56="","",IFERROR(MIN(100,H56/'Input &amp; Settings'!$B$6*100),""))</f>
        <v/>
      </c>
      <c r="S56" s="37" t="str">
        <f>IF(I56="","",IFERROR(MIN(100,I56/'Input &amp; Settings'!$B$7*100),""))</f>
        <v/>
      </c>
      <c r="T56" s="37" t="str">
        <f>IF(J56="","",IFERROR(MIN(100,J56/'Input &amp; Settings'!$B$8*100),""))</f>
        <v/>
      </c>
      <c r="U56" s="37" t="str">
        <f>IF(K56="","",IFERROR(MIN(100,K56/'Input &amp; Settings'!$B$9*100),""))</f>
        <v/>
      </c>
      <c r="V56" s="37" t="str">
        <f>IF(L56="","",IFERROR(MIN(100,L56/'Input &amp; Settings'!$B$10*100),""))</f>
        <v/>
      </c>
      <c r="W56" s="37" t="str">
        <f>IF(M56="","",IFERROR(IF(M56&lt;='Input &amp; Settings'!$B$11,100,MAX(0,100-(M56-'Input &amp; Settings'!$B$11)*20)),""))</f>
        <v/>
      </c>
      <c r="X56" s="37" t="str">
        <f>IF(N56="","",IFERROR(MIN(100,N56/'Input &amp; Settings'!$B$12*100),""))</f>
        <v/>
      </c>
      <c r="Y56" s="37" t="str">
        <f>IF(O56="","",IFERROR(MIN(100,O56/'Input &amp; Settings'!$B$13*100),""))</f>
        <v/>
      </c>
      <c r="Z56" s="37" t="str">
        <f>IF(P56="","",IFERROR(IF(P56&lt;='Input &amp; Settings'!$B$14,100,MAX(0,100-(P56-'Input &amp; Settings'!$B$14)*20)),""))</f>
        <v/>
      </c>
      <c r="AA56" s="37" t="str">
        <f>IF(COUNTA(G56:P56)=0,"",ROUND(Q56*'Input &amp; Settings'!$C$5+R56*'Input &amp; Settings'!$C$6+S56*'Input &amp; Settings'!$C$7+T56*'Input &amp; Settings'!$C$8+U56*'Input &amp; Settings'!$C$9+V56*'Input &amp; Settings'!$C$10+W56*'Input &amp; Settings'!$C$11+X56*'Input &amp; Settings'!$C$12+Y56*'Input &amp; Settings'!$C$13+Z56*'Input &amp; Settings'!$C$14,1))</f>
        <v/>
      </c>
      <c r="AB56" s="38" t="str">
        <f>IF(OR(AA56="",E56=""),"",IFERROR(IF(AA56&gt;=VLOOKUP(E56,'Input &amp; Settings'!$F$5:$K$10,3,FALSE),"Outstanding",IF(AA56&gt;=VLOOKUP(E56,'Input &amp; Settings'!$F$5:$K$10,4,FALSE),"Exceeds Expectations",IF(AA56&gt;=VLOOKUP(E56,'Input &amp; Settings'!$F$5:$K$10,5,FALSE),"Meets Expectations",IF(AA56&gt;=VLOOKUP(E56,'Input &amp; Settings'!$F$5:$K$10,6,FALSE),"Needs Improvement","Performance Improvement Required")))),""))</f>
        <v/>
      </c>
      <c r="AC56" s="38" t="str">
        <f t="shared" si="0"/>
        <v/>
      </c>
      <c r="AD56" s="39"/>
      <c r="AE56" s="40"/>
      <c r="AF56" s="41" t="str">
        <f t="shared" si="1"/>
        <v/>
      </c>
      <c r="AG56" s="42" t="str">
        <f t="shared" si="2"/>
        <v/>
      </c>
      <c r="AH56" s="42" t="str">
        <f t="shared" si="3"/>
        <v>Christopher Ovid|February</v>
      </c>
    </row>
    <row r="57" spans="1:34" hidden="1">
      <c r="A57" s="32">
        <v>2026</v>
      </c>
      <c r="B57" s="32" t="s">
        <v>81</v>
      </c>
      <c r="C57" s="32" t="s">
        <v>36</v>
      </c>
      <c r="D57" s="32" t="s">
        <v>49</v>
      </c>
      <c r="E57" s="33"/>
      <c r="F57" s="34" t="str">
        <f>IF(E57="","",IFERROR(VLOOKUP(E57,'Input &amp; Settings'!$F$5:$G$10,2,FALSE),""))</f>
        <v/>
      </c>
      <c r="G57" s="33"/>
      <c r="H57" s="33"/>
      <c r="I57" s="35"/>
      <c r="J57" s="33"/>
      <c r="K57" s="36"/>
      <c r="L57" s="35"/>
      <c r="M57" s="33"/>
      <c r="N57" s="33"/>
      <c r="O57" s="33"/>
      <c r="P57" s="33"/>
      <c r="Q57" s="37" t="str">
        <f>IF(G57="","",IFERROR(MIN(100,G57/'Input &amp; Settings'!$B$5*100),""))</f>
        <v/>
      </c>
      <c r="R57" s="37" t="str">
        <f>IF(H57="","",IFERROR(MIN(100,H57/'Input &amp; Settings'!$B$6*100),""))</f>
        <v/>
      </c>
      <c r="S57" s="37" t="str">
        <f>IF(I57="","",IFERROR(MIN(100,I57/'Input &amp; Settings'!$B$7*100),""))</f>
        <v/>
      </c>
      <c r="T57" s="37" t="str">
        <f>IF(J57="","",IFERROR(MIN(100,J57/'Input &amp; Settings'!$B$8*100),""))</f>
        <v/>
      </c>
      <c r="U57" s="37" t="str">
        <f>IF(K57="","",IFERROR(MIN(100,K57/'Input &amp; Settings'!$B$9*100),""))</f>
        <v/>
      </c>
      <c r="V57" s="37" t="str">
        <f>IF(L57="","",IFERROR(MIN(100,L57/'Input &amp; Settings'!$B$10*100),""))</f>
        <v/>
      </c>
      <c r="W57" s="37" t="str">
        <f>IF(M57="","",IFERROR(IF(M57&lt;='Input &amp; Settings'!$B$11,100,MAX(0,100-(M57-'Input &amp; Settings'!$B$11)*20)),""))</f>
        <v/>
      </c>
      <c r="X57" s="37" t="str">
        <f>IF(N57="","",IFERROR(MIN(100,N57/'Input &amp; Settings'!$B$12*100),""))</f>
        <v/>
      </c>
      <c r="Y57" s="37" t="str">
        <f>IF(O57="","",IFERROR(MIN(100,O57/'Input &amp; Settings'!$B$13*100),""))</f>
        <v/>
      </c>
      <c r="Z57" s="37" t="str">
        <f>IF(P57="","",IFERROR(IF(P57&lt;='Input &amp; Settings'!$B$14,100,MAX(0,100-(P57-'Input &amp; Settings'!$B$14)*20)),""))</f>
        <v/>
      </c>
      <c r="AA57" s="37" t="str">
        <f>IF(COUNTA(G57:P57)=0,"",ROUND(Q57*'Input &amp; Settings'!$C$5+R57*'Input &amp; Settings'!$C$6+S57*'Input &amp; Settings'!$C$7+T57*'Input &amp; Settings'!$C$8+U57*'Input &amp; Settings'!$C$9+V57*'Input &amp; Settings'!$C$10+W57*'Input &amp; Settings'!$C$11+X57*'Input &amp; Settings'!$C$12+Y57*'Input &amp; Settings'!$C$13+Z57*'Input &amp; Settings'!$C$14,1))</f>
        <v/>
      </c>
      <c r="AB57" s="38" t="str">
        <f>IF(OR(AA57="",E57=""),"",IFERROR(IF(AA57&gt;=VLOOKUP(E57,'Input &amp; Settings'!$F$5:$K$10,3,FALSE),"Outstanding",IF(AA57&gt;=VLOOKUP(E57,'Input &amp; Settings'!$F$5:$K$10,4,FALSE),"Exceeds Expectations",IF(AA57&gt;=VLOOKUP(E57,'Input &amp; Settings'!$F$5:$K$10,5,FALSE),"Meets Expectations",IF(AA57&gt;=VLOOKUP(E57,'Input &amp; Settings'!$F$5:$K$10,6,FALSE),"Needs Improvement","Performance Improvement Required")))),""))</f>
        <v/>
      </c>
      <c r="AC57" s="38" t="str">
        <f t="shared" si="0"/>
        <v/>
      </c>
      <c r="AD57" s="39"/>
      <c r="AE57" s="40"/>
      <c r="AF57" s="41" t="str">
        <f t="shared" si="1"/>
        <v/>
      </c>
      <c r="AG57" s="42" t="str">
        <f t="shared" si="2"/>
        <v/>
      </c>
      <c r="AH57" s="42" t="str">
        <f t="shared" si="3"/>
        <v>Rafael Godinez|February</v>
      </c>
    </row>
    <row r="58" spans="1:34" hidden="1">
      <c r="A58" s="32">
        <v>2026</v>
      </c>
      <c r="B58" s="32" t="s">
        <v>81</v>
      </c>
      <c r="C58" s="32" t="s">
        <v>36</v>
      </c>
      <c r="D58" s="32" t="s">
        <v>50</v>
      </c>
      <c r="E58" s="33"/>
      <c r="F58" s="34" t="str">
        <f>IF(E58="","",IFERROR(VLOOKUP(E58,'Input &amp; Settings'!$F$5:$G$10,2,FALSE),""))</f>
        <v/>
      </c>
      <c r="G58" s="33"/>
      <c r="H58" s="33"/>
      <c r="I58" s="35"/>
      <c r="J58" s="33"/>
      <c r="K58" s="36"/>
      <c r="L58" s="35"/>
      <c r="M58" s="33"/>
      <c r="N58" s="33"/>
      <c r="O58" s="33"/>
      <c r="P58" s="33"/>
      <c r="Q58" s="37" t="str">
        <f>IF(G58="","",IFERROR(MIN(100,G58/'Input &amp; Settings'!$B$5*100),""))</f>
        <v/>
      </c>
      <c r="R58" s="37" t="str">
        <f>IF(H58="","",IFERROR(MIN(100,H58/'Input &amp; Settings'!$B$6*100),""))</f>
        <v/>
      </c>
      <c r="S58" s="37" t="str">
        <f>IF(I58="","",IFERROR(MIN(100,I58/'Input &amp; Settings'!$B$7*100),""))</f>
        <v/>
      </c>
      <c r="T58" s="37" t="str">
        <f>IF(J58="","",IFERROR(MIN(100,J58/'Input &amp; Settings'!$B$8*100),""))</f>
        <v/>
      </c>
      <c r="U58" s="37" t="str">
        <f>IF(K58="","",IFERROR(MIN(100,K58/'Input &amp; Settings'!$B$9*100),""))</f>
        <v/>
      </c>
      <c r="V58" s="37" t="str">
        <f>IF(L58="","",IFERROR(MIN(100,L58/'Input &amp; Settings'!$B$10*100),""))</f>
        <v/>
      </c>
      <c r="W58" s="37" t="str">
        <f>IF(M58="","",IFERROR(IF(M58&lt;='Input &amp; Settings'!$B$11,100,MAX(0,100-(M58-'Input &amp; Settings'!$B$11)*20)),""))</f>
        <v/>
      </c>
      <c r="X58" s="37" t="str">
        <f>IF(N58="","",IFERROR(MIN(100,N58/'Input &amp; Settings'!$B$12*100),""))</f>
        <v/>
      </c>
      <c r="Y58" s="37" t="str">
        <f>IF(O58="","",IFERROR(MIN(100,O58/'Input &amp; Settings'!$B$13*100),""))</f>
        <v/>
      </c>
      <c r="Z58" s="37" t="str">
        <f>IF(P58="","",IFERROR(IF(P58&lt;='Input &amp; Settings'!$B$14,100,MAX(0,100-(P58-'Input &amp; Settings'!$B$14)*20)),""))</f>
        <v/>
      </c>
      <c r="AA58" s="37" t="str">
        <f>IF(COUNTA(G58:P58)=0,"",ROUND(Q58*'Input &amp; Settings'!$C$5+R58*'Input &amp; Settings'!$C$6+S58*'Input &amp; Settings'!$C$7+T58*'Input &amp; Settings'!$C$8+U58*'Input &amp; Settings'!$C$9+V58*'Input &amp; Settings'!$C$10+W58*'Input &amp; Settings'!$C$11+X58*'Input &amp; Settings'!$C$12+Y58*'Input &amp; Settings'!$C$13+Z58*'Input &amp; Settings'!$C$14,1))</f>
        <v/>
      </c>
      <c r="AB58" s="38" t="str">
        <f>IF(OR(AA58="",E58=""),"",IFERROR(IF(AA58&gt;=VLOOKUP(E58,'Input &amp; Settings'!$F$5:$K$10,3,FALSE),"Outstanding",IF(AA58&gt;=VLOOKUP(E58,'Input &amp; Settings'!$F$5:$K$10,4,FALSE),"Exceeds Expectations",IF(AA58&gt;=VLOOKUP(E58,'Input &amp; Settings'!$F$5:$K$10,5,FALSE),"Meets Expectations",IF(AA58&gt;=VLOOKUP(E58,'Input &amp; Settings'!$F$5:$K$10,6,FALSE),"Needs Improvement","Performance Improvement Required")))),""))</f>
        <v/>
      </c>
      <c r="AC58" s="38" t="str">
        <f t="shared" si="0"/>
        <v/>
      </c>
      <c r="AD58" s="39"/>
      <c r="AE58" s="40"/>
      <c r="AF58" s="41" t="str">
        <f t="shared" si="1"/>
        <v/>
      </c>
      <c r="AG58" s="42" t="str">
        <f t="shared" si="2"/>
        <v/>
      </c>
      <c r="AH58" s="42" t="str">
        <f t="shared" si="3"/>
        <v>Dennis Mayorga|February</v>
      </c>
    </row>
    <row r="59" spans="1:34" hidden="1">
      <c r="A59" s="32">
        <v>2026</v>
      </c>
      <c r="B59" s="32" t="s">
        <v>81</v>
      </c>
      <c r="C59" s="32" t="s">
        <v>36</v>
      </c>
      <c r="D59" s="32" t="s">
        <v>51</v>
      </c>
      <c r="E59" s="33"/>
      <c r="F59" s="34" t="str">
        <f>IF(E59="","",IFERROR(VLOOKUP(E59,'Input &amp; Settings'!$F$5:$G$10,2,FALSE),""))</f>
        <v/>
      </c>
      <c r="G59" s="33"/>
      <c r="H59" s="33"/>
      <c r="I59" s="35"/>
      <c r="J59" s="33"/>
      <c r="K59" s="36"/>
      <c r="L59" s="35"/>
      <c r="M59" s="33"/>
      <c r="N59" s="33"/>
      <c r="O59" s="33"/>
      <c r="P59" s="33"/>
      <c r="Q59" s="37" t="str">
        <f>IF(G59="","",IFERROR(MIN(100,G59/'Input &amp; Settings'!$B$5*100),""))</f>
        <v/>
      </c>
      <c r="R59" s="37" t="str">
        <f>IF(H59="","",IFERROR(MIN(100,H59/'Input &amp; Settings'!$B$6*100),""))</f>
        <v/>
      </c>
      <c r="S59" s="37" t="str">
        <f>IF(I59="","",IFERROR(MIN(100,I59/'Input &amp; Settings'!$B$7*100),""))</f>
        <v/>
      </c>
      <c r="T59" s="37" t="str">
        <f>IF(J59="","",IFERROR(MIN(100,J59/'Input &amp; Settings'!$B$8*100),""))</f>
        <v/>
      </c>
      <c r="U59" s="37" t="str">
        <f>IF(K59="","",IFERROR(MIN(100,K59/'Input &amp; Settings'!$B$9*100),""))</f>
        <v/>
      </c>
      <c r="V59" s="37" t="str">
        <f>IF(L59="","",IFERROR(MIN(100,L59/'Input &amp; Settings'!$B$10*100),""))</f>
        <v/>
      </c>
      <c r="W59" s="37" t="str">
        <f>IF(M59="","",IFERROR(IF(M59&lt;='Input &amp; Settings'!$B$11,100,MAX(0,100-(M59-'Input &amp; Settings'!$B$11)*20)),""))</f>
        <v/>
      </c>
      <c r="X59" s="37" t="str">
        <f>IF(N59="","",IFERROR(MIN(100,N59/'Input &amp; Settings'!$B$12*100),""))</f>
        <v/>
      </c>
      <c r="Y59" s="37" t="str">
        <f>IF(O59="","",IFERROR(MIN(100,O59/'Input &amp; Settings'!$B$13*100),""))</f>
        <v/>
      </c>
      <c r="Z59" s="37" t="str">
        <f>IF(P59="","",IFERROR(IF(P59&lt;='Input &amp; Settings'!$B$14,100,MAX(0,100-(P59-'Input &amp; Settings'!$B$14)*20)),""))</f>
        <v/>
      </c>
      <c r="AA59" s="37" t="str">
        <f>IF(COUNTA(G59:P59)=0,"",ROUND(Q59*'Input &amp; Settings'!$C$5+R59*'Input &amp; Settings'!$C$6+S59*'Input &amp; Settings'!$C$7+T59*'Input &amp; Settings'!$C$8+U59*'Input &amp; Settings'!$C$9+V59*'Input &amp; Settings'!$C$10+W59*'Input &amp; Settings'!$C$11+X59*'Input &amp; Settings'!$C$12+Y59*'Input &amp; Settings'!$C$13+Z59*'Input &amp; Settings'!$C$14,1))</f>
        <v/>
      </c>
      <c r="AB59" s="38" t="str">
        <f>IF(OR(AA59="",E59=""),"",IFERROR(IF(AA59&gt;=VLOOKUP(E59,'Input &amp; Settings'!$F$5:$K$10,3,FALSE),"Outstanding",IF(AA59&gt;=VLOOKUP(E59,'Input &amp; Settings'!$F$5:$K$10,4,FALSE),"Exceeds Expectations",IF(AA59&gt;=VLOOKUP(E59,'Input &amp; Settings'!$F$5:$K$10,5,FALSE),"Meets Expectations",IF(AA59&gt;=VLOOKUP(E59,'Input &amp; Settings'!$F$5:$K$10,6,FALSE),"Needs Improvement","Performance Improvement Required")))),""))</f>
        <v/>
      </c>
      <c r="AC59" s="38" t="str">
        <f t="shared" si="0"/>
        <v/>
      </c>
      <c r="AD59" s="39"/>
      <c r="AE59" s="40"/>
      <c r="AF59" s="41" t="str">
        <f t="shared" si="1"/>
        <v/>
      </c>
      <c r="AG59" s="42" t="str">
        <f t="shared" si="2"/>
        <v/>
      </c>
      <c r="AH59" s="42" t="str">
        <f t="shared" si="3"/>
        <v>Jose Reyes-Navolskyi (Ivan)|February</v>
      </c>
    </row>
    <row r="60" spans="1:34" hidden="1">
      <c r="A60" s="32">
        <v>2026</v>
      </c>
      <c r="B60" s="32" t="s">
        <v>81</v>
      </c>
      <c r="C60" s="32" t="s">
        <v>36</v>
      </c>
      <c r="D60" s="32" t="s">
        <v>52</v>
      </c>
      <c r="E60" s="33"/>
      <c r="F60" s="34" t="str">
        <f>IF(E60="","",IFERROR(VLOOKUP(E60,'Input &amp; Settings'!$F$5:$G$10,2,FALSE),""))</f>
        <v/>
      </c>
      <c r="G60" s="33"/>
      <c r="H60" s="33"/>
      <c r="I60" s="35"/>
      <c r="J60" s="33"/>
      <c r="K60" s="36"/>
      <c r="L60" s="35"/>
      <c r="M60" s="33"/>
      <c r="N60" s="33"/>
      <c r="O60" s="33"/>
      <c r="P60" s="33"/>
      <c r="Q60" s="37" t="str">
        <f>IF(G60="","",IFERROR(MIN(100,G60/'Input &amp; Settings'!$B$5*100),""))</f>
        <v/>
      </c>
      <c r="R60" s="37" t="str">
        <f>IF(H60="","",IFERROR(MIN(100,H60/'Input &amp; Settings'!$B$6*100),""))</f>
        <v/>
      </c>
      <c r="S60" s="37" t="str">
        <f>IF(I60="","",IFERROR(MIN(100,I60/'Input &amp; Settings'!$B$7*100),""))</f>
        <v/>
      </c>
      <c r="T60" s="37" t="str">
        <f>IF(J60="","",IFERROR(MIN(100,J60/'Input &amp; Settings'!$B$8*100),""))</f>
        <v/>
      </c>
      <c r="U60" s="37" t="str">
        <f>IF(K60="","",IFERROR(MIN(100,K60/'Input &amp; Settings'!$B$9*100),""))</f>
        <v/>
      </c>
      <c r="V60" s="37" t="str">
        <f>IF(L60="","",IFERROR(MIN(100,L60/'Input &amp; Settings'!$B$10*100),""))</f>
        <v/>
      </c>
      <c r="W60" s="37" t="str">
        <f>IF(M60="","",IFERROR(IF(M60&lt;='Input &amp; Settings'!$B$11,100,MAX(0,100-(M60-'Input &amp; Settings'!$B$11)*20)),""))</f>
        <v/>
      </c>
      <c r="X60" s="37" t="str">
        <f>IF(N60="","",IFERROR(MIN(100,N60/'Input &amp; Settings'!$B$12*100),""))</f>
        <v/>
      </c>
      <c r="Y60" s="37" t="str">
        <f>IF(O60="","",IFERROR(MIN(100,O60/'Input &amp; Settings'!$B$13*100),""))</f>
        <v/>
      </c>
      <c r="Z60" s="37" t="str">
        <f>IF(P60="","",IFERROR(IF(P60&lt;='Input &amp; Settings'!$B$14,100,MAX(0,100-(P60-'Input &amp; Settings'!$B$14)*20)),""))</f>
        <v/>
      </c>
      <c r="AA60" s="37" t="str">
        <f>IF(COUNTA(G60:P60)=0,"",ROUND(Q60*'Input &amp; Settings'!$C$5+R60*'Input &amp; Settings'!$C$6+S60*'Input &amp; Settings'!$C$7+T60*'Input &amp; Settings'!$C$8+U60*'Input &amp; Settings'!$C$9+V60*'Input &amp; Settings'!$C$10+W60*'Input &amp; Settings'!$C$11+X60*'Input &amp; Settings'!$C$12+Y60*'Input &amp; Settings'!$C$13+Z60*'Input &amp; Settings'!$C$14,1))</f>
        <v/>
      </c>
      <c r="AB60" s="38" t="str">
        <f>IF(OR(AA60="",E60=""),"",IFERROR(IF(AA60&gt;=VLOOKUP(E60,'Input &amp; Settings'!$F$5:$K$10,3,FALSE),"Outstanding",IF(AA60&gt;=VLOOKUP(E60,'Input &amp; Settings'!$F$5:$K$10,4,FALSE),"Exceeds Expectations",IF(AA60&gt;=VLOOKUP(E60,'Input &amp; Settings'!$F$5:$K$10,5,FALSE),"Meets Expectations",IF(AA60&gt;=VLOOKUP(E60,'Input &amp; Settings'!$F$5:$K$10,6,FALSE),"Needs Improvement","Performance Improvement Required")))),""))</f>
        <v/>
      </c>
      <c r="AC60" s="38" t="str">
        <f t="shared" si="0"/>
        <v/>
      </c>
      <c r="AD60" s="39"/>
      <c r="AE60" s="40"/>
      <c r="AF60" s="41" t="str">
        <f t="shared" si="1"/>
        <v/>
      </c>
      <c r="AG60" s="42" t="str">
        <f t="shared" si="2"/>
        <v/>
      </c>
      <c r="AH60" s="42" t="str">
        <f t="shared" si="3"/>
        <v>Jonathan Davila|February</v>
      </c>
    </row>
    <row r="61" spans="1:34" hidden="1">
      <c r="A61" s="32">
        <v>2026</v>
      </c>
      <c r="B61" s="32" t="s">
        <v>81</v>
      </c>
      <c r="C61" s="32" t="s">
        <v>53</v>
      </c>
      <c r="D61" s="32" t="s">
        <v>54</v>
      </c>
      <c r="E61" s="33"/>
      <c r="F61" s="34" t="str">
        <f>IF(E61="","",IFERROR(VLOOKUP(E61,'Input &amp; Settings'!$F$5:$G$10,2,FALSE),""))</f>
        <v/>
      </c>
      <c r="G61" s="33"/>
      <c r="H61" s="33"/>
      <c r="I61" s="35"/>
      <c r="J61" s="33"/>
      <c r="K61" s="36"/>
      <c r="L61" s="35"/>
      <c r="M61" s="33"/>
      <c r="N61" s="33"/>
      <c r="O61" s="33"/>
      <c r="P61" s="33"/>
      <c r="Q61" s="37" t="str">
        <f>IF(G61="","",IFERROR(MIN(100,G61/'Input &amp; Settings'!$B$5*100),""))</f>
        <v/>
      </c>
      <c r="R61" s="37" t="str">
        <f>IF(H61="","",IFERROR(MIN(100,H61/'Input &amp; Settings'!$B$6*100),""))</f>
        <v/>
      </c>
      <c r="S61" s="37" t="str">
        <f>IF(I61="","",IFERROR(MIN(100,I61/'Input &amp; Settings'!$B$7*100),""))</f>
        <v/>
      </c>
      <c r="T61" s="37" t="str">
        <f>IF(J61="","",IFERROR(MIN(100,J61/'Input &amp; Settings'!$B$8*100),""))</f>
        <v/>
      </c>
      <c r="U61" s="37" t="str">
        <f>IF(K61="","",IFERROR(MIN(100,K61/'Input &amp; Settings'!$B$9*100),""))</f>
        <v/>
      </c>
      <c r="V61" s="37" t="str">
        <f>IF(L61="","",IFERROR(MIN(100,L61/'Input &amp; Settings'!$B$10*100),""))</f>
        <v/>
      </c>
      <c r="W61" s="37" t="str">
        <f>IF(M61="","",IFERROR(IF(M61&lt;='Input &amp; Settings'!$B$11,100,MAX(0,100-(M61-'Input &amp; Settings'!$B$11)*20)),""))</f>
        <v/>
      </c>
      <c r="X61" s="37" t="str">
        <f>IF(N61="","",IFERROR(MIN(100,N61/'Input &amp; Settings'!$B$12*100),""))</f>
        <v/>
      </c>
      <c r="Y61" s="37" t="str">
        <f>IF(O61="","",IFERROR(MIN(100,O61/'Input &amp; Settings'!$B$13*100),""))</f>
        <v/>
      </c>
      <c r="Z61" s="37" t="str">
        <f>IF(P61="","",IFERROR(IF(P61&lt;='Input &amp; Settings'!$B$14,100,MAX(0,100-(P61-'Input &amp; Settings'!$B$14)*20)),""))</f>
        <v/>
      </c>
      <c r="AA61" s="37" t="str">
        <f>IF(COUNTA(G61:P61)=0,"",ROUND(Q61*'Input &amp; Settings'!$C$5+R61*'Input &amp; Settings'!$C$6+S61*'Input &amp; Settings'!$C$7+T61*'Input &amp; Settings'!$C$8+U61*'Input &amp; Settings'!$C$9+V61*'Input &amp; Settings'!$C$10+W61*'Input &amp; Settings'!$C$11+X61*'Input &amp; Settings'!$C$12+Y61*'Input &amp; Settings'!$C$13+Z61*'Input &amp; Settings'!$C$14,1))</f>
        <v/>
      </c>
      <c r="AB61" s="38" t="str">
        <f>IF(OR(AA61="",E61=""),"",IFERROR(IF(AA61&gt;=VLOOKUP(E61,'Input &amp; Settings'!$F$5:$K$10,3,FALSE),"Outstanding",IF(AA61&gt;=VLOOKUP(E61,'Input &amp; Settings'!$F$5:$K$10,4,FALSE),"Exceeds Expectations",IF(AA61&gt;=VLOOKUP(E61,'Input &amp; Settings'!$F$5:$K$10,5,FALSE),"Meets Expectations",IF(AA61&gt;=VLOOKUP(E61,'Input &amp; Settings'!$F$5:$K$10,6,FALSE),"Needs Improvement","Performance Improvement Required")))),""))</f>
        <v/>
      </c>
      <c r="AC61" s="38" t="str">
        <f t="shared" si="0"/>
        <v/>
      </c>
      <c r="AD61" s="39"/>
      <c r="AE61" s="40"/>
      <c r="AF61" s="41" t="str">
        <f t="shared" si="1"/>
        <v/>
      </c>
      <c r="AG61" s="42" t="str">
        <f t="shared" si="2"/>
        <v/>
      </c>
      <c r="AH61" s="42" t="str">
        <f t="shared" si="3"/>
        <v>Kevin Luburd|February</v>
      </c>
    </row>
    <row r="62" spans="1:34" hidden="1">
      <c r="A62" s="32">
        <v>2026</v>
      </c>
      <c r="B62" s="32" t="s">
        <v>81</v>
      </c>
      <c r="C62" s="32" t="s">
        <v>53</v>
      </c>
      <c r="D62" s="32" t="s">
        <v>55</v>
      </c>
      <c r="E62" s="33"/>
      <c r="F62" s="34" t="str">
        <f>IF(E62="","",IFERROR(VLOOKUP(E62,'Input &amp; Settings'!$F$5:$G$10,2,FALSE),""))</f>
        <v/>
      </c>
      <c r="G62" s="33"/>
      <c r="H62" s="33"/>
      <c r="I62" s="35"/>
      <c r="J62" s="33"/>
      <c r="K62" s="36"/>
      <c r="L62" s="35"/>
      <c r="M62" s="33"/>
      <c r="N62" s="33"/>
      <c r="O62" s="33"/>
      <c r="P62" s="33"/>
      <c r="Q62" s="37" t="str">
        <f>IF(G62="","",IFERROR(MIN(100,G62/'Input &amp; Settings'!$B$5*100),""))</f>
        <v/>
      </c>
      <c r="R62" s="37" t="str">
        <f>IF(H62="","",IFERROR(MIN(100,H62/'Input &amp; Settings'!$B$6*100),""))</f>
        <v/>
      </c>
      <c r="S62" s="37" t="str">
        <f>IF(I62="","",IFERROR(MIN(100,I62/'Input &amp; Settings'!$B$7*100),""))</f>
        <v/>
      </c>
      <c r="T62" s="37" t="str">
        <f>IF(J62="","",IFERROR(MIN(100,J62/'Input &amp; Settings'!$B$8*100),""))</f>
        <v/>
      </c>
      <c r="U62" s="37" t="str">
        <f>IF(K62="","",IFERROR(MIN(100,K62/'Input &amp; Settings'!$B$9*100),""))</f>
        <v/>
      </c>
      <c r="V62" s="37" t="str">
        <f>IF(L62="","",IFERROR(MIN(100,L62/'Input &amp; Settings'!$B$10*100),""))</f>
        <v/>
      </c>
      <c r="W62" s="37" t="str">
        <f>IF(M62="","",IFERROR(IF(M62&lt;='Input &amp; Settings'!$B$11,100,MAX(0,100-(M62-'Input &amp; Settings'!$B$11)*20)),""))</f>
        <v/>
      </c>
      <c r="X62" s="37" t="str">
        <f>IF(N62="","",IFERROR(MIN(100,N62/'Input &amp; Settings'!$B$12*100),""))</f>
        <v/>
      </c>
      <c r="Y62" s="37" t="str">
        <f>IF(O62="","",IFERROR(MIN(100,O62/'Input &amp; Settings'!$B$13*100),""))</f>
        <v/>
      </c>
      <c r="Z62" s="37" t="str">
        <f>IF(P62="","",IFERROR(IF(P62&lt;='Input &amp; Settings'!$B$14,100,MAX(0,100-(P62-'Input &amp; Settings'!$B$14)*20)),""))</f>
        <v/>
      </c>
      <c r="AA62" s="37" t="str">
        <f>IF(COUNTA(G62:P62)=0,"",ROUND(Q62*'Input &amp; Settings'!$C$5+R62*'Input &amp; Settings'!$C$6+S62*'Input &amp; Settings'!$C$7+T62*'Input &amp; Settings'!$C$8+U62*'Input &amp; Settings'!$C$9+V62*'Input &amp; Settings'!$C$10+W62*'Input &amp; Settings'!$C$11+X62*'Input &amp; Settings'!$C$12+Y62*'Input &amp; Settings'!$C$13+Z62*'Input &amp; Settings'!$C$14,1))</f>
        <v/>
      </c>
      <c r="AB62" s="38" t="str">
        <f>IF(OR(AA62="",E62=""),"",IFERROR(IF(AA62&gt;=VLOOKUP(E62,'Input &amp; Settings'!$F$5:$K$10,3,FALSE),"Outstanding",IF(AA62&gt;=VLOOKUP(E62,'Input &amp; Settings'!$F$5:$K$10,4,FALSE),"Exceeds Expectations",IF(AA62&gt;=VLOOKUP(E62,'Input &amp; Settings'!$F$5:$K$10,5,FALSE),"Meets Expectations",IF(AA62&gt;=VLOOKUP(E62,'Input &amp; Settings'!$F$5:$K$10,6,FALSE),"Needs Improvement","Performance Improvement Required")))),""))</f>
        <v/>
      </c>
      <c r="AC62" s="38" t="str">
        <f t="shared" si="0"/>
        <v/>
      </c>
      <c r="AD62" s="39"/>
      <c r="AE62" s="40"/>
      <c r="AF62" s="41" t="str">
        <f t="shared" si="1"/>
        <v/>
      </c>
      <c r="AG62" s="42" t="str">
        <f t="shared" si="2"/>
        <v/>
      </c>
      <c r="AH62" s="42" t="str">
        <f t="shared" si="3"/>
        <v>Anthony Thompson|February</v>
      </c>
    </row>
    <row r="63" spans="1:34" hidden="1">
      <c r="A63" s="32">
        <v>2026</v>
      </c>
      <c r="B63" s="32" t="s">
        <v>81</v>
      </c>
      <c r="C63" s="32" t="s">
        <v>53</v>
      </c>
      <c r="D63" s="32" t="s">
        <v>56</v>
      </c>
      <c r="E63" s="33"/>
      <c r="F63" s="34" t="str">
        <f>IF(E63="","",IFERROR(VLOOKUP(E63,'Input &amp; Settings'!$F$5:$G$10,2,FALSE),""))</f>
        <v/>
      </c>
      <c r="G63" s="33"/>
      <c r="H63" s="33"/>
      <c r="I63" s="35"/>
      <c r="J63" s="33"/>
      <c r="K63" s="36"/>
      <c r="L63" s="35"/>
      <c r="M63" s="33"/>
      <c r="N63" s="33"/>
      <c r="O63" s="33"/>
      <c r="P63" s="33"/>
      <c r="Q63" s="37" t="str">
        <f>IF(G63="","",IFERROR(MIN(100,G63/'Input &amp; Settings'!$B$5*100),""))</f>
        <v/>
      </c>
      <c r="R63" s="37" t="str">
        <f>IF(H63="","",IFERROR(MIN(100,H63/'Input &amp; Settings'!$B$6*100),""))</f>
        <v/>
      </c>
      <c r="S63" s="37" t="str">
        <f>IF(I63="","",IFERROR(MIN(100,I63/'Input &amp; Settings'!$B$7*100),""))</f>
        <v/>
      </c>
      <c r="T63" s="37" t="str">
        <f>IF(J63="","",IFERROR(MIN(100,J63/'Input &amp; Settings'!$B$8*100),""))</f>
        <v/>
      </c>
      <c r="U63" s="37" t="str">
        <f>IF(K63="","",IFERROR(MIN(100,K63/'Input &amp; Settings'!$B$9*100),""))</f>
        <v/>
      </c>
      <c r="V63" s="37" t="str">
        <f>IF(L63="","",IFERROR(MIN(100,L63/'Input &amp; Settings'!$B$10*100),""))</f>
        <v/>
      </c>
      <c r="W63" s="37" t="str">
        <f>IF(M63="","",IFERROR(IF(M63&lt;='Input &amp; Settings'!$B$11,100,MAX(0,100-(M63-'Input &amp; Settings'!$B$11)*20)),""))</f>
        <v/>
      </c>
      <c r="X63" s="37" t="str">
        <f>IF(N63="","",IFERROR(MIN(100,N63/'Input &amp; Settings'!$B$12*100),""))</f>
        <v/>
      </c>
      <c r="Y63" s="37" t="str">
        <f>IF(O63="","",IFERROR(MIN(100,O63/'Input &amp; Settings'!$B$13*100),""))</f>
        <v/>
      </c>
      <c r="Z63" s="37" t="str">
        <f>IF(P63="","",IFERROR(IF(P63&lt;='Input &amp; Settings'!$B$14,100,MAX(0,100-(P63-'Input &amp; Settings'!$B$14)*20)),""))</f>
        <v/>
      </c>
      <c r="AA63" s="37" t="str">
        <f>IF(COUNTA(G63:P63)=0,"",ROUND(Q63*'Input &amp; Settings'!$C$5+R63*'Input &amp; Settings'!$C$6+S63*'Input &amp; Settings'!$C$7+T63*'Input &amp; Settings'!$C$8+U63*'Input &amp; Settings'!$C$9+V63*'Input &amp; Settings'!$C$10+W63*'Input &amp; Settings'!$C$11+X63*'Input &amp; Settings'!$C$12+Y63*'Input &amp; Settings'!$C$13+Z63*'Input &amp; Settings'!$C$14,1))</f>
        <v/>
      </c>
      <c r="AB63" s="38" t="str">
        <f>IF(OR(AA63="",E63=""),"",IFERROR(IF(AA63&gt;=VLOOKUP(E63,'Input &amp; Settings'!$F$5:$K$10,3,FALSE),"Outstanding",IF(AA63&gt;=VLOOKUP(E63,'Input &amp; Settings'!$F$5:$K$10,4,FALSE),"Exceeds Expectations",IF(AA63&gt;=VLOOKUP(E63,'Input &amp; Settings'!$F$5:$K$10,5,FALSE),"Meets Expectations",IF(AA63&gt;=VLOOKUP(E63,'Input &amp; Settings'!$F$5:$K$10,6,FALSE),"Needs Improvement","Performance Improvement Required")))),""))</f>
        <v/>
      </c>
      <c r="AC63" s="38" t="str">
        <f t="shared" si="0"/>
        <v/>
      </c>
      <c r="AD63" s="39"/>
      <c r="AE63" s="40"/>
      <c r="AF63" s="41" t="str">
        <f t="shared" si="1"/>
        <v/>
      </c>
      <c r="AG63" s="42" t="str">
        <f t="shared" si="2"/>
        <v/>
      </c>
      <c r="AH63" s="42" t="str">
        <f t="shared" si="3"/>
        <v>Shamar Modeste|February</v>
      </c>
    </row>
    <row r="64" spans="1:34" hidden="1">
      <c r="A64" s="32">
        <v>2026</v>
      </c>
      <c r="B64" s="32" t="s">
        <v>81</v>
      </c>
      <c r="C64" s="32" t="s">
        <v>53</v>
      </c>
      <c r="D64" s="32" t="s">
        <v>57</v>
      </c>
      <c r="E64" s="33"/>
      <c r="F64" s="34" t="str">
        <f>IF(E64="","",IFERROR(VLOOKUP(E64,'Input &amp; Settings'!$F$5:$G$10,2,FALSE),""))</f>
        <v/>
      </c>
      <c r="G64" s="33"/>
      <c r="H64" s="33"/>
      <c r="I64" s="35"/>
      <c r="J64" s="33"/>
      <c r="K64" s="36"/>
      <c r="L64" s="35"/>
      <c r="M64" s="33"/>
      <c r="N64" s="33"/>
      <c r="O64" s="33"/>
      <c r="P64" s="33"/>
      <c r="Q64" s="37" t="str">
        <f>IF(G64="","",IFERROR(MIN(100,G64/'Input &amp; Settings'!$B$5*100),""))</f>
        <v/>
      </c>
      <c r="R64" s="37" t="str">
        <f>IF(H64="","",IFERROR(MIN(100,H64/'Input &amp; Settings'!$B$6*100),""))</f>
        <v/>
      </c>
      <c r="S64" s="37" t="str">
        <f>IF(I64="","",IFERROR(MIN(100,I64/'Input &amp; Settings'!$B$7*100),""))</f>
        <v/>
      </c>
      <c r="T64" s="37" t="str">
        <f>IF(J64="","",IFERROR(MIN(100,J64/'Input &amp; Settings'!$B$8*100),""))</f>
        <v/>
      </c>
      <c r="U64" s="37" t="str">
        <f>IF(K64="","",IFERROR(MIN(100,K64/'Input &amp; Settings'!$B$9*100),""))</f>
        <v/>
      </c>
      <c r="V64" s="37" t="str">
        <f>IF(L64="","",IFERROR(MIN(100,L64/'Input &amp; Settings'!$B$10*100),""))</f>
        <v/>
      </c>
      <c r="W64" s="37" t="str">
        <f>IF(M64="","",IFERROR(IF(M64&lt;='Input &amp; Settings'!$B$11,100,MAX(0,100-(M64-'Input &amp; Settings'!$B$11)*20)),""))</f>
        <v/>
      </c>
      <c r="X64" s="37" t="str">
        <f>IF(N64="","",IFERROR(MIN(100,N64/'Input &amp; Settings'!$B$12*100),""))</f>
        <v/>
      </c>
      <c r="Y64" s="37" t="str">
        <f>IF(O64="","",IFERROR(MIN(100,O64/'Input &amp; Settings'!$B$13*100),""))</f>
        <v/>
      </c>
      <c r="Z64" s="37" t="str">
        <f>IF(P64="","",IFERROR(IF(P64&lt;='Input &amp; Settings'!$B$14,100,MAX(0,100-(P64-'Input &amp; Settings'!$B$14)*20)),""))</f>
        <v/>
      </c>
      <c r="AA64" s="37" t="str">
        <f>IF(COUNTA(G64:P64)=0,"",ROUND(Q64*'Input &amp; Settings'!$C$5+R64*'Input &amp; Settings'!$C$6+S64*'Input &amp; Settings'!$C$7+T64*'Input &amp; Settings'!$C$8+U64*'Input &amp; Settings'!$C$9+V64*'Input &amp; Settings'!$C$10+W64*'Input &amp; Settings'!$C$11+X64*'Input &amp; Settings'!$C$12+Y64*'Input &amp; Settings'!$C$13+Z64*'Input &amp; Settings'!$C$14,1))</f>
        <v/>
      </c>
      <c r="AB64" s="38" t="str">
        <f>IF(OR(AA64="",E64=""),"",IFERROR(IF(AA64&gt;=VLOOKUP(E64,'Input &amp; Settings'!$F$5:$K$10,3,FALSE),"Outstanding",IF(AA64&gt;=VLOOKUP(E64,'Input &amp; Settings'!$F$5:$K$10,4,FALSE),"Exceeds Expectations",IF(AA64&gt;=VLOOKUP(E64,'Input &amp; Settings'!$F$5:$K$10,5,FALSE),"Meets Expectations",IF(AA64&gt;=VLOOKUP(E64,'Input &amp; Settings'!$F$5:$K$10,6,FALSE),"Needs Improvement","Performance Improvement Required")))),""))</f>
        <v/>
      </c>
      <c r="AC64" s="38" t="str">
        <f t="shared" si="0"/>
        <v/>
      </c>
      <c r="AD64" s="39"/>
      <c r="AE64" s="40"/>
      <c r="AF64" s="41" t="str">
        <f t="shared" si="1"/>
        <v/>
      </c>
      <c r="AG64" s="42" t="str">
        <f t="shared" si="2"/>
        <v/>
      </c>
      <c r="AH64" s="42" t="str">
        <f t="shared" si="3"/>
        <v>Steven Morejon|February</v>
      </c>
    </row>
    <row r="65" spans="1:34" hidden="1">
      <c r="A65" s="32">
        <v>2026</v>
      </c>
      <c r="B65" s="32" t="s">
        <v>81</v>
      </c>
      <c r="C65" s="32" t="s">
        <v>53</v>
      </c>
      <c r="D65" s="32" t="s">
        <v>58</v>
      </c>
      <c r="E65" s="33"/>
      <c r="F65" s="34" t="str">
        <f>IF(E65="","",IFERROR(VLOOKUP(E65,'Input &amp; Settings'!$F$5:$G$10,2,FALSE),""))</f>
        <v/>
      </c>
      <c r="G65" s="33"/>
      <c r="H65" s="33"/>
      <c r="I65" s="35"/>
      <c r="J65" s="33"/>
      <c r="K65" s="36"/>
      <c r="L65" s="35"/>
      <c r="M65" s="33"/>
      <c r="N65" s="33"/>
      <c r="O65" s="33"/>
      <c r="P65" s="33"/>
      <c r="Q65" s="37" t="str">
        <f>IF(G65="","",IFERROR(MIN(100,G65/'Input &amp; Settings'!$B$5*100),""))</f>
        <v/>
      </c>
      <c r="R65" s="37" t="str">
        <f>IF(H65="","",IFERROR(MIN(100,H65/'Input &amp; Settings'!$B$6*100),""))</f>
        <v/>
      </c>
      <c r="S65" s="37" t="str">
        <f>IF(I65="","",IFERROR(MIN(100,I65/'Input &amp; Settings'!$B$7*100),""))</f>
        <v/>
      </c>
      <c r="T65" s="37" t="str">
        <f>IF(J65="","",IFERROR(MIN(100,J65/'Input &amp; Settings'!$B$8*100),""))</f>
        <v/>
      </c>
      <c r="U65" s="37" t="str">
        <f>IF(K65="","",IFERROR(MIN(100,K65/'Input &amp; Settings'!$B$9*100),""))</f>
        <v/>
      </c>
      <c r="V65" s="37" t="str">
        <f>IF(L65="","",IFERROR(MIN(100,L65/'Input &amp; Settings'!$B$10*100),""))</f>
        <v/>
      </c>
      <c r="W65" s="37" t="str">
        <f>IF(M65="","",IFERROR(IF(M65&lt;='Input &amp; Settings'!$B$11,100,MAX(0,100-(M65-'Input &amp; Settings'!$B$11)*20)),""))</f>
        <v/>
      </c>
      <c r="X65" s="37" t="str">
        <f>IF(N65="","",IFERROR(MIN(100,N65/'Input &amp; Settings'!$B$12*100),""))</f>
        <v/>
      </c>
      <c r="Y65" s="37" t="str">
        <f>IF(O65="","",IFERROR(MIN(100,O65/'Input &amp; Settings'!$B$13*100),""))</f>
        <v/>
      </c>
      <c r="Z65" s="37" t="str">
        <f>IF(P65="","",IFERROR(IF(P65&lt;='Input &amp; Settings'!$B$14,100,MAX(0,100-(P65-'Input &amp; Settings'!$B$14)*20)),""))</f>
        <v/>
      </c>
      <c r="AA65" s="37" t="str">
        <f>IF(COUNTA(G65:P65)=0,"",ROUND(Q65*'Input &amp; Settings'!$C$5+R65*'Input &amp; Settings'!$C$6+S65*'Input &amp; Settings'!$C$7+T65*'Input &amp; Settings'!$C$8+U65*'Input &amp; Settings'!$C$9+V65*'Input &amp; Settings'!$C$10+W65*'Input &amp; Settings'!$C$11+X65*'Input &amp; Settings'!$C$12+Y65*'Input &amp; Settings'!$C$13+Z65*'Input &amp; Settings'!$C$14,1))</f>
        <v/>
      </c>
      <c r="AB65" s="38" t="str">
        <f>IF(OR(AA65="",E65=""),"",IFERROR(IF(AA65&gt;=VLOOKUP(E65,'Input &amp; Settings'!$F$5:$K$10,3,FALSE),"Outstanding",IF(AA65&gt;=VLOOKUP(E65,'Input &amp; Settings'!$F$5:$K$10,4,FALSE),"Exceeds Expectations",IF(AA65&gt;=VLOOKUP(E65,'Input &amp; Settings'!$F$5:$K$10,5,FALSE),"Meets Expectations",IF(AA65&gt;=VLOOKUP(E65,'Input &amp; Settings'!$F$5:$K$10,6,FALSE),"Needs Improvement","Performance Improvement Required")))),""))</f>
        <v/>
      </c>
      <c r="AC65" s="38" t="str">
        <f t="shared" si="0"/>
        <v/>
      </c>
      <c r="AD65" s="39"/>
      <c r="AE65" s="40"/>
      <c r="AF65" s="41" t="str">
        <f t="shared" si="1"/>
        <v/>
      </c>
      <c r="AG65" s="42" t="str">
        <f t="shared" si="2"/>
        <v/>
      </c>
      <c r="AH65" s="42" t="str">
        <f t="shared" si="3"/>
        <v>Nicolas Abello|February</v>
      </c>
    </row>
    <row r="66" spans="1:34" hidden="1">
      <c r="A66" s="32">
        <v>2026</v>
      </c>
      <c r="B66" s="32" t="s">
        <v>81</v>
      </c>
      <c r="C66" s="32" t="s">
        <v>53</v>
      </c>
      <c r="D66" s="32" t="s">
        <v>59</v>
      </c>
      <c r="E66" s="33"/>
      <c r="F66" s="34" t="str">
        <f>IF(E66="","",IFERROR(VLOOKUP(E66,'Input &amp; Settings'!$F$5:$G$10,2,FALSE),""))</f>
        <v/>
      </c>
      <c r="G66" s="33"/>
      <c r="H66" s="33"/>
      <c r="I66" s="35"/>
      <c r="J66" s="33"/>
      <c r="K66" s="36"/>
      <c r="L66" s="35"/>
      <c r="M66" s="33"/>
      <c r="N66" s="33"/>
      <c r="O66" s="33"/>
      <c r="P66" s="33"/>
      <c r="Q66" s="37" t="str">
        <f>IF(G66="","",IFERROR(MIN(100,G66/'Input &amp; Settings'!$B$5*100),""))</f>
        <v/>
      </c>
      <c r="R66" s="37" t="str">
        <f>IF(H66="","",IFERROR(MIN(100,H66/'Input &amp; Settings'!$B$6*100),""))</f>
        <v/>
      </c>
      <c r="S66" s="37" t="str">
        <f>IF(I66="","",IFERROR(MIN(100,I66/'Input &amp; Settings'!$B$7*100),""))</f>
        <v/>
      </c>
      <c r="T66" s="37" t="str">
        <f>IF(J66="","",IFERROR(MIN(100,J66/'Input &amp; Settings'!$B$8*100),""))</f>
        <v/>
      </c>
      <c r="U66" s="37" t="str">
        <f>IF(K66="","",IFERROR(MIN(100,K66/'Input &amp; Settings'!$B$9*100),""))</f>
        <v/>
      </c>
      <c r="V66" s="37" t="str">
        <f>IF(L66="","",IFERROR(MIN(100,L66/'Input &amp; Settings'!$B$10*100),""))</f>
        <v/>
      </c>
      <c r="W66" s="37" t="str">
        <f>IF(M66="","",IFERROR(IF(M66&lt;='Input &amp; Settings'!$B$11,100,MAX(0,100-(M66-'Input &amp; Settings'!$B$11)*20)),""))</f>
        <v/>
      </c>
      <c r="X66" s="37" t="str">
        <f>IF(N66="","",IFERROR(MIN(100,N66/'Input &amp; Settings'!$B$12*100),""))</f>
        <v/>
      </c>
      <c r="Y66" s="37" t="str">
        <f>IF(O66="","",IFERROR(MIN(100,O66/'Input &amp; Settings'!$B$13*100),""))</f>
        <v/>
      </c>
      <c r="Z66" s="37" t="str">
        <f>IF(P66="","",IFERROR(IF(P66&lt;='Input &amp; Settings'!$B$14,100,MAX(0,100-(P66-'Input &amp; Settings'!$B$14)*20)),""))</f>
        <v/>
      </c>
      <c r="AA66" s="37" t="str">
        <f>IF(COUNTA(G66:P66)=0,"",ROUND(Q66*'Input &amp; Settings'!$C$5+R66*'Input &amp; Settings'!$C$6+S66*'Input &amp; Settings'!$C$7+T66*'Input &amp; Settings'!$C$8+U66*'Input &amp; Settings'!$C$9+V66*'Input &amp; Settings'!$C$10+W66*'Input &amp; Settings'!$C$11+X66*'Input &amp; Settings'!$C$12+Y66*'Input &amp; Settings'!$C$13+Z66*'Input &amp; Settings'!$C$14,1))</f>
        <v/>
      </c>
      <c r="AB66" s="38" t="str">
        <f>IF(OR(AA66="",E66=""),"",IFERROR(IF(AA66&gt;=VLOOKUP(E66,'Input &amp; Settings'!$F$5:$K$10,3,FALSE),"Outstanding",IF(AA66&gt;=VLOOKUP(E66,'Input &amp; Settings'!$F$5:$K$10,4,FALSE),"Exceeds Expectations",IF(AA66&gt;=VLOOKUP(E66,'Input &amp; Settings'!$F$5:$K$10,5,FALSE),"Meets Expectations",IF(AA66&gt;=VLOOKUP(E66,'Input &amp; Settings'!$F$5:$K$10,6,FALSE),"Needs Improvement","Performance Improvement Required")))),""))</f>
        <v/>
      </c>
      <c r="AC66" s="38" t="str">
        <f t="shared" si="0"/>
        <v/>
      </c>
      <c r="AD66" s="39"/>
      <c r="AE66" s="40"/>
      <c r="AF66" s="41" t="str">
        <f t="shared" si="1"/>
        <v/>
      </c>
      <c r="AG66" s="42" t="str">
        <f t="shared" si="2"/>
        <v/>
      </c>
      <c r="AH66" s="42" t="str">
        <f t="shared" si="3"/>
        <v>Carlos Espinosa|February</v>
      </c>
    </row>
    <row r="67" spans="1:34" hidden="1">
      <c r="A67" s="32">
        <v>2026</v>
      </c>
      <c r="B67" s="32" t="s">
        <v>81</v>
      </c>
      <c r="C67" s="32" t="s">
        <v>53</v>
      </c>
      <c r="D67" s="32" t="s">
        <v>60</v>
      </c>
      <c r="E67" s="33"/>
      <c r="F67" s="34" t="str">
        <f>IF(E67="","",IFERROR(VLOOKUP(E67,'Input &amp; Settings'!$F$5:$G$10,2,FALSE),""))</f>
        <v/>
      </c>
      <c r="G67" s="33"/>
      <c r="H67" s="33"/>
      <c r="I67" s="35"/>
      <c r="J67" s="33"/>
      <c r="K67" s="36"/>
      <c r="L67" s="35"/>
      <c r="M67" s="33"/>
      <c r="N67" s="33"/>
      <c r="O67" s="33"/>
      <c r="P67" s="33"/>
      <c r="Q67" s="37" t="str">
        <f>IF(G67="","",IFERROR(MIN(100,G67/'Input &amp; Settings'!$B$5*100),""))</f>
        <v/>
      </c>
      <c r="R67" s="37" t="str">
        <f>IF(H67="","",IFERROR(MIN(100,H67/'Input &amp; Settings'!$B$6*100),""))</f>
        <v/>
      </c>
      <c r="S67" s="37" t="str">
        <f>IF(I67="","",IFERROR(MIN(100,I67/'Input &amp; Settings'!$B$7*100),""))</f>
        <v/>
      </c>
      <c r="T67" s="37" t="str">
        <f>IF(J67="","",IFERROR(MIN(100,J67/'Input &amp; Settings'!$B$8*100),""))</f>
        <v/>
      </c>
      <c r="U67" s="37" t="str">
        <f>IF(K67="","",IFERROR(MIN(100,K67/'Input &amp; Settings'!$B$9*100),""))</f>
        <v/>
      </c>
      <c r="V67" s="37" t="str">
        <f>IF(L67="","",IFERROR(MIN(100,L67/'Input &amp; Settings'!$B$10*100),""))</f>
        <v/>
      </c>
      <c r="W67" s="37" t="str">
        <f>IF(M67="","",IFERROR(IF(M67&lt;='Input &amp; Settings'!$B$11,100,MAX(0,100-(M67-'Input &amp; Settings'!$B$11)*20)),""))</f>
        <v/>
      </c>
      <c r="X67" s="37" t="str">
        <f>IF(N67="","",IFERROR(MIN(100,N67/'Input &amp; Settings'!$B$12*100),""))</f>
        <v/>
      </c>
      <c r="Y67" s="37" t="str">
        <f>IF(O67="","",IFERROR(MIN(100,O67/'Input &amp; Settings'!$B$13*100),""))</f>
        <v/>
      </c>
      <c r="Z67" s="37" t="str">
        <f>IF(P67="","",IFERROR(IF(P67&lt;='Input &amp; Settings'!$B$14,100,MAX(0,100-(P67-'Input &amp; Settings'!$B$14)*20)),""))</f>
        <v/>
      </c>
      <c r="AA67" s="37" t="str">
        <f>IF(COUNTA(G67:P67)=0,"",ROUND(Q67*'Input &amp; Settings'!$C$5+R67*'Input &amp; Settings'!$C$6+S67*'Input &amp; Settings'!$C$7+T67*'Input &amp; Settings'!$C$8+U67*'Input &amp; Settings'!$C$9+V67*'Input &amp; Settings'!$C$10+W67*'Input &amp; Settings'!$C$11+X67*'Input &amp; Settings'!$C$12+Y67*'Input &amp; Settings'!$C$13+Z67*'Input &amp; Settings'!$C$14,1))</f>
        <v/>
      </c>
      <c r="AB67" s="38" t="str">
        <f>IF(OR(AA67="",E67=""),"",IFERROR(IF(AA67&gt;=VLOOKUP(E67,'Input &amp; Settings'!$F$5:$K$10,3,FALSE),"Outstanding",IF(AA67&gt;=VLOOKUP(E67,'Input &amp; Settings'!$F$5:$K$10,4,FALSE),"Exceeds Expectations",IF(AA67&gt;=VLOOKUP(E67,'Input &amp; Settings'!$F$5:$K$10,5,FALSE),"Meets Expectations",IF(AA67&gt;=VLOOKUP(E67,'Input &amp; Settings'!$F$5:$K$10,6,FALSE),"Needs Improvement","Performance Improvement Required")))),""))</f>
        <v/>
      </c>
      <c r="AC67" s="38" t="str">
        <f t="shared" ref="AC67:AC130" si="4">IF(COUNTA(G67:P67)+COUNTA(AD67:AE67)&gt;0,"Entered","")</f>
        <v/>
      </c>
      <c r="AD67" s="39"/>
      <c r="AE67" s="40"/>
      <c r="AF67" s="41" t="str">
        <f t="shared" ref="AF67:AF130" si="5">IF(AD67&lt;&gt;"",AD67,AA67)</f>
        <v/>
      </c>
      <c r="AG67" s="42" t="str">
        <f t="shared" ref="AG67:AG130" si="6">IF(AE67&lt;&gt;"",AE67,AB67)</f>
        <v/>
      </c>
      <c r="AH67" s="42" t="str">
        <f t="shared" ref="AH67:AH130" si="7">D67&amp;"|"&amp;B67</f>
        <v>Fernando Barbera - Boyer|February</v>
      </c>
    </row>
    <row r="68" spans="1:34" hidden="1">
      <c r="A68" s="32">
        <v>2026</v>
      </c>
      <c r="B68" s="32" t="s">
        <v>81</v>
      </c>
      <c r="C68" s="32" t="s">
        <v>53</v>
      </c>
      <c r="D68" s="32" t="s">
        <v>61</v>
      </c>
      <c r="E68" s="33"/>
      <c r="F68" s="34" t="str">
        <f>IF(E68="","",IFERROR(VLOOKUP(E68,'Input &amp; Settings'!$F$5:$G$10,2,FALSE),""))</f>
        <v/>
      </c>
      <c r="G68" s="33"/>
      <c r="H68" s="33"/>
      <c r="I68" s="35"/>
      <c r="J68" s="33"/>
      <c r="K68" s="36"/>
      <c r="L68" s="35"/>
      <c r="M68" s="33"/>
      <c r="N68" s="33"/>
      <c r="O68" s="33"/>
      <c r="P68" s="33"/>
      <c r="Q68" s="37" t="str">
        <f>IF(G68="","",IFERROR(MIN(100,G68/'Input &amp; Settings'!$B$5*100),""))</f>
        <v/>
      </c>
      <c r="R68" s="37" t="str">
        <f>IF(H68="","",IFERROR(MIN(100,H68/'Input &amp; Settings'!$B$6*100),""))</f>
        <v/>
      </c>
      <c r="S68" s="37" t="str">
        <f>IF(I68="","",IFERROR(MIN(100,I68/'Input &amp; Settings'!$B$7*100),""))</f>
        <v/>
      </c>
      <c r="T68" s="37" t="str">
        <f>IF(J68="","",IFERROR(MIN(100,J68/'Input &amp; Settings'!$B$8*100),""))</f>
        <v/>
      </c>
      <c r="U68" s="37" t="str">
        <f>IF(K68="","",IFERROR(MIN(100,K68/'Input &amp; Settings'!$B$9*100),""))</f>
        <v/>
      </c>
      <c r="V68" s="37" t="str">
        <f>IF(L68="","",IFERROR(MIN(100,L68/'Input &amp; Settings'!$B$10*100),""))</f>
        <v/>
      </c>
      <c r="W68" s="37" t="str">
        <f>IF(M68="","",IFERROR(IF(M68&lt;='Input &amp; Settings'!$B$11,100,MAX(0,100-(M68-'Input &amp; Settings'!$B$11)*20)),""))</f>
        <v/>
      </c>
      <c r="X68" s="37" t="str">
        <f>IF(N68="","",IFERROR(MIN(100,N68/'Input &amp; Settings'!$B$12*100),""))</f>
        <v/>
      </c>
      <c r="Y68" s="37" t="str">
        <f>IF(O68="","",IFERROR(MIN(100,O68/'Input &amp; Settings'!$B$13*100),""))</f>
        <v/>
      </c>
      <c r="Z68" s="37" t="str">
        <f>IF(P68="","",IFERROR(IF(P68&lt;='Input &amp; Settings'!$B$14,100,MAX(0,100-(P68-'Input &amp; Settings'!$B$14)*20)),""))</f>
        <v/>
      </c>
      <c r="AA68" s="37" t="str">
        <f>IF(COUNTA(G68:P68)=0,"",ROUND(Q68*'Input &amp; Settings'!$C$5+R68*'Input &amp; Settings'!$C$6+S68*'Input &amp; Settings'!$C$7+T68*'Input &amp; Settings'!$C$8+U68*'Input &amp; Settings'!$C$9+V68*'Input &amp; Settings'!$C$10+W68*'Input &amp; Settings'!$C$11+X68*'Input &amp; Settings'!$C$12+Y68*'Input &amp; Settings'!$C$13+Z68*'Input &amp; Settings'!$C$14,1))</f>
        <v/>
      </c>
      <c r="AB68" s="38" t="str">
        <f>IF(OR(AA68="",E68=""),"",IFERROR(IF(AA68&gt;=VLOOKUP(E68,'Input &amp; Settings'!$F$5:$K$10,3,FALSE),"Outstanding",IF(AA68&gt;=VLOOKUP(E68,'Input &amp; Settings'!$F$5:$K$10,4,FALSE),"Exceeds Expectations",IF(AA68&gt;=VLOOKUP(E68,'Input &amp; Settings'!$F$5:$K$10,5,FALSE),"Meets Expectations",IF(AA68&gt;=VLOOKUP(E68,'Input &amp; Settings'!$F$5:$K$10,6,FALSE),"Needs Improvement","Performance Improvement Required")))),""))</f>
        <v/>
      </c>
      <c r="AC68" s="38" t="str">
        <f t="shared" si="4"/>
        <v/>
      </c>
      <c r="AD68" s="39"/>
      <c r="AE68" s="40"/>
      <c r="AF68" s="41" t="str">
        <f t="shared" si="5"/>
        <v/>
      </c>
      <c r="AG68" s="42" t="str">
        <f t="shared" si="6"/>
        <v/>
      </c>
      <c r="AH68" s="42" t="str">
        <f t="shared" si="7"/>
        <v>Miquelle Cordova|February</v>
      </c>
    </row>
    <row r="69" spans="1:34" hidden="1">
      <c r="A69" s="32">
        <v>2026</v>
      </c>
      <c r="B69" s="32" t="s">
        <v>81</v>
      </c>
      <c r="C69" s="32" t="s">
        <v>53</v>
      </c>
      <c r="D69" s="32" t="s">
        <v>62</v>
      </c>
      <c r="E69" s="33"/>
      <c r="F69" s="34" t="str">
        <f>IF(E69="","",IFERROR(VLOOKUP(E69,'Input &amp; Settings'!$F$5:$G$10,2,FALSE),""))</f>
        <v/>
      </c>
      <c r="G69" s="33"/>
      <c r="H69" s="33"/>
      <c r="I69" s="35"/>
      <c r="J69" s="33"/>
      <c r="K69" s="36"/>
      <c r="L69" s="35"/>
      <c r="M69" s="33"/>
      <c r="N69" s="33"/>
      <c r="O69" s="33"/>
      <c r="P69" s="33"/>
      <c r="Q69" s="37" t="str">
        <f>IF(G69="","",IFERROR(MIN(100,G69/'Input &amp; Settings'!$B$5*100),""))</f>
        <v/>
      </c>
      <c r="R69" s="37" t="str">
        <f>IF(H69="","",IFERROR(MIN(100,H69/'Input &amp; Settings'!$B$6*100),""))</f>
        <v/>
      </c>
      <c r="S69" s="37" t="str">
        <f>IF(I69="","",IFERROR(MIN(100,I69/'Input &amp; Settings'!$B$7*100),""))</f>
        <v/>
      </c>
      <c r="T69" s="37" t="str">
        <f>IF(J69="","",IFERROR(MIN(100,J69/'Input &amp; Settings'!$B$8*100),""))</f>
        <v/>
      </c>
      <c r="U69" s="37" t="str">
        <f>IF(K69="","",IFERROR(MIN(100,K69/'Input &amp; Settings'!$B$9*100),""))</f>
        <v/>
      </c>
      <c r="V69" s="37" t="str">
        <f>IF(L69="","",IFERROR(MIN(100,L69/'Input &amp; Settings'!$B$10*100),""))</f>
        <v/>
      </c>
      <c r="W69" s="37" t="str">
        <f>IF(M69="","",IFERROR(IF(M69&lt;='Input &amp; Settings'!$B$11,100,MAX(0,100-(M69-'Input &amp; Settings'!$B$11)*20)),""))</f>
        <v/>
      </c>
      <c r="X69" s="37" t="str">
        <f>IF(N69="","",IFERROR(MIN(100,N69/'Input &amp; Settings'!$B$12*100),""))</f>
        <v/>
      </c>
      <c r="Y69" s="37" t="str">
        <f>IF(O69="","",IFERROR(MIN(100,O69/'Input &amp; Settings'!$B$13*100),""))</f>
        <v/>
      </c>
      <c r="Z69" s="37" t="str">
        <f>IF(P69="","",IFERROR(IF(P69&lt;='Input &amp; Settings'!$B$14,100,MAX(0,100-(P69-'Input &amp; Settings'!$B$14)*20)),""))</f>
        <v/>
      </c>
      <c r="AA69" s="37" t="str">
        <f>IF(COUNTA(G69:P69)=0,"",ROUND(Q69*'Input &amp; Settings'!$C$5+R69*'Input &amp; Settings'!$C$6+S69*'Input &amp; Settings'!$C$7+T69*'Input &amp; Settings'!$C$8+U69*'Input &amp; Settings'!$C$9+V69*'Input &amp; Settings'!$C$10+W69*'Input &amp; Settings'!$C$11+X69*'Input &amp; Settings'!$C$12+Y69*'Input &amp; Settings'!$C$13+Z69*'Input &amp; Settings'!$C$14,1))</f>
        <v/>
      </c>
      <c r="AB69" s="38" t="str">
        <f>IF(OR(AA69="",E69=""),"",IFERROR(IF(AA69&gt;=VLOOKUP(E69,'Input &amp; Settings'!$F$5:$K$10,3,FALSE),"Outstanding",IF(AA69&gt;=VLOOKUP(E69,'Input &amp; Settings'!$F$5:$K$10,4,FALSE),"Exceeds Expectations",IF(AA69&gt;=VLOOKUP(E69,'Input &amp; Settings'!$F$5:$K$10,5,FALSE),"Meets Expectations",IF(AA69&gt;=VLOOKUP(E69,'Input &amp; Settings'!$F$5:$K$10,6,FALSE),"Needs Improvement","Performance Improvement Required")))),""))</f>
        <v/>
      </c>
      <c r="AC69" s="38" t="str">
        <f t="shared" si="4"/>
        <v/>
      </c>
      <c r="AD69" s="39"/>
      <c r="AE69" s="40"/>
      <c r="AF69" s="41" t="str">
        <f t="shared" si="5"/>
        <v/>
      </c>
      <c r="AG69" s="42" t="str">
        <f t="shared" si="6"/>
        <v/>
      </c>
      <c r="AH69" s="42" t="str">
        <f t="shared" si="7"/>
        <v>Daniel Sanchez|February</v>
      </c>
    </row>
    <row r="70" spans="1:34" hidden="1">
      <c r="A70" s="32">
        <v>2026</v>
      </c>
      <c r="B70" s="32" t="s">
        <v>81</v>
      </c>
      <c r="C70" s="32" t="s">
        <v>53</v>
      </c>
      <c r="D70" s="32" t="s">
        <v>63</v>
      </c>
      <c r="E70" s="33"/>
      <c r="F70" s="34" t="str">
        <f>IF(E70="","",IFERROR(VLOOKUP(E70,'Input &amp; Settings'!$F$5:$G$10,2,FALSE),""))</f>
        <v/>
      </c>
      <c r="G70" s="33"/>
      <c r="H70" s="33"/>
      <c r="I70" s="35"/>
      <c r="J70" s="33"/>
      <c r="K70" s="36"/>
      <c r="L70" s="35"/>
      <c r="M70" s="33"/>
      <c r="N70" s="33"/>
      <c r="O70" s="33"/>
      <c r="P70" s="33"/>
      <c r="Q70" s="37" t="str">
        <f>IF(G70="","",IFERROR(MIN(100,G70/'Input &amp; Settings'!$B$5*100),""))</f>
        <v/>
      </c>
      <c r="R70" s="37" t="str">
        <f>IF(H70="","",IFERROR(MIN(100,H70/'Input &amp; Settings'!$B$6*100),""))</f>
        <v/>
      </c>
      <c r="S70" s="37" t="str">
        <f>IF(I70="","",IFERROR(MIN(100,I70/'Input &amp; Settings'!$B$7*100),""))</f>
        <v/>
      </c>
      <c r="T70" s="37" t="str">
        <f>IF(J70="","",IFERROR(MIN(100,J70/'Input &amp; Settings'!$B$8*100),""))</f>
        <v/>
      </c>
      <c r="U70" s="37" t="str">
        <f>IF(K70="","",IFERROR(MIN(100,K70/'Input &amp; Settings'!$B$9*100),""))</f>
        <v/>
      </c>
      <c r="V70" s="37" t="str">
        <f>IF(L70="","",IFERROR(MIN(100,L70/'Input &amp; Settings'!$B$10*100),""))</f>
        <v/>
      </c>
      <c r="W70" s="37" t="str">
        <f>IF(M70="","",IFERROR(IF(M70&lt;='Input &amp; Settings'!$B$11,100,MAX(0,100-(M70-'Input &amp; Settings'!$B$11)*20)),""))</f>
        <v/>
      </c>
      <c r="X70" s="37" t="str">
        <f>IF(N70="","",IFERROR(MIN(100,N70/'Input &amp; Settings'!$B$12*100),""))</f>
        <v/>
      </c>
      <c r="Y70" s="37" t="str">
        <f>IF(O70="","",IFERROR(MIN(100,O70/'Input &amp; Settings'!$B$13*100),""))</f>
        <v/>
      </c>
      <c r="Z70" s="37" t="str">
        <f>IF(P70="","",IFERROR(IF(P70&lt;='Input &amp; Settings'!$B$14,100,MAX(0,100-(P70-'Input &amp; Settings'!$B$14)*20)),""))</f>
        <v/>
      </c>
      <c r="AA70" s="37" t="str">
        <f>IF(COUNTA(G70:P70)=0,"",ROUND(Q70*'Input &amp; Settings'!$C$5+R70*'Input &amp; Settings'!$C$6+S70*'Input &amp; Settings'!$C$7+T70*'Input &amp; Settings'!$C$8+U70*'Input &amp; Settings'!$C$9+V70*'Input &amp; Settings'!$C$10+W70*'Input &amp; Settings'!$C$11+X70*'Input &amp; Settings'!$C$12+Y70*'Input &amp; Settings'!$C$13+Z70*'Input &amp; Settings'!$C$14,1))</f>
        <v/>
      </c>
      <c r="AB70" s="38" t="str">
        <f>IF(OR(AA70="",E70=""),"",IFERROR(IF(AA70&gt;=VLOOKUP(E70,'Input &amp; Settings'!$F$5:$K$10,3,FALSE),"Outstanding",IF(AA70&gt;=VLOOKUP(E70,'Input &amp; Settings'!$F$5:$K$10,4,FALSE),"Exceeds Expectations",IF(AA70&gt;=VLOOKUP(E70,'Input &amp; Settings'!$F$5:$K$10,5,FALSE),"Meets Expectations",IF(AA70&gt;=VLOOKUP(E70,'Input &amp; Settings'!$F$5:$K$10,6,FALSE),"Needs Improvement","Performance Improvement Required")))),""))</f>
        <v/>
      </c>
      <c r="AC70" s="38" t="str">
        <f t="shared" si="4"/>
        <v/>
      </c>
      <c r="AD70" s="39"/>
      <c r="AE70" s="40"/>
      <c r="AF70" s="41" t="str">
        <f t="shared" si="5"/>
        <v/>
      </c>
      <c r="AG70" s="42" t="str">
        <f t="shared" si="6"/>
        <v/>
      </c>
      <c r="AH70" s="42" t="str">
        <f t="shared" si="7"/>
        <v>Braynon Edwards|February</v>
      </c>
    </row>
    <row r="71" spans="1:34" hidden="1">
      <c r="A71" s="32">
        <v>2026</v>
      </c>
      <c r="B71" s="32" t="s">
        <v>81</v>
      </c>
      <c r="C71" s="32" t="s">
        <v>53</v>
      </c>
      <c r="D71" s="32" t="s">
        <v>64</v>
      </c>
      <c r="E71" s="33"/>
      <c r="F71" s="34" t="str">
        <f>IF(E71="","",IFERROR(VLOOKUP(E71,'Input &amp; Settings'!$F$5:$G$10,2,FALSE),""))</f>
        <v/>
      </c>
      <c r="G71" s="33"/>
      <c r="H71" s="33"/>
      <c r="I71" s="35"/>
      <c r="J71" s="33"/>
      <c r="K71" s="36"/>
      <c r="L71" s="35"/>
      <c r="M71" s="33"/>
      <c r="N71" s="33"/>
      <c r="O71" s="33"/>
      <c r="P71" s="33"/>
      <c r="Q71" s="37" t="str">
        <f>IF(G71="","",IFERROR(MIN(100,G71/'Input &amp; Settings'!$B$5*100),""))</f>
        <v/>
      </c>
      <c r="R71" s="37" t="str">
        <f>IF(H71="","",IFERROR(MIN(100,H71/'Input &amp; Settings'!$B$6*100),""))</f>
        <v/>
      </c>
      <c r="S71" s="37" t="str">
        <f>IF(I71="","",IFERROR(MIN(100,I71/'Input &amp; Settings'!$B$7*100),""))</f>
        <v/>
      </c>
      <c r="T71" s="37" t="str">
        <f>IF(J71="","",IFERROR(MIN(100,J71/'Input &amp; Settings'!$B$8*100),""))</f>
        <v/>
      </c>
      <c r="U71" s="37" t="str">
        <f>IF(K71="","",IFERROR(MIN(100,K71/'Input &amp; Settings'!$B$9*100),""))</f>
        <v/>
      </c>
      <c r="V71" s="37" t="str">
        <f>IF(L71="","",IFERROR(MIN(100,L71/'Input &amp; Settings'!$B$10*100),""))</f>
        <v/>
      </c>
      <c r="W71" s="37" t="str">
        <f>IF(M71="","",IFERROR(IF(M71&lt;='Input &amp; Settings'!$B$11,100,MAX(0,100-(M71-'Input &amp; Settings'!$B$11)*20)),""))</f>
        <v/>
      </c>
      <c r="X71" s="37" t="str">
        <f>IF(N71="","",IFERROR(MIN(100,N71/'Input &amp; Settings'!$B$12*100),""))</f>
        <v/>
      </c>
      <c r="Y71" s="37" t="str">
        <f>IF(O71="","",IFERROR(MIN(100,O71/'Input &amp; Settings'!$B$13*100),""))</f>
        <v/>
      </c>
      <c r="Z71" s="37" t="str">
        <f>IF(P71="","",IFERROR(IF(P71&lt;='Input &amp; Settings'!$B$14,100,MAX(0,100-(P71-'Input &amp; Settings'!$B$14)*20)),""))</f>
        <v/>
      </c>
      <c r="AA71" s="37" t="str">
        <f>IF(COUNTA(G71:P71)=0,"",ROUND(Q71*'Input &amp; Settings'!$C$5+R71*'Input &amp; Settings'!$C$6+S71*'Input &amp; Settings'!$C$7+T71*'Input &amp; Settings'!$C$8+U71*'Input &amp; Settings'!$C$9+V71*'Input &amp; Settings'!$C$10+W71*'Input &amp; Settings'!$C$11+X71*'Input &amp; Settings'!$C$12+Y71*'Input &amp; Settings'!$C$13+Z71*'Input &amp; Settings'!$C$14,1))</f>
        <v/>
      </c>
      <c r="AB71" s="38" t="str">
        <f>IF(OR(AA71="",E71=""),"",IFERROR(IF(AA71&gt;=VLOOKUP(E71,'Input &amp; Settings'!$F$5:$K$10,3,FALSE),"Outstanding",IF(AA71&gt;=VLOOKUP(E71,'Input &amp; Settings'!$F$5:$K$10,4,FALSE),"Exceeds Expectations",IF(AA71&gt;=VLOOKUP(E71,'Input &amp; Settings'!$F$5:$K$10,5,FALSE),"Meets Expectations",IF(AA71&gt;=VLOOKUP(E71,'Input &amp; Settings'!$F$5:$K$10,6,FALSE),"Needs Improvement","Performance Improvement Required")))),""))</f>
        <v/>
      </c>
      <c r="AC71" s="38" t="str">
        <f t="shared" si="4"/>
        <v/>
      </c>
      <c r="AD71" s="39"/>
      <c r="AE71" s="40"/>
      <c r="AF71" s="41" t="str">
        <f t="shared" si="5"/>
        <v/>
      </c>
      <c r="AG71" s="42" t="str">
        <f t="shared" si="6"/>
        <v/>
      </c>
      <c r="AH71" s="42" t="str">
        <f t="shared" si="7"/>
        <v>Sebastian Lopez|February</v>
      </c>
    </row>
    <row r="72" spans="1:34" hidden="1">
      <c r="A72" s="32">
        <v>2026</v>
      </c>
      <c r="B72" s="32" t="s">
        <v>81</v>
      </c>
      <c r="C72" s="32" t="s">
        <v>53</v>
      </c>
      <c r="D72" s="32" t="s">
        <v>65</v>
      </c>
      <c r="E72" s="33"/>
      <c r="F72" s="34" t="str">
        <f>IF(E72="","",IFERROR(VLOOKUP(E72,'Input &amp; Settings'!$F$5:$G$10,2,FALSE),""))</f>
        <v/>
      </c>
      <c r="G72" s="33"/>
      <c r="H72" s="33"/>
      <c r="I72" s="35"/>
      <c r="J72" s="33"/>
      <c r="K72" s="36"/>
      <c r="L72" s="35"/>
      <c r="M72" s="33"/>
      <c r="N72" s="33"/>
      <c r="O72" s="33"/>
      <c r="P72" s="33"/>
      <c r="Q72" s="37" t="str">
        <f>IF(G72="","",IFERROR(MIN(100,G72/'Input &amp; Settings'!$B$5*100),""))</f>
        <v/>
      </c>
      <c r="R72" s="37" t="str">
        <f>IF(H72="","",IFERROR(MIN(100,H72/'Input &amp; Settings'!$B$6*100),""))</f>
        <v/>
      </c>
      <c r="S72" s="37" t="str">
        <f>IF(I72="","",IFERROR(MIN(100,I72/'Input &amp; Settings'!$B$7*100),""))</f>
        <v/>
      </c>
      <c r="T72" s="37" t="str">
        <f>IF(J72="","",IFERROR(MIN(100,J72/'Input &amp; Settings'!$B$8*100),""))</f>
        <v/>
      </c>
      <c r="U72" s="37" t="str">
        <f>IF(K72="","",IFERROR(MIN(100,K72/'Input &amp; Settings'!$B$9*100),""))</f>
        <v/>
      </c>
      <c r="V72" s="37" t="str">
        <f>IF(L72="","",IFERROR(MIN(100,L72/'Input &amp; Settings'!$B$10*100),""))</f>
        <v/>
      </c>
      <c r="W72" s="37" t="str">
        <f>IF(M72="","",IFERROR(IF(M72&lt;='Input &amp; Settings'!$B$11,100,MAX(0,100-(M72-'Input &amp; Settings'!$B$11)*20)),""))</f>
        <v/>
      </c>
      <c r="X72" s="37" t="str">
        <f>IF(N72="","",IFERROR(MIN(100,N72/'Input &amp; Settings'!$B$12*100),""))</f>
        <v/>
      </c>
      <c r="Y72" s="37" t="str">
        <f>IF(O72="","",IFERROR(MIN(100,O72/'Input &amp; Settings'!$B$13*100),""))</f>
        <v/>
      </c>
      <c r="Z72" s="37" t="str">
        <f>IF(P72="","",IFERROR(IF(P72&lt;='Input &amp; Settings'!$B$14,100,MAX(0,100-(P72-'Input &amp; Settings'!$B$14)*20)),""))</f>
        <v/>
      </c>
      <c r="AA72" s="37" t="str">
        <f>IF(COUNTA(G72:P72)=0,"",ROUND(Q72*'Input &amp; Settings'!$C$5+R72*'Input &amp; Settings'!$C$6+S72*'Input &amp; Settings'!$C$7+T72*'Input &amp; Settings'!$C$8+U72*'Input &amp; Settings'!$C$9+V72*'Input &amp; Settings'!$C$10+W72*'Input &amp; Settings'!$C$11+X72*'Input &amp; Settings'!$C$12+Y72*'Input &amp; Settings'!$C$13+Z72*'Input &amp; Settings'!$C$14,1))</f>
        <v/>
      </c>
      <c r="AB72" s="38" t="str">
        <f>IF(OR(AA72="",E72=""),"",IFERROR(IF(AA72&gt;=VLOOKUP(E72,'Input &amp; Settings'!$F$5:$K$10,3,FALSE),"Outstanding",IF(AA72&gt;=VLOOKUP(E72,'Input &amp; Settings'!$F$5:$K$10,4,FALSE),"Exceeds Expectations",IF(AA72&gt;=VLOOKUP(E72,'Input &amp; Settings'!$F$5:$K$10,5,FALSE),"Meets Expectations",IF(AA72&gt;=VLOOKUP(E72,'Input &amp; Settings'!$F$5:$K$10,6,FALSE),"Needs Improvement","Performance Improvement Required")))),""))</f>
        <v/>
      </c>
      <c r="AC72" s="38" t="str">
        <f t="shared" si="4"/>
        <v/>
      </c>
      <c r="AD72" s="39"/>
      <c r="AE72" s="40"/>
      <c r="AF72" s="41" t="str">
        <f t="shared" si="5"/>
        <v/>
      </c>
      <c r="AG72" s="42" t="str">
        <f t="shared" si="6"/>
        <v/>
      </c>
      <c r="AH72" s="42" t="str">
        <f t="shared" si="7"/>
        <v>Lucas Degomme|February</v>
      </c>
    </row>
    <row r="73" spans="1:34" hidden="1">
      <c r="A73" s="32">
        <v>2026</v>
      </c>
      <c r="B73" s="32" t="s">
        <v>81</v>
      </c>
      <c r="C73" s="32" t="s">
        <v>53</v>
      </c>
      <c r="D73" s="32" t="s">
        <v>66</v>
      </c>
      <c r="E73" s="33"/>
      <c r="F73" s="34" t="str">
        <f>IF(E73="","",IFERROR(VLOOKUP(E73,'Input &amp; Settings'!$F$5:$G$10,2,FALSE),""))</f>
        <v/>
      </c>
      <c r="G73" s="33"/>
      <c r="H73" s="33"/>
      <c r="I73" s="35"/>
      <c r="J73" s="33"/>
      <c r="K73" s="36"/>
      <c r="L73" s="35"/>
      <c r="M73" s="33"/>
      <c r="N73" s="33"/>
      <c r="O73" s="33"/>
      <c r="P73" s="33"/>
      <c r="Q73" s="37" t="str">
        <f>IF(G73="","",IFERROR(MIN(100,G73/'Input &amp; Settings'!$B$5*100),""))</f>
        <v/>
      </c>
      <c r="R73" s="37" t="str">
        <f>IF(H73="","",IFERROR(MIN(100,H73/'Input &amp; Settings'!$B$6*100),""))</f>
        <v/>
      </c>
      <c r="S73" s="37" t="str">
        <f>IF(I73="","",IFERROR(MIN(100,I73/'Input &amp; Settings'!$B$7*100),""))</f>
        <v/>
      </c>
      <c r="T73" s="37" t="str">
        <f>IF(J73="","",IFERROR(MIN(100,J73/'Input &amp; Settings'!$B$8*100),""))</f>
        <v/>
      </c>
      <c r="U73" s="37" t="str">
        <f>IF(K73="","",IFERROR(MIN(100,K73/'Input &amp; Settings'!$B$9*100),""))</f>
        <v/>
      </c>
      <c r="V73" s="37" t="str">
        <f>IF(L73="","",IFERROR(MIN(100,L73/'Input &amp; Settings'!$B$10*100),""))</f>
        <v/>
      </c>
      <c r="W73" s="37" t="str">
        <f>IF(M73="","",IFERROR(IF(M73&lt;='Input &amp; Settings'!$B$11,100,MAX(0,100-(M73-'Input &amp; Settings'!$B$11)*20)),""))</f>
        <v/>
      </c>
      <c r="X73" s="37" t="str">
        <f>IF(N73="","",IFERROR(MIN(100,N73/'Input &amp; Settings'!$B$12*100),""))</f>
        <v/>
      </c>
      <c r="Y73" s="37" t="str">
        <f>IF(O73="","",IFERROR(MIN(100,O73/'Input &amp; Settings'!$B$13*100),""))</f>
        <v/>
      </c>
      <c r="Z73" s="37" t="str">
        <f>IF(P73="","",IFERROR(IF(P73&lt;='Input &amp; Settings'!$B$14,100,MAX(0,100-(P73-'Input &amp; Settings'!$B$14)*20)),""))</f>
        <v/>
      </c>
      <c r="AA73" s="37" t="str">
        <f>IF(COUNTA(G73:P73)=0,"",ROUND(Q73*'Input &amp; Settings'!$C$5+R73*'Input &amp; Settings'!$C$6+S73*'Input &amp; Settings'!$C$7+T73*'Input &amp; Settings'!$C$8+U73*'Input &amp; Settings'!$C$9+V73*'Input &amp; Settings'!$C$10+W73*'Input &amp; Settings'!$C$11+X73*'Input &amp; Settings'!$C$12+Y73*'Input &amp; Settings'!$C$13+Z73*'Input &amp; Settings'!$C$14,1))</f>
        <v/>
      </c>
      <c r="AB73" s="38" t="str">
        <f>IF(OR(AA73="",E73=""),"",IFERROR(IF(AA73&gt;=VLOOKUP(E73,'Input &amp; Settings'!$F$5:$K$10,3,FALSE),"Outstanding",IF(AA73&gt;=VLOOKUP(E73,'Input &amp; Settings'!$F$5:$K$10,4,FALSE),"Exceeds Expectations",IF(AA73&gt;=VLOOKUP(E73,'Input &amp; Settings'!$F$5:$K$10,5,FALSE),"Meets Expectations",IF(AA73&gt;=VLOOKUP(E73,'Input &amp; Settings'!$F$5:$K$10,6,FALSE),"Needs Improvement","Performance Improvement Required")))),""))</f>
        <v/>
      </c>
      <c r="AC73" s="38" t="str">
        <f t="shared" si="4"/>
        <v/>
      </c>
      <c r="AD73" s="39"/>
      <c r="AE73" s="40"/>
      <c r="AF73" s="41" t="str">
        <f t="shared" si="5"/>
        <v/>
      </c>
      <c r="AG73" s="42" t="str">
        <f t="shared" si="6"/>
        <v/>
      </c>
      <c r="AH73" s="42" t="str">
        <f t="shared" si="7"/>
        <v>Alexander Chinea|February</v>
      </c>
    </row>
    <row r="74" spans="1:34" hidden="1">
      <c r="A74" s="32">
        <v>2026</v>
      </c>
      <c r="B74" s="32" t="s">
        <v>81</v>
      </c>
      <c r="C74" s="32" t="s">
        <v>53</v>
      </c>
      <c r="D74" s="32" t="s">
        <v>67</v>
      </c>
      <c r="E74" s="33"/>
      <c r="F74" s="34" t="str">
        <f>IF(E74="","",IFERROR(VLOOKUP(E74,'Input &amp; Settings'!$F$5:$G$10,2,FALSE),""))</f>
        <v/>
      </c>
      <c r="G74" s="33"/>
      <c r="H74" s="33"/>
      <c r="I74" s="35"/>
      <c r="J74" s="33"/>
      <c r="K74" s="36"/>
      <c r="L74" s="35"/>
      <c r="M74" s="33"/>
      <c r="N74" s="33"/>
      <c r="O74" s="33"/>
      <c r="P74" s="33"/>
      <c r="Q74" s="37" t="str">
        <f>IF(G74="","",IFERROR(MIN(100,G74/'Input &amp; Settings'!$B$5*100),""))</f>
        <v/>
      </c>
      <c r="R74" s="37" t="str">
        <f>IF(H74="","",IFERROR(MIN(100,H74/'Input &amp; Settings'!$B$6*100),""))</f>
        <v/>
      </c>
      <c r="S74" s="37" t="str">
        <f>IF(I74="","",IFERROR(MIN(100,I74/'Input &amp; Settings'!$B$7*100),""))</f>
        <v/>
      </c>
      <c r="T74" s="37" t="str">
        <f>IF(J74="","",IFERROR(MIN(100,J74/'Input &amp; Settings'!$B$8*100),""))</f>
        <v/>
      </c>
      <c r="U74" s="37" t="str">
        <f>IF(K74="","",IFERROR(MIN(100,K74/'Input &amp; Settings'!$B$9*100),""))</f>
        <v/>
      </c>
      <c r="V74" s="37" t="str">
        <f>IF(L74="","",IFERROR(MIN(100,L74/'Input &amp; Settings'!$B$10*100),""))</f>
        <v/>
      </c>
      <c r="W74" s="37" t="str">
        <f>IF(M74="","",IFERROR(IF(M74&lt;='Input &amp; Settings'!$B$11,100,MAX(0,100-(M74-'Input &amp; Settings'!$B$11)*20)),""))</f>
        <v/>
      </c>
      <c r="X74" s="37" t="str">
        <f>IF(N74="","",IFERROR(MIN(100,N74/'Input &amp; Settings'!$B$12*100),""))</f>
        <v/>
      </c>
      <c r="Y74" s="37" t="str">
        <f>IF(O74="","",IFERROR(MIN(100,O74/'Input &amp; Settings'!$B$13*100),""))</f>
        <v/>
      </c>
      <c r="Z74" s="37" t="str">
        <f>IF(P74="","",IFERROR(IF(P74&lt;='Input &amp; Settings'!$B$14,100,MAX(0,100-(P74-'Input &amp; Settings'!$B$14)*20)),""))</f>
        <v/>
      </c>
      <c r="AA74" s="37" t="str">
        <f>IF(COUNTA(G74:P74)=0,"",ROUND(Q74*'Input &amp; Settings'!$C$5+R74*'Input &amp; Settings'!$C$6+S74*'Input &amp; Settings'!$C$7+T74*'Input &amp; Settings'!$C$8+U74*'Input &amp; Settings'!$C$9+V74*'Input &amp; Settings'!$C$10+W74*'Input &amp; Settings'!$C$11+X74*'Input &amp; Settings'!$C$12+Y74*'Input &amp; Settings'!$C$13+Z74*'Input &amp; Settings'!$C$14,1))</f>
        <v/>
      </c>
      <c r="AB74" s="38" t="str">
        <f>IF(OR(AA74="",E74=""),"",IFERROR(IF(AA74&gt;=VLOOKUP(E74,'Input &amp; Settings'!$F$5:$K$10,3,FALSE),"Outstanding",IF(AA74&gt;=VLOOKUP(E74,'Input &amp; Settings'!$F$5:$K$10,4,FALSE),"Exceeds Expectations",IF(AA74&gt;=VLOOKUP(E74,'Input &amp; Settings'!$F$5:$K$10,5,FALSE),"Meets Expectations",IF(AA74&gt;=VLOOKUP(E74,'Input &amp; Settings'!$F$5:$K$10,6,FALSE),"Needs Improvement","Performance Improvement Required")))),""))</f>
        <v/>
      </c>
      <c r="AC74" s="38" t="str">
        <f t="shared" si="4"/>
        <v/>
      </c>
      <c r="AD74" s="39"/>
      <c r="AE74" s="40"/>
      <c r="AF74" s="41" t="str">
        <f t="shared" si="5"/>
        <v/>
      </c>
      <c r="AG74" s="42" t="str">
        <f t="shared" si="6"/>
        <v/>
      </c>
      <c r="AH74" s="42" t="str">
        <f t="shared" si="7"/>
        <v>Carlos Martinez Monzon|February</v>
      </c>
    </row>
    <row r="75" spans="1:34" hidden="1">
      <c r="A75" s="32">
        <v>2026</v>
      </c>
      <c r="B75" s="32" t="s">
        <v>81</v>
      </c>
      <c r="C75" s="32" t="s">
        <v>53</v>
      </c>
      <c r="D75" s="32" t="s">
        <v>68</v>
      </c>
      <c r="E75" s="33"/>
      <c r="F75" s="34" t="str">
        <f>IF(E75="","",IFERROR(VLOOKUP(E75,'Input &amp; Settings'!$F$5:$G$10,2,FALSE),""))</f>
        <v/>
      </c>
      <c r="G75" s="33"/>
      <c r="H75" s="33"/>
      <c r="I75" s="35"/>
      <c r="J75" s="33"/>
      <c r="K75" s="36"/>
      <c r="L75" s="35"/>
      <c r="M75" s="33"/>
      <c r="N75" s="33"/>
      <c r="O75" s="33"/>
      <c r="P75" s="33"/>
      <c r="Q75" s="37" t="str">
        <f>IF(G75="","",IFERROR(MIN(100,G75/'Input &amp; Settings'!$B$5*100),""))</f>
        <v/>
      </c>
      <c r="R75" s="37" t="str">
        <f>IF(H75="","",IFERROR(MIN(100,H75/'Input &amp; Settings'!$B$6*100),""))</f>
        <v/>
      </c>
      <c r="S75" s="37" t="str">
        <f>IF(I75="","",IFERROR(MIN(100,I75/'Input &amp; Settings'!$B$7*100),""))</f>
        <v/>
      </c>
      <c r="T75" s="37" t="str">
        <f>IF(J75="","",IFERROR(MIN(100,J75/'Input &amp; Settings'!$B$8*100),""))</f>
        <v/>
      </c>
      <c r="U75" s="37" t="str">
        <f>IF(K75="","",IFERROR(MIN(100,K75/'Input &amp; Settings'!$B$9*100),""))</f>
        <v/>
      </c>
      <c r="V75" s="37" t="str">
        <f>IF(L75="","",IFERROR(MIN(100,L75/'Input &amp; Settings'!$B$10*100),""))</f>
        <v/>
      </c>
      <c r="W75" s="37" t="str">
        <f>IF(M75="","",IFERROR(IF(M75&lt;='Input &amp; Settings'!$B$11,100,MAX(0,100-(M75-'Input &amp; Settings'!$B$11)*20)),""))</f>
        <v/>
      </c>
      <c r="X75" s="37" t="str">
        <f>IF(N75="","",IFERROR(MIN(100,N75/'Input &amp; Settings'!$B$12*100),""))</f>
        <v/>
      </c>
      <c r="Y75" s="37" t="str">
        <f>IF(O75="","",IFERROR(MIN(100,O75/'Input &amp; Settings'!$B$13*100),""))</f>
        <v/>
      </c>
      <c r="Z75" s="37" t="str">
        <f>IF(P75="","",IFERROR(IF(P75&lt;='Input &amp; Settings'!$B$14,100,MAX(0,100-(P75-'Input &amp; Settings'!$B$14)*20)),""))</f>
        <v/>
      </c>
      <c r="AA75" s="37" t="str">
        <f>IF(COUNTA(G75:P75)=0,"",ROUND(Q75*'Input &amp; Settings'!$C$5+R75*'Input &amp; Settings'!$C$6+S75*'Input &amp; Settings'!$C$7+T75*'Input &amp; Settings'!$C$8+U75*'Input &amp; Settings'!$C$9+V75*'Input &amp; Settings'!$C$10+W75*'Input &amp; Settings'!$C$11+X75*'Input &amp; Settings'!$C$12+Y75*'Input &amp; Settings'!$C$13+Z75*'Input &amp; Settings'!$C$14,1))</f>
        <v/>
      </c>
      <c r="AB75" s="38" t="str">
        <f>IF(OR(AA75="",E75=""),"",IFERROR(IF(AA75&gt;=VLOOKUP(E75,'Input &amp; Settings'!$F$5:$K$10,3,FALSE),"Outstanding",IF(AA75&gt;=VLOOKUP(E75,'Input &amp; Settings'!$F$5:$K$10,4,FALSE),"Exceeds Expectations",IF(AA75&gt;=VLOOKUP(E75,'Input &amp; Settings'!$F$5:$K$10,5,FALSE),"Meets Expectations",IF(AA75&gt;=VLOOKUP(E75,'Input &amp; Settings'!$F$5:$K$10,6,FALSE),"Needs Improvement","Performance Improvement Required")))),""))</f>
        <v/>
      </c>
      <c r="AC75" s="38" t="str">
        <f t="shared" si="4"/>
        <v/>
      </c>
      <c r="AD75" s="39"/>
      <c r="AE75" s="40"/>
      <c r="AF75" s="41" t="str">
        <f t="shared" si="5"/>
        <v/>
      </c>
      <c r="AG75" s="42" t="str">
        <f t="shared" si="6"/>
        <v/>
      </c>
      <c r="AH75" s="42" t="str">
        <f t="shared" si="7"/>
        <v>Carlos Sanabria|February</v>
      </c>
    </row>
    <row r="76" spans="1:34" hidden="1">
      <c r="A76" s="32">
        <v>2026</v>
      </c>
      <c r="B76" s="32" t="s">
        <v>81</v>
      </c>
      <c r="C76" s="32" t="s">
        <v>53</v>
      </c>
      <c r="D76" s="32" t="s">
        <v>69</v>
      </c>
      <c r="E76" s="33"/>
      <c r="F76" s="34" t="str">
        <f>IF(E76="","",IFERROR(VLOOKUP(E76,'Input &amp; Settings'!$F$5:$G$10,2,FALSE),""))</f>
        <v/>
      </c>
      <c r="G76" s="33"/>
      <c r="H76" s="33"/>
      <c r="I76" s="35"/>
      <c r="J76" s="33"/>
      <c r="K76" s="36"/>
      <c r="L76" s="35"/>
      <c r="M76" s="33"/>
      <c r="N76" s="33"/>
      <c r="O76" s="33"/>
      <c r="P76" s="33"/>
      <c r="Q76" s="37" t="str">
        <f>IF(G76="","",IFERROR(MIN(100,G76/'Input &amp; Settings'!$B$5*100),""))</f>
        <v/>
      </c>
      <c r="R76" s="37" t="str">
        <f>IF(H76="","",IFERROR(MIN(100,H76/'Input &amp; Settings'!$B$6*100),""))</f>
        <v/>
      </c>
      <c r="S76" s="37" t="str">
        <f>IF(I76="","",IFERROR(MIN(100,I76/'Input &amp; Settings'!$B$7*100),""))</f>
        <v/>
      </c>
      <c r="T76" s="37" t="str">
        <f>IF(J76="","",IFERROR(MIN(100,J76/'Input &amp; Settings'!$B$8*100),""))</f>
        <v/>
      </c>
      <c r="U76" s="37" t="str">
        <f>IF(K76="","",IFERROR(MIN(100,K76/'Input &amp; Settings'!$B$9*100),""))</f>
        <v/>
      </c>
      <c r="V76" s="37" t="str">
        <f>IF(L76="","",IFERROR(MIN(100,L76/'Input &amp; Settings'!$B$10*100),""))</f>
        <v/>
      </c>
      <c r="W76" s="37" t="str">
        <f>IF(M76="","",IFERROR(IF(M76&lt;='Input &amp; Settings'!$B$11,100,MAX(0,100-(M76-'Input &amp; Settings'!$B$11)*20)),""))</f>
        <v/>
      </c>
      <c r="X76" s="37" t="str">
        <f>IF(N76="","",IFERROR(MIN(100,N76/'Input &amp; Settings'!$B$12*100),""))</f>
        <v/>
      </c>
      <c r="Y76" s="37" t="str">
        <f>IF(O76="","",IFERROR(MIN(100,O76/'Input &amp; Settings'!$B$13*100),""))</f>
        <v/>
      </c>
      <c r="Z76" s="37" t="str">
        <f>IF(P76="","",IFERROR(IF(P76&lt;='Input &amp; Settings'!$B$14,100,MAX(0,100-(P76-'Input &amp; Settings'!$B$14)*20)),""))</f>
        <v/>
      </c>
      <c r="AA76" s="37" t="str">
        <f>IF(COUNTA(G76:P76)=0,"",ROUND(Q76*'Input &amp; Settings'!$C$5+R76*'Input &amp; Settings'!$C$6+S76*'Input &amp; Settings'!$C$7+T76*'Input &amp; Settings'!$C$8+U76*'Input &amp; Settings'!$C$9+V76*'Input &amp; Settings'!$C$10+W76*'Input &amp; Settings'!$C$11+X76*'Input &amp; Settings'!$C$12+Y76*'Input &amp; Settings'!$C$13+Z76*'Input &amp; Settings'!$C$14,1))</f>
        <v/>
      </c>
      <c r="AB76" s="38" t="str">
        <f>IF(OR(AA76="",E76=""),"",IFERROR(IF(AA76&gt;=VLOOKUP(E76,'Input &amp; Settings'!$F$5:$K$10,3,FALSE),"Outstanding",IF(AA76&gt;=VLOOKUP(E76,'Input &amp; Settings'!$F$5:$K$10,4,FALSE),"Exceeds Expectations",IF(AA76&gt;=VLOOKUP(E76,'Input &amp; Settings'!$F$5:$K$10,5,FALSE),"Meets Expectations",IF(AA76&gt;=VLOOKUP(E76,'Input &amp; Settings'!$F$5:$K$10,6,FALSE),"Needs Improvement","Performance Improvement Required")))),""))</f>
        <v/>
      </c>
      <c r="AC76" s="38" t="str">
        <f t="shared" si="4"/>
        <v/>
      </c>
      <c r="AD76" s="39"/>
      <c r="AE76" s="40"/>
      <c r="AF76" s="41" t="str">
        <f t="shared" si="5"/>
        <v/>
      </c>
      <c r="AG76" s="42" t="str">
        <f t="shared" si="6"/>
        <v/>
      </c>
      <c r="AH76" s="42" t="str">
        <f t="shared" si="7"/>
        <v>Alex Gomes|February</v>
      </c>
    </row>
    <row r="77" spans="1:34" hidden="1">
      <c r="A77" s="32">
        <v>2026</v>
      </c>
      <c r="B77" s="32" t="s">
        <v>81</v>
      </c>
      <c r="C77" s="32" t="s">
        <v>53</v>
      </c>
      <c r="D77" s="32" t="s">
        <v>70</v>
      </c>
      <c r="E77" s="33"/>
      <c r="F77" s="34" t="str">
        <f>IF(E77="","",IFERROR(VLOOKUP(E77,'Input &amp; Settings'!$F$5:$G$10,2,FALSE),""))</f>
        <v/>
      </c>
      <c r="G77" s="33"/>
      <c r="H77" s="33"/>
      <c r="I77" s="35"/>
      <c r="J77" s="33"/>
      <c r="K77" s="36"/>
      <c r="L77" s="35"/>
      <c r="M77" s="33"/>
      <c r="N77" s="33"/>
      <c r="O77" s="33"/>
      <c r="P77" s="33"/>
      <c r="Q77" s="37" t="str">
        <f>IF(G77="","",IFERROR(MIN(100,G77/'Input &amp; Settings'!$B$5*100),""))</f>
        <v/>
      </c>
      <c r="R77" s="37" t="str">
        <f>IF(H77="","",IFERROR(MIN(100,H77/'Input &amp; Settings'!$B$6*100),""))</f>
        <v/>
      </c>
      <c r="S77" s="37" t="str">
        <f>IF(I77="","",IFERROR(MIN(100,I77/'Input &amp; Settings'!$B$7*100),""))</f>
        <v/>
      </c>
      <c r="T77" s="37" t="str">
        <f>IF(J77="","",IFERROR(MIN(100,J77/'Input &amp; Settings'!$B$8*100),""))</f>
        <v/>
      </c>
      <c r="U77" s="37" t="str">
        <f>IF(K77="","",IFERROR(MIN(100,K77/'Input &amp; Settings'!$B$9*100),""))</f>
        <v/>
      </c>
      <c r="V77" s="37" t="str">
        <f>IF(L77="","",IFERROR(MIN(100,L77/'Input &amp; Settings'!$B$10*100),""))</f>
        <v/>
      </c>
      <c r="W77" s="37" t="str">
        <f>IF(M77="","",IFERROR(IF(M77&lt;='Input &amp; Settings'!$B$11,100,MAX(0,100-(M77-'Input &amp; Settings'!$B$11)*20)),""))</f>
        <v/>
      </c>
      <c r="X77" s="37" t="str">
        <f>IF(N77="","",IFERROR(MIN(100,N77/'Input &amp; Settings'!$B$12*100),""))</f>
        <v/>
      </c>
      <c r="Y77" s="37" t="str">
        <f>IF(O77="","",IFERROR(MIN(100,O77/'Input &amp; Settings'!$B$13*100),""))</f>
        <v/>
      </c>
      <c r="Z77" s="37" t="str">
        <f>IF(P77="","",IFERROR(IF(P77&lt;='Input &amp; Settings'!$B$14,100,MAX(0,100-(P77-'Input &amp; Settings'!$B$14)*20)),""))</f>
        <v/>
      </c>
      <c r="AA77" s="37" t="str">
        <f>IF(COUNTA(G77:P77)=0,"",ROUND(Q77*'Input &amp; Settings'!$C$5+R77*'Input &amp; Settings'!$C$6+S77*'Input &amp; Settings'!$C$7+T77*'Input &amp; Settings'!$C$8+U77*'Input &amp; Settings'!$C$9+V77*'Input &amp; Settings'!$C$10+W77*'Input &amp; Settings'!$C$11+X77*'Input &amp; Settings'!$C$12+Y77*'Input &amp; Settings'!$C$13+Z77*'Input &amp; Settings'!$C$14,1))</f>
        <v/>
      </c>
      <c r="AB77" s="38" t="str">
        <f>IF(OR(AA77="",E77=""),"",IFERROR(IF(AA77&gt;=VLOOKUP(E77,'Input &amp; Settings'!$F$5:$K$10,3,FALSE),"Outstanding",IF(AA77&gt;=VLOOKUP(E77,'Input &amp; Settings'!$F$5:$K$10,4,FALSE),"Exceeds Expectations",IF(AA77&gt;=VLOOKUP(E77,'Input &amp; Settings'!$F$5:$K$10,5,FALSE),"Meets Expectations",IF(AA77&gt;=VLOOKUP(E77,'Input &amp; Settings'!$F$5:$K$10,6,FALSE),"Needs Improvement","Performance Improvement Required")))),""))</f>
        <v/>
      </c>
      <c r="AC77" s="38" t="str">
        <f t="shared" si="4"/>
        <v/>
      </c>
      <c r="AD77" s="39"/>
      <c r="AE77" s="40"/>
      <c r="AF77" s="41" t="str">
        <f t="shared" si="5"/>
        <v/>
      </c>
      <c r="AG77" s="42" t="str">
        <f t="shared" si="6"/>
        <v/>
      </c>
      <c r="AH77" s="42" t="str">
        <f t="shared" si="7"/>
        <v>Teddy Joseph|February</v>
      </c>
    </row>
    <row r="78" spans="1:34" hidden="1">
      <c r="A78" s="32">
        <v>2026</v>
      </c>
      <c r="B78" s="32" t="s">
        <v>81</v>
      </c>
      <c r="C78" s="32" t="s">
        <v>53</v>
      </c>
      <c r="D78" s="32" t="s">
        <v>71</v>
      </c>
      <c r="E78" s="33"/>
      <c r="F78" s="34" t="str">
        <f>IF(E78="","",IFERROR(VLOOKUP(E78,'Input &amp; Settings'!$F$5:$G$10,2,FALSE),""))</f>
        <v/>
      </c>
      <c r="G78" s="33"/>
      <c r="H78" s="33"/>
      <c r="I78" s="35"/>
      <c r="J78" s="33"/>
      <c r="K78" s="36"/>
      <c r="L78" s="35"/>
      <c r="M78" s="33"/>
      <c r="N78" s="33"/>
      <c r="O78" s="33"/>
      <c r="P78" s="33"/>
      <c r="Q78" s="37" t="str">
        <f>IF(G78="","",IFERROR(MIN(100,G78/'Input &amp; Settings'!$B$5*100),""))</f>
        <v/>
      </c>
      <c r="R78" s="37" t="str">
        <f>IF(H78="","",IFERROR(MIN(100,H78/'Input &amp; Settings'!$B$6*100),""))</f>
        <v/>
      </c>
      <c r="S78" s="37" t="str">
        <f>IF(I78="","",IFERROR(MIN(100,I78/'Input &amp; Settings'!$B$7*100),""))</f>
        <v/>
      </c>
      <c r="T78" s="37" t="str">
        <f>IF(J78="","",IFERROR(MIN(100,J78/'Input &amp; Settings'!$B$8*100),""))</f>
        <v/>
      </c>
      <c r="U78" s="37" t="str">
        <f>IF(K78="","",IFERROR(MIN(100,K78/'Input &amp; Settings'!$B$9*100),""))</f>
        <v/>
      </c>
      <c r="V78" s="37" t="str">
        <f>IF(L78="","",IFERROR(MIN(100,L78/'Input &amp; Settings'!$B$10*100),""))</f>
        <v/>
      </c>
      <c r="W78" s="37" t="str">
        <f>IF(M78="","",IFERROR(IF(M78&lt;='Input &amp; Settings'!$B$11,100,MAX(0,100-(M78-'Input &amp; Settings'!$B$11)*20)),""))</f>
        <v/>
      </c>
      <c r="X78" s="37" t="str">
        <f>IF(N78="","",IFERROR(MIN(100,N78/'Input &amp; Settings'!$B$12*100),""))</f>
        <v/>
      </c>
      <c r="Y78" s="37" t="str">
        <f>IF(O78="","",IFERROR(MIN(100,O78/'Input &amp; Settings'!$B$13*100),""))</f>
        <v/>
      </c>
      <c r="Z78" s="37" t="str">
        <f>IF(P78="","",IFERROR(IF(P78&lt;='Input &amp; Settings'!$B$14,100,MAX(0,100-(P78-'Input &amp; Settings'!$B$14)*20)),""))</f>
        <v/>
      </c>
      <c r="AA78" s="37" t="str">
        <f>IF(COUNTA(G78:P78)=0,"",ROUND(Q78*'Input &amp; Settings'!$C$5+R78*'Input &amp; Settings'!$C$6+S78*'Input &amp; Settings'!$C$7+T78*'Input &amp; Settings'!$C$8+U78*'Input &amp; Settings'!$C$9+V78*'Input &amp; Settings'!$C$10+W78*'Input &amp; Settings'!$C$11+X78*'Input &amp; Settings'!$C$12+Y78*'Input &amp; Settings'!$C$13+Z78*'Input &amp; Settings'!$C$14,1))</f>
        <v/>
      </c>
      <c r="AB78" s="38" t="str">
        <f>IF(OR(AA78="",E78=""),"",IFERROR(IF(AA78&gt;=VLOOKUP(E78,'Input &amp; Settings'!$F$5:$K$10,3,FALSE),"Outstanding",IF(AA78&gt;=VLOOKUP(E78,'Input &amp; Settings'!$F$5:$K$10,4,FALSE),"Exceeds Expectations",IF(AA78&gt;=VLOOKUP(E78,'Input &amp; Settings'!$F$5:$K$10,5,FALSE),"Meets Expectations",IF(AA78&gt;=VLOOKUP(E78,'Input &amp; Settings'!$F$5:$K$10,6,FALSE),"Needs Improvement","Performance Improvement Required")))),""))</f>
        <v/>
      </c>
      <c r="AC78" s="38" t="str">
        <f t="shared" si="4"/>
        <v/>
      </c>
      <c r="AD78" s="39"/>
      <c r="AE78" s="40"/>
      <c r="AF78" s="41" t="str">
        <f t="shared" si="5"/>
        <v/>
      </c>
      <c r="AG78" s="42" t="str">
        <f t="shared" si="6"/>
        <v/>
      </c>
      <c r="AH78" s="42" t="str">
        <f t="shared" si="7"/>
        <v>Andrew Montgomery|February</v>
      </c>
    </row>
    <row r="79" spans="1:34" hidden="1">
      <c r="A79" s="32">
        <v>2026</v>
      </c>
      <c r="B79" s="32" t="s">
        <v>81</v>
      </c>
      <c r="C79" s="32" t="s">
        <v>53</v>
      </c>
      <c r="D79" s="32" t="s">
        <v>72</v>
      </c>
      <c r="E79" s="33"/>
      <c r="F79" s="34" t="str">
        <f>IF(E79="","",IFERROR(VLOOKUP(E79,'Input &amp; Settings'!$F$5:$G$10,2,FALSE),""))</f>
        <v/>
      </c>
      <c r="G79" s="33"/>
      <c r="H79" s="33"/>
      <c r="I79" s="35"/>
      <c r="J79" s="33"/>
      <c r="K79" s="36"/>
      <c r="L79" s="35"/>
      <c r="M79" s="33"/>
      <c r="N79" s="33"/>
      <c r="O79" s="33"/>
      <c r="P79" s="33"/>
      <c r="Q79" s="37" t="str">
        <f>IF(G79="","",IFERROR(MIN(100,G79/'Input &amp; Settings'!$B$5*100),""))</f>
        <v/>
      </c>
      <c r="R79" s="37" t="str">
        <f>IF(H79="","",IFERROR(MIN(100,H79/'Input &amp; Settings'!$B$6*100),""))</f>
        <v/>
      </c>
      <c r="S79" s="37" t="str">
        <f>IF(I79="","",IFERROR(MIN(100,I79/'Input &amp; Settings'!$B$7*100),""))</f>
        <v/>
      </c>
      <c r="T79" s="37" t="str">
        <f>IF(J79="","",IFERROR(MIN(100,J79/'Input &amp; Settings'!$B$8*100),""))</f>
        <v/>
      </c>
      <c r="U79" s="37" t="str">
        <f>IF(K79="","",IFERROR(MIN(100,K79/'Input &amp; Settings'!$B$9*100),""))</f>
        <v/>
      </c>
      <c r="V79" s="37" t="str">
        <f>IF(L79="","",IFERROR(MIN(100,L79/'Input &amp; Settings'!$B$10*100),""))</f>
        <v/>
      </c>
      <c r="W79" s="37" t="str">
        <f>IF(M79="","",IFERROR(IF(M79&lt;='Input &amp; Settings'!$B$11,100,MAX(0,100-(M79-'Input &amp; Settings'!$B$11)*20)),""))</f>
        <v/>
      </c>
      <c r="X79" s="37" t="str">
        <f>IF(N79="","",IFERROR(MIN(100,N79/'Input &amp; Settings'!$B$12*100),""))</f>
        <v/>
      </c>
      <c r="Y79" s="37" t="str">
        <f>IF(O79="","",IFERROR(MIN(100,O79/'Input &amp; Settings'!$B$13*100),""))</f>
        <v/>
      </c>
      <c r="Z79" s="37" t="str">
        <f>IF(P79="","",IFERROR(IF(P79&lt;='Input &amp; Settings'!$B$14,100,MAX(0,100-(P79-'Input &amp; Settings'!$B$14)*20)),""))</f>
        <v/>
      </c>
      <c r="AA79" s="37" t="str">
        <f>IF(COUNTA(G79:P79)=0,"",ROUND(Q79*'Input &amp; Settings'!$C$5+R79*'Input &amp; Settings'!$C$6+S79*'Input &amp; Settings'!$C$7+T79*'Input &amp; Settings'!$C$8+U79*'Input &amp; Settings'!$C$9+V79*'Input &amp; Settings'!$C$10+W79*'Input &amp; Settings'!$C$11+X79*'Input &amp; Settings'!$C$12+Y79*'Input &amp; Settings'!$C$13+Z79*'Input &amp; Settings'!$C$14,1))</f>
        <v/>
      </c>
      <c r="AB79" s="38" t="str">
        <f>IF(OR(AA79="",E79=""),"",IFERROR(IF(AA79&gt;=VLOOKUP(E79,'Input &amp; Settings'!$F$5:$K$10,3,FALSE),"Outstanding",IF(AA79&gt;=VLOOKUP(E79,'Input &amp; Settings'!$F$5:$K$10,4,FALSE),"Exceeds Expectations",IF(AA79&gt;=VLOOKUP(E79,'Input &amp; Settings'!$F$5:$K$10,5,FALSE),"Meets Expectations",IF(AA79&gt;=VLOOKUP(E79,'Input &amp; Settings'!$F$5:$K$10,6,FALSE),"Needs Improvement","Performance Improvement Required")))),""))</f>
        <v/>
      </c>
      <c r="AC79" s="38" t="str">
        <f t="shared" si="4"/>
        <v/>
      </c>
      <c r="AD79" s="39"/>
      <c r="AE79" s="40"/>
      <c r="AF79" s="41" t="str">
        <f t="shared" si="5"/>
        <v/>
      </c>
      <c r="AG79" s="42" t="str">
        <f t="shared" si="6"/>
        <v/>
      </c>
      <c r="AH79" s="42" t="str">
        <f t="shared" si="7"/>
        <v>Amanda Rodriguez|February</v>
      </c>
    </row>
    <row r="80" spans="1:34" hidden="1">
      <c r="A80" s="32">
        <v>2026</v>
      </c>
      <c r="B80" s="32" t="s">
        <v>81</v>
      </c>
      <c r="C80" s="32" t="s">
        <v>53</v>
      </c>
      <c r="D80" s="32" t="s">
        <v>73</v>
      </c>
      <c r="E80" s="33"/>
      <c r="F80" s="34" t="str">
        <f>IF(E80="","",IFERROR(VLOOKUP(E80,'Input &amp; Settings'!$F$5:$G$10,2,FALSE),""))</f>
        <v/>
      </c>
      <c r="G80" s="33"/>
      <c r="H80" s="33"/>
      <c r="I80" s="35"/>
      <c r="J80" s="33"/>
      <c r="K80" s="36"/>
      <c r="L80" s="35"/>
      <c r="M80" s="33"/>
      <c r="N80" s="33"/>
      <c r="O80" s="33"/>
      <c r="P80" s="33"/>
      <c r="Q80" s="37" t="str">
        <f>IF(G80="","",IFERROR(MIN(100,G80/'Input &amp; Settings'!$B$5*100),""))</f>
        <v/>
      </c>
      <c r="R80" s="37" t="str">
        <f>IF(H80="","",IFERROR(MIN(100,H80/'Input &amp; Settings'!$B$6*100),""))</f>
        <v/>
      </c>
      <c r="S80" s="37" t="str">
        <f>IF(I80="","",IFERROR(MIN(100,I80/'Input &amp; Settings'!$B$7*100),""))</f>
        <v/>
      </c>
      <c r="T80" s="37" t="str">
        <f>IF(J80="","",IFERROR(MIN(100,J80/'Input &amp; Settings'!$B$8*100),""))</f>
        <v/>
      </c>
      <c r="U80" s="37" t="str">
        <f>IF(K80="","",IFERROR(MIN(100,K80/'Input &amp; Settings'!$B$9*100),""))</f>
        <v/>
      </c>
      <c r="V80" s="37" t="str">
        <f>IF(L80="","",IFERROR(MIN(100,L80/'Input &amp; Settings'!$B$10*100),""))</f>
        <v/>
      </c>
      <c r="W80" s="37" t="str">
        <f>IF(M80="","",IFERROR(IF(M80&lt;='Input &amp; Settings'!$B$11,100,MAX(0,100-(M80-'Input &amp; Settings'!$B$11)*20)),""))</f>
        <v/>
      </c>
      <c r="X80" s="37" t="str">
        <f>IF(N80="","",IFERROR(MIN(100,N80/'Input &amp; Settings'!$B$12*100),""))</f>
        <v/>
      </c>
      <c r="Y80" s="37" t="str">
        <f>IF(O80="","",IFERROR(MIN(100,O80/'Input &amp; Settings'!$B$13*100),""))</f>
        <v/>
      </c>
      <c r="Z80" s="37" t="str">
        <f>IF(P80="","",IFERROR(IF(P80&lt;='Input &amp; Settings'!$B$14,100,MAX(0,100-(P80-'Input &amp; Settings'!$B$14)*20)),""))</f>
        <v/>
      </c>
      <c r="AA80" s="37" t="str">
        <f>IF(COUNTA(G80:P80)=0,"",ROUND(Q80*'Input &amp; Settings'!$C$5+R80*'Input &amp; Settings'!$C$6+S80*'Input &amp; Settings'!$C$7+T80*'Input &amp; Settings'!$C$8+U80*'Input &amp; Settings'!$C$9+V80*'Input &amp; Settings'!$C$10+W80*'Input &amp; Settings'!$C$11+X80*'Input &amp; Settings'!$C$12+Y80*'Input &amp; Settings'!$C$13+Z80*'Input &amp; Settings'!$C$14,1))</f>
        <v/>
      </c>
      <c r="AB80" s="38" t="str">
        <f>IF(OR(AA80="",E80=""),"",IFERROR(IF(AA80&gt;=VLOOKUP(E80,'Input &amp; Settings'!$F$5:$K$10,3,FALSE),"Outstanding",IF(AA80&gt;=VLOOKUP(E80,'Input &amp; Settings'!$F$5:$K$10,4,FALSE),"Exceeds Expectations",IF(AA80&gt;=VLOOKUP(E80,'Input &amp; Settings'!$F$5:$K$10,5,FALSE),"Meets Expectations",IF(AA80&gt;=VLOOKUP(E80,'Input &amp; Settings'!$F$5:$K$10,6,FALSE),"Needs Improvement","Performance Improvement Required")))),""))</f>
        <v/>
      </c>
      <c r="AC80" s="38" t="str">
        <f t="shared" si="4"/>
        <v/>
      </c>
      <c r="AD80" s="39"/>
      <c r="AE80" s="40"/>
      <c r="AF80" s="41" t="str">
        <f t="shared" si="5"/>
        <v/>
      </c>
      <c r="AG80" s="42" t="str">
        <f t="shared" si="6"/>
        <v/>
      </c>
      <c r="AH80" s="42" t="str">
        <f t="shared" si="7"/>
        <v>Erick Mojica|February</v>
      </c>
    </row>
    <row r="81" spans="1:34" hidden="1">
      <c r="A81" s="32">
        <v>2026</v>
      </c>
      <c r="B81" s="32" t="s">
        <v>81</v>
      </c>
      <c r="C81" s="32" t="s">
        <v>74</v>
      </c>
      <c r="D81" s="32" t="s">
        <v>75</v>
      </c>
      <c r="E81" s="33"/>
      <c r="F81" s="34" t="str">
        <f>IF(E81="","",IFERROR(VLOOKUP(E81,'Input &amp; Settings'!$F$5:$G$10,2,FALSE),""))</f>
        <v/>
      </c>
      <c r="G81" s="33"/>
      <c r="H81" s="33"/>
      <c r="I81" s="35"/>
      <c r="J81" s="33"/>
      <c r="K81" s="36"/>
      <c r="L81" s="35"/>
      <c r="M81" s="33"/>
      <c r="N81" s="33"/>
      <c r="O81" s="33"/>
      <c r="P81" s="33"/>
      <c r="Q81" s="37" t="str">
        <f>IF(G81="","",IFERROR(MIN(100,G81/'Input &amp; Settings'!$B$5*100),""))</f>
        <v/>
      </c>
      <c r="R81" s="37" t="str">
        <f>IF(H81="","",IFERROR(MIN(100,H81/'Input &amp; Settings'!$B$6*100),""))</f>
        <v/>
      </c>
      <c r="S81" s="37" t="str">
        <f>IF(I81="","",IFERROR(MIN(100,I81/'Input &amp; Settings'!$B$7*100),""))</f>
        <v/>
      </c>
      <c r="T81" s="37" t="str">
        <f>IF(J81="","",IFERROR(MIN(100,J81/'Input &amp; Settings'!$B$8*100),""))</f>
        <v/>
      </c>
      <c r="U81" s="37" t="str">
        <f>IF(K81="","",IFERROR(MIN(100,K81/'Input &amp; Settings'!$B$9*100),""))</f>
        <v/>
      </c>
      <c r="V81" s="37" t="str">
        <f>IF(L81="","",IFERROR(MIN(100,L81/'Input &amp; Settings'!$B$10*100),""))</f>
        <v/>
      </c>
      <c r="W81" s="37" t="str">
        <f>IF(M81="","",IFERROR(IF(M81&lt;='Input &amp; Settings'!$B$11,100,MAX(0,100-(M81-'Input &amp; Settings'!$B$11)*20)),""))</f>
        <v/>
      </c>
      <c r="X81" s="37" t="str">
        <f>IF(N81="","",IFERROR(MIN(100,N81/'Input &amp; Settings'!$B$12*100),""))</f>
        <v/>
      </c>
      <c r="Y81" s="37" t="str">
        <f>IF(O81="","",IFERROR(MIN(100,O81/'Input &amp; Settings'!$B$13*100),""))</f>
        <v/>
      </c>
      <c r="Z81" s="37" t="str">
        <f>IF(P81="","",IFERROR(IF(P81&lt;='Input &amp; Settings'!$B$14,100,MAX(0,100-(P81-'Input &amp; Settings'!$B$14)*20)),""))</f>
        <v/>
      </c>
      <c r="AA81" s="37" t="str">
        <f>IF(COUNTA(G81:P81)=0,"",ROUND(Q81*'Input &amp; Settings'!$C$5+R81*'Input &amp; Settings'!$C$6+S81*'Input &amp; Settings'!$C$7+T81*'Input &amp; Settings'!$C$8+U81*'Input &amp; Settings'!$C$9+V81*'Input &amp; Settings'!$C$10+W81*'Input &amp; Settings'!$C$11+X81*'Input &amp; Settings'!$C$12+Y81*'Input &amp; Settings'!$C$13+Z81*'Input &amp; Settings'!$C$14,1))</f>
        <v/>
      </c>
      <c r="AB81" s="38" t="str">
        <f>IF(OR(AA81="",E81=""),"",IFERROR(IF(AA81&gt;=VLOOKUP(E81,'Input &amp; Settings'!$F$5:$K$10,3,FALSE),"Outstanding",IF(AA81&gt;=VLOOKUP(E81,'Input &amp; Settings'!$F$5:$K$10,4,FALSE),"Exceeds Expectations",IF(AA81&gt;=VLOOKUP(E81,'Input &amp; Settings'!$F$5:$K$10,5,FALSE),"Meets Expectations",IF(AA81&gt;=VLOOKUP(E81,'Input &amp; Settings'!$F$5:$K$10,6,FALSE),"Needs Improvement","Performance Improvement Required")))),""))</f>
        <v/>
      </c>
      <c r="AC81" s="38" t="str">
        <f t="shared" si="4"/>
        <v/>
      </c>
      <c r="AD81" s="39"/>
      <c r="AE81" s="40"/>
      <c r="AF81" s="41" t="str">
        <f t="shared" si="5"/>
        <v/>
      </c>
      <c r="AG81" s="42" t="str">
        <f t="shared" si="6"/>
        <v/>
      </c>
      <c r="AH81" s="42" t="str">
        <f t="shared" si="7"/>
        <v>Raul Rama|February</v>
      </c>
    </row>
    <row r="82" spans="1:34" hidden="1">
      <c r="A82" s="32">
        <v>2026</v>
      </c>
      <c r="B82" s="32" t="s">
        <v>81</v>
      </c>
      <c r="C82" s="32" t="s">
        <v>74</v>
      </c>
      <c r="D82" s="32" t="s">
        <v>76</v>
      </c>
      <c r="E82" s="33"/>
      <c r="F82" s="34" t="str">
        <f>IF(E82="","",IFERROR(VLOOKUP(E82,'Input &amp; Settings'!$F$5:$G$10,2,FALSE),""))</f>
        <v/>
      </c>
      <c r="G82" s="33"/>
      <c r="H82" s="33"/>
      <c r="I82" s="35"/>
      <c r="J82" s="33"/>
      <c r="K82" s="36"/>
      <c r="L82" s="35"/>
      <c r="M82" s="33"/>
      <c r="N82" s="33"/>
      <c r="O82" s="33"/>
      <c r="P82" s="33"/>
      <c r="Q82" s="37" t="str">
        <f>IF(G82="","",IFERROR(MIN(100,G82/'Input &amp; Settings'!$B$5*100),""))</f>
        <v/>
      </c>
      <c r="R82" s="37" t="str">
        <f>IF(H82="","",IFERROR(MIN(100,H82/'Input &amp; Settings'!$B$6*100),""))</f>
        <v/>
      </c>
      <c r="S82" s="37" t="str">
        <f>IF(I82="","",IFERROR(MIN(100,I82/'Input &amp; Settings'!$B$7*100),""))</f>
        <v/>
      </c>
      <c r="T82" s="37" t="str">
        <f>IF(J82="","",IFERROR(MIN(100,J82/'Input &amp; Settings'!$B$8*100),""))</f>
        <v/>
      </c>
      <c r="U82" s="37" t="str">
        <f>IF(K82="","",IFERROR(MIN(100,K82/'Input &amp; Settings'!$B$9*100),""))</f>
        <v/>
      </c>
      <c r="V82" s="37" t="str">
        <f>IF(L82="","",IFERROR(MIN(100,L82/'Input &amp; Settings'!$B$10*100),""))</f>
        <v/>
      </c>
      <c r="W82" s="37" t="str">
        <f>IF(M82="","",IFERROR(IF(M82&lt;='Input &amp; Settings'!$B$11,100,MAX(0,100-(M82-'Input &amp; Settings'!$B$11)*20)),""))</f>
        <v/>
      </c>
      <c r="X82" s="37" t="str">
        <f>IF(N82="","",IFERROR(MIN(100,N82/'Input &amp; Settings'!$B$12*100),""))</f>
        <v/>
      </c>
      <c r="Y82" s="37" t="str">
        <f>IF(O82="","",IFERROR(MIN(100,O82/'Input &amp; Settings'!$B$13*100),""))</f>
        <v/>
      </c>
      <c r="Z82" s="37" t="str">
        <f>IF(P82="","",IFERROR(IF(P82&lt;='Input &amp; Settings'!$B$14,100,MAX(0,100-(P82-'Input &amp; Settings'!$B$14)*20)),""))</f>
        <v/>
      </c>
      <c r="AA82" s="37" t="str">
        <f>IF(COUNTA(G82:P82)=0,"",ROUND(Q82*'Input &amp; Settings'!$C$5+R82*'Input &amp; Settings'!$C$6+S82*'Input &amp; Settings'!$C$7+T82*'Input &amp; Settings'!$C$8+U82*'Input &amp; Settings'!$C$9+V82*'Input &amp; Settings'!$C$10+W82*'Input &amp; Settings'!$C$11+X82*'Input &amp; Settings'!$C$12+Y82*'Input &amp; Settings'!$C$13+Z82*'Input &amp; Settings'!$C$14,1))</f>
        <v/>
      </c>
      <c r="AB82" s="38" t="str">
        <f>IF(OR(AA82="",E82=""),"",IFERROR(IF(AA82&gt;=VLOOKUP(E82,'Input &amp; Settings'!$F$5:$K$10,3,FALSE),"Outstanding",IF(AA82&gt;=VLOOKUP(E82,'Input &amp; Settings'!$F$5:$K$10,4,FALSE),"Exceeds Expectations",IF(AA82&gt;=VLOOKUP(E82,'Input &amp; Settings'!$F$5:$K$10,5,FALSE),"Meets Expectations",IF(AA82&gt;=VLOOKUP(E82,'Input &amp; Settings'!$F$5:$K$10,6,FALSE),"Needs Improvement","Performance Improvement Required")))),""))</f>
        <v/>
      </c>
      <c r="AC82" s="38" t="str">
        <f t="shared" si="4"/>
        <v/>
      </c>
      <c r="AD82" s="39"/>
      <c r="AE82" s="40"/>
      <c r="AF82" s="41" t="str">
        <f t="shared" si="5"/>
        <v/>
      </c>
      <c r="AG82" s="42" t="str">
        <f t="shared" si="6"/>
        <v/>
      </c>
      <c r="AH82" s="42" t="str">
        <f t="shared" si="7"/>
        <v>Kaevon Tyler|February</v>
      </c>
    </row>
    <row r="83" spans="1:34" hidden="1">
      <c r="A83" s="32">
        <v>2026</v>
      </c>
      <c r="B83" s="32" t="s">
        <v>81</v>
      </c>
      <c r="C83" s="32" t="s">
        <v>74</v>
      </c>
      <c r="D83" s="32" t="s">
        <v>77</v>
      </c>
      <c r="E83" s="33"/>
      <c r="F83" s="34" t="str">
        <f>IF(E83="","",IFERROR(VLOOKUP(E83,'Input &amp; Settings'!$F$5:$G$10,2,FALSE),""))</f>
        <v/>
      </c>
      <c r="G83" s="33"/>
      <c r="H83" s="33"/>
      <c r="I83" s="35"/>
      <c r="J83" s="33"/>
      <c r="K83" s="36"/>
      <c r="L83" s="35"/>
      <c r="M83" s="33"/>
      <c r="N83" s="33"/>
      <c r="O83" s="33"/>
      <c r="P83" s="33"/>
      <c r="Q83" s="37" t="str">
        <f>IF(G83="","",IFERROR(MIN(100,G83/'Input &amp; Settings'!$B$5*100),""))</f>
        <v/>
      </c>
      <c r="R83" s="37" t="str">
        <f>IF(H83="","",IFERROR(MIN(100,H83/'Input &amp; Settings'!$B$6*100),""))</f>
        <v/>
      </c>
      <c r="S83" s="37" t="str">
        <f>IF(I83="","",IFERROR(MIN(100,I83/'Input &amp; Settings'!$B$7*100),""))</f>
        <v/>
      </c>
      <c r="T83" s="37" t="str">
        <f>IF(J83="","",IFERROR(MIN(100,J83/'Input &amp; Settings'!$B$8*100),""))</f>
        <v/>
      </c>
      <c r="U83" s="37" t="str">
        <f>IF(K83="","",IFERROR(MIN(100,K83/'Input &amp; Settings'!$B$9*100),""))</f>
        <v/>
      </c>
      <c r="V83" s="37" t="str">
        <f>IF(L83="","",IFERROR(MIN(100,L83/'Input &amp; Settings'!$B$10*100),""))</f>
        <v/>
      </c>
      <c r="W83" s="37" t="str">
        <f>IF(M83="","",IFERROR(IF(M83&lt;='Input &amp; Settings'!$B$11,100,MAX(0,100-(M83-'Input &amp; Settings'!$B$11)*20)),""))</f>
        <v/>
      </c>
      <c r="X83" s="37" t="str">
        <f>IF(N83="","",IFERROR(MIN(100,N83/'Input &amp; Settings'!$B$12*100),""))</f>
        <v/>
      </c>
      <c r="Y83" s="37" t="str">
        <f>IF(O83="","",IFERROR(MIN(100,O83/'Input &amp; Settings'!$B$13*100),""))</f>
        <v/>
      </c>
      <c r="Z83" s="37" t="str">
        <f>IF(P83="","",IFERROR(IF(P83&lt;='Input &amp; Settings'!$B$14,100,MAX(0,100-(P83-'Input &amp; Settings'!$B$14)*20)),""))</f>
        <v/>
      </c>
      <c r="AA83" s="37" t="str">
        <f>IF(COUNTA(G83:P83)=0,"",ROUND(Q83*'Input &amp; Settings'!$C$5+R83*'Input &amp; Settings'!$C$6+S83*'Input &amp; Settings'!$C$7+T83*'Input &amp; Settings'!$C$8+U83*'Input &amp; Settings'!$C$9+V83*'Input &amp; Settings'!$C$10+W83*'Input &amp; Settings'!$C$11+X83*'Input &amp; Settings'!$C$12+Y83*'Input &amp; Settings'!$C$13+Z83*'Input &amp; Settings'!$C$14,1))</f>
        <v/>
      </c>
      <c r="AB83" s="38" t="str">
        <f>IF(OR(AA83="",E83=""),"",IFERROR(IF(AA83&gt;=VLOOKUP(E83,'Input &amp; Settings'!$F$5:$K$10,3,FALSE),"Outstanding",IF(AA83&gt;=VLOOKUP(E83,'Input &amp; Settings'!$F$5:$K$10,4,FALSE),"Exceeds Expectations",IF(AA83&gt;=VLOOKUP(E83,'Input &amp; Settings'!$F$5:$K$10,5,FALSE),"Meets Expectations",IF(AA83&gt;=VLOOKUP(E83,'Input &amp; Settings'!$F$5:$K$10,6,FALSE),"Needs Improvement","Performance Improvement Required")))),""))</f>
        <v/>
      </c>
      <c r="AC83" s="38" t="str">
        <f t="shared" si="4"/>
        <v/>
      </c>
      <c r="AD83" s="39"/>
      <c r="AE83" s="40"/>
      <c r="AF83" s="41" t="str">
        <f t="shared" si="5"/>
        <v/>
      </c>
      <c r="AG83" s="42" t="str">
        <f t="shared" si="6"/>
        <v/>
      </c>
      <c r="AH83" s="42" t="str">
        <f t="shared" si="7"/>
        <v>Christopher Dorta|February</v>
      </c>
    </row>
    <row r="84" spans="1:34" hidden="1">
      <c r="A84" s="32">
        <v>2026</v>
      </c>
      <c r="B84" s="32" t="s">
        <v>81</v>
      </c>
      <c r="C84" s="32" t="s">
        <v>74</v>
      </c>
      <c r="D84" s="32" t="s">
        <v>78</v>
      </c>
      <c r="E84" s="33"/>
      <c r="F84" s="34" t="str">
        <f>IF(E84="","",IFERROR(VLOOKUP(E84,'Input &amp; Settings'!$F$5:$G$10,2,FALSE),""))</f>
        <v/>
      </c>
      <c r="G84" s="33"/>
      <c r="H84" s="33"/>
      <c r="I84" s="35"/>
      <c r="J84" s="33"/>
      <c r="K84" s="36"/>
      <c r="L84" s="35"/>
      <c r="M84" s="33"/>
      <c r="N84" s="33"/>
      <c r="O84" s="33"/>
      <c r="P84" s="33"/>
      <c r="Q84" s="37" t="str">
        <f>IF(G84="","",IFERROR(MIN(100,G84/'Input &amp; Settings'!$B$5*100),""))</f>
        <v/>
      </c>
      <c r="R84" s="37" t="str">
        <f>IF(H84="","",IFERROR(MIN(100,H84/'Input &amp; Settings'!$B$6*100),""))</f>
        <v/>
      </c>
      <c r="S84" s="37" t="str">
        <f>IF(I84="","",IFERROR(MIN(100,I84/'Input &amp; Settings'!$B$7*100),""))</f>
        <v/>
      </c>
      <c r="T84" s="37" t="str">
        <f>IF(J84="","",IFERROR(MIN(100,J84/'Input &amp; Settings'!$B$8*100),""))</f>
        <v/>
      </c>
      <c r="U84" s="37" t="str">
        <f>IF(K84="","",IFERROR(MIN(100,K84/'Input &amp; Settings'!$B$9*100),""))</f>
        <v/>
      </c>
      <c r="V84" s="37" t="str">
        <f>IF(L84="","",IFERROR(MIN(100,L84/'Input &amp; Settings'!$B$10*100),""))</f>
        <v/>
      </c>
      <c r="W84" s="37" t="str">
        <f>IF(M84="","",IFERROR(IF(M84&lt;='Input &amp; Settings'!$B$11,100,MAX(0,100-(M84-'Input &amp; Settings'!$B$11)*20)),""))</f>
        <v/>
      </c>
      <c r="X84" s="37" t="str">
        <f>IF(N84="","",IFERROR(MIN(100,N84/'Input &amp; Settings'!$B$12*100),""))</f>
        <v/>
      </c>
      <c r="Y84" s="37" t="str">
        <f>IF(O84="","",IFERROR(MIN(100,O84/'Input &amp; Settings'!$B$13*100),""))</f>
        <v/>
      </c>
      <c r="Z84" s="37" t="str">
        <f>IF(P84="","",IFERROR(IF(P84&lt;='Input &amp; Settings'!$B$14,100,MAX(0,100-(P84-'Input &amp; Settings'!$B$14)*20)),""))</f>
        <v/>
      </c>
      <c r="AA84" s="37" t="str">
        <f>IF(COUNTA(G84:P84)=0,"",ROUND(Q84*'Input &amp; Settings'!$C$5+R84*'Input &amp; Settings'!$C$6+S84*'Input &amp; Settings'!$C$7+T84*'Input &amp; Settings'!$C$8+U84*'Input &amp; Settings'!$C$9+V84*'Input &amp; Settings'!$C$10+W84*'Input &amp; Settings'!$C$11+X84*'Input &amp; Settings'!$C$12+Y84*'Input &amp; Settings'!$C$13+Z84*'Input &amp; Settings'!$C$14,1))</f>
        <v/>
      </c>
      <c r="AB84" s="38" t="str">
        <f>IF(OR(AA84="",E84=""),"",IFERROR(IF(AA84&gt;=VLOOKUP(E84,'Input &amp; Settings'!$F$5:$K$10,3,FALSE),"Outstanding",IF(AA84&gt;=VLOOKUP(E84,'Input &amp; Settings'!$F$5:$K$10,4,FALSE),"Exceeds Expectations",IF(AA84&gt;=VLOOKUP(E84,'Input &amp; Settings'!$F$5:$K$10,5,FALSE),"Meets Expectations",IF(AA84&gt;=VLOOKUP(E84,'Input &amp; Settings'!$F$5:$K$10,6,FALSE),"Needs Improvement","Performance Improvement Required")))),""))</f>
        <v/>
      </c>
      <c r="AC84" s="38" t="str">
        <f t="shared" si="4"/>
        <v/>
      </c>
      <c r="AD84" s="39"/>
      <c r="AE84" s="40"/>
      <c r="AF84" s="41" t="str">
        <f t="shared" si="5"/>
        <v/>
      </c>
      <c r="AG84" s="42" t="str">
        <f t="shared" si="6"/>
        <v/>
      </c>
      <c r="AH84" s="42" t="str">
        <f t="shared" si="7"/>
        <v>Andres Galvis|February</v>
      </c>
    </row>
    <row r="85" spans="1:34" hidden="1">
      <c r="A85" s="32">
        <v>2026</v>
      </c>
      <c r="B85" s="32" t="s">
        <v>81</v>
      </c>
      <c r="C85" s="32" t="s">
        <v>74</v>
      </c>
      <c r="D85" s="32" t="s">
        <v>79</v>
      </c>
      <c r="E85" s="33"/>
      <c r="F85" s="34" t="str">
        <f>IF(E85="","",IFERROR(VLOOKUP(E85,'Input &amp; Settings'!$F$5:$G$10,2,FALSE),""))</f>
        <v/>
      </c>
      <c r="G85" s="33"/>
      <c r="H85" s="33"/>
      <c r="I85" s="35"/>
      <c r="J85" s="33"/>
      <c r="K85" s="36"/>
      <c r="L85" s="35"/>
      <c r="M85" s="33"/>
      <c r="N85" s="33"/>
      <c r="O85" s="33"/>
      <c r="P85" s="33"/>
      <c r="Q85" s="37" t="str">
        <f>IF(G85="","",IFERROR(MIN(100,G85/'Input &amp; Settings'!$B$5*100),""))</f>
        <v/>
      </c>
      <c r="R85" s="37" t="str">
        <f>IF(H85="","",IFERROR(MIN(100,H85/'Input &amp; Settings'!$B$6*100),""))</f>
        <v/>
      </c>
      <c r="S85" s="37" t="str">
        <f>IF(I85="","",IFERROR(MIN(100,I85/'Input &amp; Settings'!$B$7*100),""))</f>
        <v/>
      </c>
      <c r="T85" s="37" t="str">
        <f>IF(J85="","",IFERROR(MIN(100,J85/'Input &amp; Settings'!$B$8*100),""))</f>
        <v/>
      </c>
      <c r="U85" s="37" t="str">
        <f>IF(K85="","",IFERROR(MIN(100,K85/'Input &amp; Settings'!$B$9*100),""))</f>
        <v/>
      </c>
      <c r="V85" s="37" t="str">
        <f>IF(L85="","",IFERROR(MIN(100,L85/'Input &amp; Settings'!$B$10*100),""))</f>
        <v/>
      </c>
      <c r="W85" s="37" t="str">
        <f>IF(M85="","",IFERROR(IF(M85&lt;='Input &amp; Settings'!$B$11,100,MAX(0,100-(M85-'Input &amp; Settings'!$B$11)*20)),""))</f>
        <v/>
      </c>
      <c r="X85" s="37" t="str">
        <f>IF(N85="","",IFERROR(MIN(100,N85/'Input &amp; Settings'!$B$12*100),""))</f>
        <v/>
      </c>
      <c r="Y85" s="37" t="str">
        <f>IF(O85="","",IFERROR(MIN(100,O85/'Input &amp; Settings'!$B$13*100),""))</f>
        <v/>
      </c>
      <c r="Z85" s="37" t="str">
        <f>IF(P85="","",IFERROR(IF(P85&lt;='Input &amp; Settings'!$B$14,100,MAX(0,100-(P85-'Input &amp; Settings'!$B$14)*20)),""))</f>
        <v/>
      </c>
      <c r="AA85" s="37" t="str">
        <f>IF(COUNTA(G85:P85)=0,"",ROUND(Q85*'Input &amp; Settings'!$C$5+R85*'Input &amp; Settings'!$C$6+S85*'Input &amp; Settings'!$C$7+T85*'Input &amp; Settings'!$C$8+U85*'Input &amp; Settings'!$C$9+V85*'Input &amp; Settings'!$C$10+W85*'Input &amp; Settings'!$C$11+X85*'Input &amp; Settings'!$C$12+Y85*'Input &amp; Settings'!$C$13+Z85*'Input &amp; Settings'!$C$14,1))</f>
        <v/>
      </c>
      <c r="AB85" s="38" t="str">
        <f>IF(OR(AA85="",E85=""),"",IFERROR(IF(AA85&gt;=VLOOKUP(E85,'Input &amp; Settings'!$F$5:$K$10,3,FALSE),"Outstanding",IF(AA85&gt;=VLOOKUP(E85,'Input &amp; Settings'!$F$5:$K$10,4,FALSE),"Exceeds Expectations",IF(AA85&gt;=VLOOKUP(E85,'Input &amp; Settings'!$F$5:$K$10,5,FALSE),"Meets Expectations",IF(AA85&gt;=VLOOKUP(E85,'Input &amp; Settings'!$F$5:$K$10,6,FALSE),"Needs Improvement","Performance Improvement Required")))),""))</f>
        <v/>
      </c>
      <c r="AC85" s="38" t="str">
        <f t="shared" si="4"/>
        <v/>
      </c>
      <c r="AD85" s="39"/>
      <c r="AE85" s="40"/>
      <c r="AF85" s="41" t="str">
        <f t="shared" si="5"/>
        <v/>
      </c>
      <c r="AG85" s="42" t="str">
        <f t="shared" si="6"/>
        <v/>
      </c>
      <c r="AH85" s="42" t="str">
        <f t="shared" si="7"/>
        <v>Roberto Eckardt|February</v>
      </c>
    </row>
    <row r="86" spans="1:34" hidden="1">
      <c r="A86" s="32">
        <v>2026</v>
      </c>
      <c r="B86" s="32" t="s">
        <v>81</v>
      </c>
      <c r="C86" s="32" t="s">
        <v>74</v>
      </c>
      <c r="D86" s="32" t="s">
        <v>80</v>
      </c>
      <c r="E86" s="33"/>
      <c r="F86" s="34" t="str">
        <f>IF(E86="","",IFERROR(VLOOKUP(E86,'Input &amp; Settings'!$F$5:$G$10,2,FALSE),""))</f>
        <v/>
      </c>
      <c r="G86" s="33"/>
      <c r="H86" s="33"/>
      <c r="I86" s="35"/>
      <c r="J86" s="33"/>
      <c r="K86" s="36"/>
      <c r="L86" s="35"/>
      <c r="M86" s="33"/>
      <c r="N86" s="33"/>
      <c r="O86" s="33"/>
      <c r="P86" s="33"/>
      <c r="Q86" s="37" t="str">
        <f>IF(G86="","",IFERROR(MIN(100,G86/'Input &amp; Settings'!$B$5*100),""))</f>
        <v/>
      </c>
      <c r="R86" s="37" t="str">
        <f>IF(H86="","",IFERROR(MIN(100,H86/'Input &amp; Settings'!$B$6*100),""))</f>
        <v/>
      </c>
      <c r="S86" s="37" t="str">
        <f>IF(I86="","",IFERROR(MIN(100,I86/'Input &amp; Settings'!$B$7*100),""))</f>
        <v/>
      </c>
      <c r="T86" s="37" t="str">
        <f>IF(J86="","",IFERROR(MIN(100,J86/'Input &amp; Settings'!$B$8*100),""))</f>
        <v/>
      </c>
      <c r="U86" s="37" t="str">
        <f>IF(K86="","",IFERROR(MIN(100,K86/'Input &amp; Settings'!$B$9*100),""))</f>
        <v/>
      </c>
      <c r="V86" s="37" t="str">
        <f>IF(L86="","",IFERROR(MIN(100,L86/'Input &amp; Settings'!$B$10*100),""))</f>
        <v/>
      </c>
      <c r="W86" s="37" t="str">
        <f>IF(M86="","",IFERROR(IF(M86&lt;='Input &amp; Settings'!$B$11,100,MAX(0,100-(M86-'Input &amp; Settings'!$B$11)*20)),""))</f>
        <v/>
      </c>
      <c r="X86" s="37" t="str">
        <f>IF(N86="","",IFERROR(MIN(100,N86/'Input &amp; Settings'!$B$12*100),""))</f>
        <v/>
      </c>
      <c r="Y86" s="37" t="str">
        <f>IF(O86="","",IFERROR(MIN(100,O86/'Input &amp; Settings'!$B$13*100),""))</f>
        <v/>
      </c>
      <c r="Z86" s="37" t="str">
        <f>IF(P86="","",IFERROR(IF(P86&lt;='Input &amp; Settings'!$B$14,100,MAX(0,100-(P86-'Input &amp; Settings'!$B$14)*20)),""))</f>
        <v/>
      </c>
      <c r="AA86" s="37" t="str">
        <f>IF(COUNTA(G86:P86)=0,"",ROUND(Q86*'Input &amp; Settings'!$C$5+R86*'Input &amp; Settings'!$C$6+S86*'Input &amp; Settings'!$C$7+T86*'Input &amp; Settings'!$C$8+U86*'Input &amp; Settings'!$C$9+V86*'Input &amp; Settings'!$C$10+W86*'Input &amp; Settings'!$C$11+X86*'Input &amp; Settings'!$C$12+Y86*'Input &amp; Settings'!$C$13+Z86*'Input &amp; Settings'!$C$14,1))</f>
        <v/>
      </c>
      <c r="AB86" s="38" t="str">
        <f>IF(OR(AA86="",E86=""),"",IFERROR(IF(AA86&gt;=VLOOKUP(E86,'Input &amp; Settings'!$F$5:$K$10,3,FALSE),"Outstanding",IF(AA86&gt;=VLOOKUP(E86,'Input &amp; Settings'!$F$5:$K$10,4,FALSE),"Exceeds Expectations",IF(AA86&gt;=VLOOKUP(E86,'Input &amp; Settings'!$F$5:$K$10,5,FALSE),"Meets Expectations",IF(AA86&gt;=VLOOKUP(E86,'Input &amp; Settings'!$F$5:$K$10,6,FALSE),"Needs Improvement","Performance Improvement Required")))),""))</f>
        <v/>
      </c>
      <c r="AC86" s="38" t="str">
        <f t="shared" si="4"/>
        <v/>
      </c>
      <c r="AD86" s="39"/>
      <c r="AE86" s="40"/>
      <c r="AF86" s="41" t="str">
        <f t="shared" si="5"/>
        <v/>
      </c>
      <c r="AG86" s="42" t="str">
        <f t="shared" si="6"/>
        <v/>
      </c>
      <c r="AH86" s="42" t="str">
        <f t="shared" si="7"/>
        <v>Angel Perez Martinez|February</v>
      </c>
    </row>
    <row r="87" spans="1:34" hidden="1">
      <c r="A87" s="32">
        <v>2026</v>
      </c>
      <c r="B87" s="32" t="s">
        <v>82</v>
      </c>
      <c r="C87" s="32" t="s">
        <v>36</v>
      </c>
      <c r="D87" s="32" t="s">
        <v>37</v>
      </c>
      <c r="E87" s="33"/>
      <c r="F87" s="34" t="str">
        <f>IF(E87="","",IFERROR(VLOOKUP(E87,'Input &amp; Settings'!$F$5:$G$10,2,FALSE),""))</f>
        <v/>
      </c>
      <c r="G87" s="33"/>
      <c r="H87" s="33"/>
      <c r="I87" s="35"/>
      <c r="J87" s="33"/>
      <c r="K87" s="36"/>
      <c r="L87" s="35"/>
      <c r="M87" s="33"/>
      <c r="N87" s="33"/>
      <c r="O87" s="33"/>
      <c r="P87" s="33"/>
      <c r="Q87" s="37" t="str">
        <f>IF(G87="","",IFERROR(MIN(100,G87/'Input &amp; Settings'!$B$5*100),""))</f>
        <v/>
      </c>
      <c r="R87" s="37" t="str">
        <f>IF(H87="","",IFERROR(MIN(100,H87/'Input &amp; Settings'!$B$6*100),""))</f>
        <v/>
      </c>
      <c r="S87" s="37" t="str">
        <f>IF(I87="","",IFERROR(MIN(100,I87/'Input &amp; Settings'!$B$7*100),""))</f>
        <v/>
      </c>
      <c r="T87" s="37" t="str">
        <f>IF(J87="","",IFERROR(MIN(100,J87/'Input &amp; Settings'!$B$8*100),""))</f>
        <v/>
      </c>
      <c r="U87" s="37" t="str">
        <f>IF(K87="","",IFERROR(MIN(100,K87/'Input &amp; Settings'!$B$9*100),""))</f>
        <v/>
      </c>
      <c r="V87" s="37" t="str">
        <f>IF(L87="","",IFERROR(MIN(100,L87/'Input &amp; Settings'!$B$10*100),""))</f>
        <v/>
      </c>
      <c r="W87" s="37" t="str">
        <f>IF(M87="","",IFERROR(IF(M87&lt;='Input &amp; Settings'!$B$11,100,MAX(0,100-(M87-'Input &amp; Settings'!$B$11)*20)),""))</f>
        <v/>
      </c>
      <c r="X87" s="37" t="str">
        <f>IF(N87="","",IFERROR(MIN(100,N87/'Input &amp; Settings'!$B$12*100),""))</f>
        <v/>
      </c>
      <c r="Y87" s="37" t="str">
        <f>IF(O87="","",IFERROR(MIN(100,O87/'Input &amp; Settings'!$B$13*100),""))</f>
        <v/>
      </c>
      <c r="Z87" s="37" t="str">
        <f>IF(P87="","",IFERROR(IF(P87&lt;='Input &amp; Settings'!$B$14,100,MAX(0,100-(P87-'Input &amp; Settings'!$B$14)*20)),""))</f>
        <v/>
      </c>
      <c r="AA87" s="37" t="str">
        <f>IF(COUNTA(G87:P87)=0,"",ROUND(Q87*'Input &amp; Settings'!$C$5+R87*'Input &amp; Settings'!$C$6+S87*'Input &amp; Settings'!$C$7+T87*'Input &amp; Settings'!$C$8+U87*'Input &amp; Settings'!$C$9+V87*'Input &amp; Settings'!$C$10+W87*'Input &amp; Settings'!$C$11+X87*'Input &amp; Settings'!$C$12+Y87*'Input &amp; Settings'!$C$13+Z87*'Input &amp; Settings'!$C$14,1))</f>
        <v/>
      </c>
      <c r="AB87" s="38" t="str">
        <f>IF(OR(AA87="",E87=""),"",IFERROR(IF(AA87&gt;=VLOOKUP(E87,'Input &amp; Settings'!$F$5:$K$10,3,FALSE),"Outstanding",IF(AA87&gt;=VLOOKUP(E87,'Input &amp; Settings'!$F$5:$K$10,4,FALSE),"Exceeds Expectations",IF(AA87&gt;=VLOOKUP(E87,'Input &amp; Settings'!$F$5:$K$10,5,FALSE),"Meets Expectations",IF(AA87&gt;=VLOOKUP(E87,'Input &amp; Settings'!$F$5:$K$10,6,FALSE),"Needs Improvement","Performance Improvement Required")))),""))</f>
        <v/>
      </c>
      <c r="AC87" s="38" t="str">
        <f t="shared" si="4"/>
        <v/>
      </c>
      <c r="AD87" s="39"/>
      <c r="AE87" s="40"/>
      <c r="AF87" s="41" t="str">
        <f t="shared" si="5"/>
        <v/>
      </c>
      <c r="AG87" s="42" t="str">
        <f t="shared" si="6"/>
        <v/>
      </c>
      <c r="AH87" s="42" t="str">
        <f t="shared" si="7"/>
        <v>Carly Huber|March</v>
      </c>
    </row>
    <row r="88" spans="1:34" hidden="1">
      <c r="A88" s="32">
        <v>2026</v>
      </c>
      <c r="B88" s="32" t="s">
        <v>82</v>
      </c>
      <c r="C88" s="32" t="s">
        <v>36</v>
      </c>
      <c r="D88" s="32" t="s">
        <v>38</v>
      </c>
      <c r="E88" s="33"/>
      <c r="F88" s="34" t="str">
        <f>IF(E88="","",IFERROR(VLOOKUP(E88,'Input &amp; Settings'!$F$5:$G$10,2,FALSE),""))</f>
        <v/>
      </c>
      <c r="G88" s="33"/>
      <c r="H88" s="33"/>
      <c r="I88" s="35"/>
      <c r="J88" s="33"/>
      <c r="K88" s="36"/>
      <c r="L88" s="35"/>
      <c r="M88" s="33"/>
      <c r="N88" s="33"/>
      <c r="O88" s="33"/>
      <c r="P88" s="33"/>
      <c r="Q88" s="37" t="str">
        <f>IF(G88="","",IFERROR(MIN(100,G88/'Input &amp; Settings'!$B$5*100),""))</f>
        <v/>
      </c>
      <c r="R88" s="37" t="str">
        <f>IF(H88="","",IFERROR(MIN(100,H88/'Input &amp; Settings'!$B$6*100),""))</f>
        <v/>
      </c>
      <c r="S88" s="37" t="str">
        <f>IF(I88="","",IFERROR(MIN(100,I88/'Input &amp; Settings'!$B$7*100),""))</f>
        <v/>
      </c>
      <c r="T88" s="37" t="str">
        <f>IF(J88="","",IFERROR(MIN(100,J88/'Input &amp; Settings'!$B$8*100),""))</f>
        <v/>
      </c>
      <c r="U88" s="37" t="str">
        <f>IF(K88="","",IFERROR(MIN(100,K88/'Input &amp; Settings'!$B$9*100),""))</f>
        <v/>
      </c>
      <c r="V88" s="37" t="str">
        <f>IF(L88="","",IFERROR(MIN(100,L88/'Input &amp; Settings'!$B$10*100),""))</f>
        <v/>
      </c>
      <c r="W88" s="37" t="str">
        <f>IF(M88="","",IFERROR(IF(M88&lt;='Input &amp; Settings'!$B$11,100,MAX(0,100-(M88-'Input &amp; Settings'!$B$11)*20)),""))</f>
        <v/>
      </c>
      <c r="X88" s="37" t="str">
        <f>IF(N88="","",IFERROR(MIN(100,N88/'Input &amp; Settings'!$B$12*100),""))</f>
        <v/>
      </c>
      <c r="Y88" s="37" t="str">
        <f>IF(O88="","",IFERROR(MIN(100,O88/'Input &amp; Settings'!$B$13*100),""))</f>
        <v/>
      </c>
      <c r="Z88" s="37" t="str">
        <f>IF(P88="","",IFERROR(IF(P88&lt;='Input &amp; Settings'!$B$14,100,MAX(0,100-(P88-'Input &amp; Settings'!$B$14)*20)),""))</f>
        <v/>
      </c>
      <c r="AA88" s="37" t="str">
        <f>IF(COUNTA(G88:P88)=0,"",ROUND(Q88*'Input &amp; Settings'!$C$5+R88*'Input &amp; Settings'!$C$6+S88*'Input &amp; Settings'!$C$7+T88*'Input &amp; Settings'!$C$8+U88*'Input &amp; Settings'!$C$9+V88*'Input &amp; Settings'!$C$10+W88*'Input &amp; Settings'!$C$11+X88*'Input &amp; Settings'!$C$12+Y88*'Input &amp; Settings'!$C$13+Z88*'Input &amp; Settings'!$C$14,1))</f>
        <v/>
      </c>
      <c r="AB88" s="38" t="str">
        <f>IF(OR(AA88="",E88=""),"",IFERROR(IF(AA88&gt;=VLOOKUP(E88,'Input &amp; Settings'!$F$5:$K$10,3,FALSE),"Outstanding",IF(AA88&gt;=VLOOKUP(E88,'Input &amp; Settings'!$F$5:$K$10,4,FALSE),"Exceeds Expectations",IF(AA88&gt;=VLOOKUP(E88,'Input &amp; Settings'!$F$5:$K$10,5,FALSE),"Meets Expectations",IF(AA88&gt;=VLOOKUP(E88,'Input &amp; Settings'!$F$5:$K$10,6,FALSE),"Needs Improvement","Performance Improvement Required")))),""))</f>
        <v/>
      </c>
      <c r="AC88" s="38" t="str">
        <f t="shared" si="4"/>
        <v/>
      </c>
      <c r="AD88" s="39"/>
      <c r="AE88" s="40"/>
      <c r="AF88" s="41" t="str">
        <f t="shared" si="5"/>
        <v/>
      </c>
      <c r="AG88" s="42" t="str">
        <f t="shared" si="6"/>
        <v/>
      </c>
      <c r="AH88" s="42" t="str">
        <f t="shared" si="7"/>
        <v>Julian Grier|March</v>
      </c>
    </row>
    <row r="89" spans="1:34" hidden="1">
      <c r="A89" s="32">
        <v>2026</v>
      </c>
      <c r="B89" s="32" t="s">
        <v>82</v>
      </c>
      <c r="C89" s="32" t="s">
        <v>36</v>
      </c>
      <c r="D89" s="32" t="s">
        <v>39</v>
      </c>
      <c r="E89" s="33"/>
      <c r="F89" s="34" t="str">
        <f>IF(E89="","",IFERROR(VLOOKUP(E89,'Input &amp; Settings'!$F$5:$G$10,2,FALSE),""))</f>
        <v/>
      </c>
      <c r="G89" s="33"/>
      <c r="H89" s="33"/>
      <c r="I89" s="35"/>
      <c r="J89" s="33"/>
      <c r="K89" s="36"/>
      <c r="L89" s="35"/>
      <c r="M89" s="33"/>
      <c r="N89" s="33"/>
      <c r="O89" s="33"/>
      <c r="P89" s="33"/>
      <c r="Q89" s="37" t="str">
        <f>IF(G89="","",IFERROR(MIN(100,G89/'Input &amp; Settings'!$B$5*100),""))</f>
        <v/>
      </c>
      <c r="R89" s="37" t="str">
        <f>IF(H89="","",IFERROR(MIN(100,H89/'Input &amp; Settings'!$B$6*100),""))</f>
        <v/>
      </c>
      <c r="S89" s="37" t="str">
        <f>IF(I89="","",IFERROR(MIN(100,I89/'Input &amp; Settings'!$B$7*100),""))</f>
        <v/>
      </c>
      <c r="T89" s="37" t="str">
        <f>IF(J89="","",IFERROR(MIN(100,J89/'Input &amp; Settings'!$B$8*100),""))</f>
        <v/>
      </c>
      <c r="U89" s="37" t="str">
        <f>IF(K89="","",IFERROR(MIN(100,K89/'Input &amp; Settings'!$B$9*100),""))</f>
        <v/>
      </c>
      <c r="V89" s="37" t="str">
        <f>IF(L89="","",IFERROR(MIN(100,L89/'Input &amp; Settings'!$B$10*100),""))</f>
        <v/>
      </c>
      <c r="W89" s="37" t="str">
        <f>IF(M89="","",IFERROR(IF(M89&lt;='Input &amp; Settings'!$B$11,100,MAX(0,100-(M89-'Input &amp; Settings'!$B$11)*20)),""))</f>
        <v/>
      </c>
      <c r="X89" s="37" t="str">
        <f>IF(N89="","",IFERROR(MIN(100,N89/'Input &amp; Settings'!$B$12*100),""))</f>
        <v/>
      </c>
      <c r="Y89" s="37" t="str">
        <f>IF(O89="","",IFERROR(MIN(100,O89/'Input &amp; Settings'!$B$13*100),""))</f>
        <v/>
      </c>
      <c r="Z89" s="37" t="str">
        <f>IF(P89="","",IFERROR(IF(P89&lt;='Input &amp; Settings'!$B$14,100,MAX(0,100-(P89-'Input &amp; Settings'!$B$14)*20)),""))</f>
        <v/>
      </c>
      <c r="AA89" s="37" t="str">
        <f>IF(COUNTA(G89:P89)=0,"",ROUND(Q89*'Input &amp; Settings'!$C$5+R89*'Input &amp; Settings'!$C$6+S89*'Input &amp; Settings'!$C$7+T89*'Input &amp; Settings'!$C$8+U89*'Input &amp; Settings'!$C$9+V89*'Input &amp; Settings'!$C$10+W89*'Input &amp; Settings'!$C$11+X89*'Input &amp; Settings'!$C$12+Y89*'Input &amp; Settings'!$C$13+Z89*'Input &amp; Settings'!$C$14,1))</f>
        <v/>
      </c>
      <c r="AB89" s="38" t="str">
        <f>IF(OR(AA89="",E89=""),"",IFERROR(IF(AA89&gt;=VLOOKUP(E89,'Input &amp; Settings'!$F$5:$K$10,3,FALSE),"Outstanding",IF(AA89&gt;=VLOOKUP(E89,'Input &amp; Settings'!$F$5:$K$10,4,FALSE),"Exceeds Expectations",IF(AA89&gt;=VLOOKUP(E89,'Input &amp; Settings'!$F$5:$K$10,5,FALSE),"Meets Expectations",IF(AA89&gt;=VLOOKUP(E89,'Input &amp; Settings'!$F$5:$K$10,6,FALSE),"Needs Improvement","Performance Improvement Required")))),""))</f>
        <v/>
      </c>
      <c r="AC89" s="38" t="str">
        <f t="shared" si="4"/>
        <v/>
      </c>
      <c r="AD89" s="39"/>
      <c r="AE89" s="40"/>
      <c r="AF89" s="41" t="str">
        <f t="shared" si="5"/>
        <v/>
      </c>
      <c r="AG89" s="42" t="str">
        <f t="shared" si="6"/>
        <v/>
      </c>
      <c r="AH89" s="42" t="str">
        <f t="shared" si="7"/>
        <v>Jorge Lopez|March</v>
      </c>
    </row>
    <row r="90" spans="1:34" hidden="1">
      <c r="A90" s="32">
        <v>2026</v>
      </c>
      <c r="B90" s="32" t="s">
        <v>82</v>
      </c>
      <c r="C90" s="32" t="s">
        <v>36</v>
      </c>
      <c r="D90" s="32" t="s">
        <v>40</v>
      </c>
      <c r="E90" s="33"/>
      <c r="F90" s="34" t="str">
        <f>IF(E90="","",IFERROR(VLOOKUP(E90,'Input &amp; Settings'!$F$5:$G$10,2,FALSE),""))</f>
        <v/>
      </c>
      <c r="G90" s="33"/>
      <c r="H90" s="33"/>
      <c r="I90" s="35"/>
      <c r="J90" s="33"/>
      <c r="K90" s="36"/>
      <c r="L90" s="35"/>
      <c r="M90" s="33"/>
      <c r="N90" s="33"/>
      <c r="O90" s="33"/>
      <c r="P90" s="33"/>
      <c r="Q90" s="37" t="str">
        <f>IF(G90="","",IFERROR(MIN(100,G90/'Input &amp; Settings'!$B$5*100),""))</f>
        <v/>
      </c>
      <c r="R90" s="37" t="str">
        <f>IF(H90="","",IFERROR(MIN(100,H90/'Input &amp; Settings'!$B$6*100),""))</f>
        <v/>
      </c>
      <c r="S90" s="37" t="str">
        <f>IF(I90="","",IFERROR(MIN(100,I90/'Input &amp; Settings'!$B$7*100),""))</f>
        <v/>
      </c>
      <c r="T90" s="37" t="str">
        <f>IF(J90="","",IFERROR(MIN(100,J90/'Input &amp; Settings'!$B$8*100),""))</f>
        <v/>
      </c>
      <c r="U90" s="37" t="str">
        <f>IF(K90="","",IFERROR(MIN(100,K90/'Input &amp; Settings'!$B$9*100),""))</f>
        <v/>
      </c>
      <c r="V90" s="37" t="str">
        <f>IF(L90="","",IFERROR(MIN(100,L90/'Input &amp; Settings'!$B$10*100),""))</f>
        <v/>
      </c>
      <c r="W90" s="37" t="str">
        <f>IF(M90="","",IFERROR(IF(M90&lt;='Input &amp; Settings'!$B$11,100,MAX(0,100-(M90-'Input &amp; Settings'!$B$11)*20)),""))</f>
        <v/>
      </c>
      <c r="X90" s="37" t="str">
        <f>IF(N90="","",IFERROR(MIN(100,N90/'Input &amp; Settings'!$B$12*100),""))</f>
        <v/>
      </c>
      <c r="Y90" s="37" t="str">
        <f>IF(O90="","",IFERROR(MIN(100,O90/'Input &amp; Settings'!$B$13*100),""))</f>
        <v/>
      </c>
      <c r="Z90" s="37" t="str">
        <f>IF(P90="","",IFERROR(IF(P90&lt;='Input &amp; Settings'!$B$14,100,MAX(0,100-(P90-'Input &amp; Settings'!$B$14)*20)),""))</f>
        <v/>
      </c>
      <c r="AA90" s="37" t="str">
        <f>IF(COUNTA(G90:P90)=0,"",ROUND(Q90*'Input &amp; Settings'!$C$5+R90*'Input &amp; Settings'!$C$6+S90*'Input &amp; Settings'!$C$7+T90*'Input &amp; Settings'!$C$8+U90*'Input &amp; Settings'!$C$9+V90*'Input &amp; Settings'!$C$10+W90*'Input &amp; Settings'!$C$11+X90*'Input &amp; Settings'!$C$12+Y90*'Input &amp; Settings'!$C$13+Z90*'Input &amp; Settings'!$C$14,1))</f>
        <v/>
      </c>
      <c r="AB90" s="38" t="str">
        <f>IF(OR(AA90="",E90=""),"",IFERROR(IF(AA90&gt;=VLOOKUP(E90,'Input &amp; Settings'!$F$5:$K$10,3,FALSE),"Outstanding",IF(AA90&gt;=VLOOKUP(E90,'Input &amp; Settings'!$F$5:$K$10,4,FALSE),"Exceeds Expectations",IF(AA90&gt;=VLOOKUP(E90,'Input &amp; Settings'!$F$5:$K$10,5,FALSE),"Meets Expectations",IF(AA90&gt;=VLOOKUP(E90,'Input &amp; Settings'!$F$5:$K$10,6,FALSE),"Needs Improvement","Performance Improvement Required")))),""))</f>
        <v/>
      </c>
      <c r="AC90" s="38" t="str">
        <f t="shared" si="4"/>
        <v/>
      </c>
      <c r="AD90" s="39"/>
      <c r="AE90" s="40"/>
      <c r="AF90" s="41" t="str">
        <f t="shared" si="5"/>
        <v/>
      </c>
      <c r="AG90" s="42" t="str">
        <f t="shared" si="6"/>
        <v/>
      </c>
      <c r="AH90" s="42" t="str">
        <f t="shared" si="7"/>
        <v>Juan Pablo Pique Buil (JP)|March</v>
      </c>
    </row>
    <row r="91" spans="1:34" hidden="1">
      <c r="A91" s="32">
        <v>2026</v>
      </c>
      <c r="B91" s="32" t="s">
        <v>82</v>
      </c>
      <c r="C91" s="32" t="s">
        <v>36</v>
      </c>
      <c r="D91" s="32" t="s">
        <v>41</v>
      </c>
      <c r="E91" s="33"/>
      <c r="F91" s="34" t="str">
        <f>IF(E91="","",IFERROR(VLOOKUP(E91,'Input &amp; Settings'!$F$5:$G$10,2,FALSE),""))</f>
        <v/>
      </c>
      <c r="G91" s="33"/>
      <c r="H91" s="33"/>
      <c r="I91" s="35"/>
      <c r="J91" s="33"/>
      <c r="K91" s="36"/>
      <c r="L91" s="35"/>
      <c r="M91" s="33"/>
      <c r="N91" s="33"/>
      <c r="O91" s="33"/>
      <c r="P91" s="33"/>
      <c r="Q91" s="37" t="str">
        <f>IF(G91="","",IFERROR(MIN(100,G91/'Input &amp; Settings'!$B$5*100),""))</f>
        <v/>
      </c>
      <c r="R91" s="37" t="str">
        <f>IF(H91="","",IFERROR(MIN(100,H91/'Input &amp; Settings'!$B$6*100),""))</f>
        <v/>
      </c>
      <c r="S91" s="37" t="str">
        <f>IF(I91="","",IFERROR(MIN(100,I91/'Input &amp; Settings'!$B$7*100),""))</f>
        <v/>
      </c>
      <c r="T91" s="37" t="str">
        <f>IF(J91="","",IFERROR(MIN(100,J91/'Input &amp; Settings'!$B$8*100),""))</f>
        <v/>
      </c>
      <c r="U91" s="37" t="str">
        <f>IF(K91="","",IFERROR(MIN(100,K91/'Input &amp; Settings'!$B$9*100),""))</f>
        <v/>
      </c>
      <c r="V91" s="37" t="str">
        <f>IF(L91="","",IFERROR(MIN(100,L91/'Input &amp; Settings'!$B$10*100),""))</f>
        <v/>
      </c>
      <c r="W91" s="37" t="str">
        <f>IF(M91="","",IFERROR(IF(M91&lt;='Input &amp; Settings'!$B$11,100,MAX(0,100-(M91-'Input &amp; Settings'!$B$11)*20)),""))</f>
        <v/>
      </c>
      <c r="X91" s="37" t="str">
        <f>IF(N91="","",IFERROR(MIN(100,N91/'Input &amp; Settings'!$B$12*100),""))</f>
        <v/>
      </c>
      <c r="Y91" s="37" t="str">
        <f>IF(O91="","",IFERROR(MIN(100,O91/'Input &amp; Settings'!$B$13*100),""))</f>
        <v/>
      </c>
      <c r="Z91" s="37" t="str">
        <f>IF(P91="","",IFERROR(IF(P91&lt;='Input &amp; Settings'!$B$14,100,MAX(0,100-(P91-'Input &amp; Settings'!$B$14)*20)),""))</f>
        <v/>
      </c>
      <c r="AA91" s="37" t="str">
        <f>IF(COUNTA(G91:P91)=0,"",ROUND(Q91*'Input &amp; Settings'!$C$5+R91*'Input &amp; Settings'!$C$6+S91*'Input &amp; Settings'!$C$7+T91*'Input &amp; Settings'!$C$8+U91*'Input &amp; Settings'!$C$9+V91*'Input &amp; Settings'!$C$10+W91*'Input &amp; Settings'!$C$11+X91*'Input &amp; Settings'!$C$12+Y91*'Input &amp; Settings'!$C$13+Z91*'Input &amp; Settings'!$C$14,1))</f>
        <v/>
      </c>
      <c r="AB91" s="38" t="str">
        <f>IF(OR(AA91="",E91=""),"",IFERROR(IF(AA91&gt;=VLOOKUP(E91,'Input &amp; Settings'!$F$5:$K$10,3,FALSE),"Outstanding",IF(AA91&gt;=VLOOKUP(E91,'Input &amp; Settings'!$F$5:$K$10,4,FALSE),"Exceeds Expectations",IF(AA91&gt;=VLOOKUP(E91,'Input &amp; Settings'!$F$5:$K$10,5,FALSE),"Meets Expectations",IF(AA91&gt;=VLOOKUP(E91,'Input &amp; Settings'!$F$5:$K$10,6,FALSE),"Needs Improvement","Performance Improvement Required")))),""))</f>
        <v/>
      </c>
      <c r="AC91" s="38" t="str">
        <f t="shared" si="4"/>
        <v/>
      </c>
      <c r="AD91" s="39"/>
      <c r="AE91" s="40"/>
      <c r="AF91" s="41" t="str">
        <f t="shared" si="5"/>
        <v/>
      </c>
      <c r="AG91" s="42" t="str">
        <f t="shared" si="6"/>
        <v/>
      </c>
      <c r="AH91" s="42" t="str">
        <f t="shared" si="7"/>
        <v>Peter Gonzalez|March</v>
      </c>
    </row>
    <row r="92" spans="1:34" hidden="1">
      <c r="A92" s="32">
        <v>2026</v>
      </c>
      <c r="B92" s="32" t="s">
        <v>82</v>
      </c>
      <c r="C92" s="32" t="s">
        <v>36</v>
      </c>
      <c r="D92" s="32" t="s">
        <v>42</v>
      </c>
      <c r="E92" s="33"/>
      <c r="F92" s="34" t="str">
        <f>IF(E92="","",IFERROR(VLOOKUP(E92,'Input &amp; Settings'!$F$5:$G$10,2,FALSE),""))</f>
        <v/>
      </c>
      <c r="G92" s="33"/>
      <c r="H92" s="33"/>
      <c r="I92" s="35"/>
      <c r="J92" s="33"/>
      <c r="K92" s="36"/>
      <c r="L92" s="35"/>
      <c r="M92" s="33"/>
      <c r="N92" s="33"/>
      <c r="O92" s="33"/>
      <c r="P92" s="33"/>
      <c r="Q92" s="37" t="str">
        <f>IF(G92="","",IFERROR(MIN(100,G92/'Input &amp; Settings'!$B$5*100),""))</f>
        <v/>
      </c>
      <c r="R92" s="37" t="str">
        <f>IF(H92="","",IFERROR(MIN(100,H92/'Input &amp; Settings'!$B$6*100),""))</f>
        <v/>
      </c>
      <c r="S92" s="37" t="str">
        <f>IF(I92="","",IFERROR(MIN(100,I92/'Input &amp; Settings'!$B$7*100),""))</f>
        <v/>
      </c>
      <c r="T92" s="37" t="str">
        <f>IF(J92="","",IFERROR(MIN(100,J92/'Input &amp; Settings'!$B$8*100),""))</f>
        <v/>
      </c>
      <c r="U92" s="37" t="str">
        <f>IF(K92="","",IFERROR(MIN(100,K92/'Input &amp; Settings'!$B$9*100),""))</f>
        <v/>
      </c>
      <c r="V92" s="37" t="str">
        <f>IF(L92="","",IFERROR(MIN(100,L92/'Input &amp; Settings'!$B$10*100),""))</f>
        <v/>
      </c>
      <c r="W92" s="37" t="str">
        <f>IF(M92="","",IFERROR(IF(M92&lt;='Input &amp; Settings'!$B$11,100,MAX(0,100-(M92-'Input &amp; Settings'!$B$11)*20)),""))</f>
        <v/>
      </c>
      <c r="X92" s="37" t="str">
        <f>IF(N92="","",IFERROR(MIN(100,N92/'Input &amp; Settings'!$B$12*100),""))</f>
        <v/>
      </c>
      <c r="Y92" s="37" t="str">
        <f>IF(O92="","",IFERROR(MIN(100,O92/'Input &amp; Settings'!$B$13*100),""))</f>
        <v/>
      </c>
      <c r="Z92" s="37" t="str">
        <f>IF(P92="","",IFERROR(IF(P92&lt;='Input &amp; Settings'!$B$14,100,MAX(0,100-(P92-'Input &amp; Settings'!$B$14)*20)),""))</f>
        <v/>
      </c>
      <c r="AA92" s="37" t="str">
        <f>IF(COUNTA(G92:P92)=0,"",ROUND(Q92*'Input &amp; Settings'!$C$5+R92*'Input &amp; Settings'!$C$6+S92*'Input &amp; Settings'!$C$7+T92*'Input &amp; Settings'!$C$8+U92*'Input &amp; Settings'!$C$9+V92*'Input &amp; Settings'!$C$10+W92*'Input &amp; Settings'!$C$11+X92*'Input &amp; Settings'!$C$12+Y92*'Input &amp; Settings'!$C$13+Z92*'Input &amp; Settings'!$C$14,1))</f>
        <v/>
      </c>
      <c r="AB92" s="38" t="str">
        <f>IF(OR(AA92="",E92=""),"",IFERROR(IF(AA92&gt;=VLOOKUP(E92,'Input &amp; Settings'!$F$5:$K$10,3,FALSE),"Outstanding",IF(AA92&gt;=VLOOKUP(E92,'Input &amp; Settings'!$F$5:$K$10,4,FALSE),"Exceeds Expectations",IF(AA92&gt;=VLOOKUP(E92,'Input &amp; Settings'!$F$5:$K$10,5,FALSE),"Meets Expectations",IF(AA92&gt;=VLOOKUP(E92,'Input &amp; Settings'!$F$5:$K$10,6,FALSE),"Needs Improvement","Performance Improvement Required")))),""))</f>
        <v/>
      </c>
      <c r="AC92" s="38" t="str">
        <f t="shared" si="4"/>
        <v/>
      </c>
      <c r="AD92" s="39"/>
      <c r="AE92" s="40"/>
      <c r="AF92" s="41" t="str">
        <f t="shared" si="5"/>
        <v/>
      </c>
      <c r="AG92" s="42" t="str">
        <f t="shared" si="6"/>
        <v/>
      </c>
      <c r="AH92" s="42" t="str">
        <f t="shared" si="7"/>
        <v>Dennis Hartling|March</v>
      </c>
    </row>
    <row r="93" spans="1:34" hidden="1">
      <c r="A93" s="32">
        <v>2026</v>
      </c>
      <c r="B93" s="32" t="s">
        <v>82</v>
      </c>
      <c r="C93" s="32" t="s">
        <v>36</v>
      </c>
      <c r="D93" s="32" t="s">
        <v>43</v>
      </c>
      <c r="E93" s="33"/>
      <c r="F93" s="34" t="str">
        <f>IF(E93="","",IFERROR(VLOOKUP(E93,'Input &amp; Settings'!$F$5:$G$10,2,FALSE),""))</f>
        <v/>
      </c>
      <c r="G93" s="33"/>
      <c r="H93" s="33"/>
      <c r="I93" s="35"/>
      <c r="J93" s="33"/>
      <c r="K93" s="36"/>
      <c r="L93" s="35"/>
      <c r="M93" s="33"/>
      <c r="N93" s="33"/>
      <c r="O93" s="33"/>
      <c r="P93" s="33"/>
      <c r="Q93" s="37" t="str">
        <f>IF(G93="","",IFERROR(MIN(100,G93/'Input &amp; Settings'!$B$5*100),""))</f>
        <v/>
      </c>
      <c r="R93" s="37" t="str">
        <f>IF(H93="","",IFERROR(MIN(100,H93/'Input &amp; Settings'!$B$6*100),""))</f>
        <v/>
      </c>
      <c r="S93" s="37" t="str">
        <f>IF(I93="","",IFERROR(MIN(100,I93/'Input &amp; Settings'!$B$7*100),""))</f>
        <v/>
      </c>
      <c r="T93" s="37" t="str">
        <f>IF(J93="","",IFERROR(MIN(100,J93/'Input &amp; Settings'!$B$8*100),""))</f>
        <v/>
      </c>
      <c r="U93" s="37" t="str">
        <f>IF(K93="","",IFERROR(MIN(100,K93/'Input &amp; Settings'!$B$9*100),""))</f>
        <v/>
      </c>
      <c r="V93" s="37" t="str">
        <f>IF(L93="","",IFERROR(MIN(100,L93/'Input &amp; Settings'!$B$10*100),""))</f>
        <v/>
      </c>
      <c r="W93" s="37" t="str">
        <f>IF(M93="","",IFERROR(IF(M93&lt;='Input &amp; Settings'!$B$11,100,MAX(0,100-(M93-'Input &amp; Settings'!$B$11)*20)),""))</f>
        <v/>
      </c>
      <c r="X93" s="37" t="str">
        <f>IF(N93="","",IFERROR(MIN(100,N93/'Input &amp; Settings'!$B$12*100),""))</f>
        <v/>
      </c>
      <c r="Y93" s="37" t="str">
        <f>IF(O93="","",IFERROR(MIN(100,O93/'Input &amp; Settings'!$B$13*100),""))</f>
        <v/>
      </c>
      <c r="Z93" s="37" t="str">
        <f>IF(P93="","",IFERROR(IF(P93&lt;='Input &amp; Settings'!$B$14,100,MAX(0,100-(P93-'Input &amp; Settings'!$B$14)*20)),""))</f>
        <v/>
      </c>
      <c r="AA93" s="37" t="str">
        <f>IF(COUNTA(G93:P93)=0,"",ROUND(Q93*'Input &amp; Settings'!$C$5+R93*'Input &amp; Settings'!$C$6+S93*'Input &amp; Settings'!$C$7+T93*'Input &amp; Settings'!$C$8+U93*'Input &amp; Settings'!$C$9+V93*'Input &amp; Settings'!$C$10+W93*'Input &amp; Settings'!$C$11+X93*'Input &amp; Settings'!$C$12+Y93*'Input &amp; Settings'!$C$13+Z93*'Input &amp; Settings'!$C$14,1))</f>
        <v/>
      </c>
      <c r="AB93" s="38" t="str">
        <f>IF(OR(AA93="",E93=""),"",IFERROR(IF(AA93&gt;=VLOOKUP(E93,'Input &amp; Settings'!$F$5:$K$10,3,FALSE),"Outstanding",IF(AA93&gt;=VLOOKUP(E93,'Input &amp; Settings'!$F$5:$K$10,4,FALSE),"Exceeds Expectations",IF(AA93&gt;=VLOOKUP(E93,'Input &amp; Settings'!$F$5:$K$10,5,FALSE),"Meets Expectations",IF(AA93&gt;=VLOOKUP(E93,'Input &amp; Settings'!$F$5:$K$10,6,FALSE),"Needs Improvement","Performance Improvement Required")))),""))</f>
        <v/>
      </c>
      <c r="AC93" s="38" t="str">
        <f t="shared" si="4"/>
        <v/>
      </c>
      <c r="AD93" s="39"/>
      <c r="AE93" s="40"/>
      <c r="AF93" s="41" t="str">
        <f t="shared" si="5"/>
        <v/>
      </c>
      <c r="AG93" s="42" t="str">
        <f t="shared" si="6"/>
        <v/>
      </c>
      <c r="AH93" s="42" t="str">
        <f t="shared" si="7"/>
        <v>Gilbert Eugene|March</v>
      </c>
    </row>
    <row r="94" spans="1:34" hidden="1">
      <c r="A94" s="32">
        <v>2026</v>
      </c>
      <c r="B94" s="32" t="s">
        <v>82</v>
      </c>
      <c r="C94" s="32" t="s">
        <v>36</v>
      </c>
      <c r="D94" s="32" t="s">
        <v>44</v>
      </c>
      <c r="E94" s="33"/>
      <c r="F94" s="34" t="str">
        <f>IF(E94="","",IFERROR(VLOOKUP(E94,'Input &amp; Settings'!$F$5:$G$10,2,FALSE),""))</f>
        <v/>
      </c>
      <c r="G94" s="33"/>
      <c r="H94" s="33"/>
      <c r="I94" s="35"/>
      <c r="J94" s="33"/>
      <c r="K94" s="36"/>
      <c r="L94" s="35"/>
      <c r="M94" s="33"/>
      <c r="N94" s="33"/>
      <c r="O94" s="33"/>
      <c r="P94" s="33"/>
      <c r="Q94" s="37" t="str">
        <f>IF(G94="","",IFERROR(MIN(100,G94/'Input &amp; Settings'!$B$5*100),""))</f>
        <v/>
      </c>
      <c r="R94" s="37" t="str">
        <f>IF(H94="","",IFERROR(MIN(100,H94/'Input &amp; Settings'!$B$6*100),""))</f>
        <v/>
      </c>
      <c r="S94" s="37" t="str">
        <f>IF(I94="","",IFERROR(MIN(100,I94/'Input &amp; Settings'!$B$7*100),""))</f>
        <v/>
      </c>
      <c r="T94" s="37" t="str">
        <f>IF(J94="","",IFERROR(MIN(100,J94/'Input &amp; Settings'!$B$8*100),""))</f>
        <v/>
      </c>
      <c r="U94" s="37" t="str">
        <f>IF(K94="","",IFERROR(MIN(100,K94/'Input &amp; Settings'!$B$9*100),""))</f>
        <v/>
      </c>
      <c r="V94" s="37" t="str">
        <f>IF(L94="","",IFERROR(MIN(100,L94/'Input &amp; Settings'!$B$10*100),""))</f>
        <v/>
      </c>
      <c r="W94" s="37" t="str">
        <f>IF(M94="","",IFERROR(IF(M94&lt;='Input &amp; Settings'!$B$11,100,MAX(0,100-(M94-'Input &amp; Settings'!$B$11)*20)),""))</f>
        <v/>
      </c>
      <c r="X94" s="37" t="str">
        <f>IF(N94="","",IFERROR(MIN(100,N94/'Input &amp; Settings'!$B$12*100),""))</f>
        <v/>
      </c>
      <c r="Y94" s="37" t="str">
        <f>IF(O94="","",IFERROR(MIN(100,O94/'Input &amp; Settings'!$B$13*100),""))</f>
        <v/>
      </c>
      <c r="Z94" s="37" t="str">
        <f>IF(P94="","",IFERROR(IF(P94&lt;='Input &amp; Settings'!$B$14,100,MAX(0,100-(P94-'Input &amp; Settings'!$B$14)*20)),""))</f>
        <v/>
      </c>
      <c r="AA94" s="37" t="str">
        <f>IF(COUNTA(G94:P94)=0,"",ROUND(Q94*'Input &amp; Settings'!$C$5+R94*'Input &amp; Settings'!$C$6+S94*'Input &amp; Settings'!$C$7+T94*'Input &amp; Settings'!$C$8+U94*'Input &amp; Settings'!$C$9+V94*'Input &amp; Settings'!$C$10+W94*'Input &amp; Settings'!$C$11+X94*'Input &amp; Settings'!$C$12+Y94*'Input &amp; Settings'!$C$13+Z94*'Input &amp; Settings'!$C$14,1))</f>
        <v/>
      </c>
      <c r="AB94" s="38" t="str">
        <f>IF(OR(AA94="",E94=""),"",IFERROR(IF(AA94&gt;=VLOOKUP(E94,'Input &amp; Settings'!$F$5:$K$10,3,FALSE),"Outstanding",IF(AA94&gt;=VLOOKUP(E94,'Input &amp; Settings'!$F$5:$K$10,4,FALSE),"Exceeds Expectations",IF(AA94&gt;=VLOOKUP(E94,'Input &amp; Settings'!$F$5:$K$10,5,FALSE),"Meets Expectations",IF(AA94&gt;=VLOOKUP(E94,'Input &amp; Settings'!$F$5:$K$10,6,FALSE),"Needs Improvement","Performance Improvement Required")))),""))</f>
        <v/>
      </c>
      <c r="AC94" s="38" t="str">
        <f t="shared" si="4"/>
        <v/>
      </c>
      <c r="AD94" s="39"/>
      <c r="AE94" s="40"/>
      <c r="AF94" s="41" t="str">
        <f t="shared" si="5"/>
        <v/>
      </c>
      <c r="AG94" s="42" t="str">
        <f t="shared" si="6"/>
        <v/>
      </c>
      <c r="AH94" s="42" t="str">
        <f t="shared" si="7"/>
        <v>Cory Colstock|March</v>
      </c>
    </row>
    <row r="95" spans="1:34" hidden="1">
      <c r="A95" s="32">
        <v>2026</v>
      </c>
      <c r="B95" s="32" t="s">
        <v>82</v>
      </c>
      <c r="C95" s="32" t="s">
        <v>36</v>
      </c>
      <c r="D95" s="32" t="s">
        <v>45</v>
      </c>
      <c r="E95" s="33"/>
      <c r="F95" s="34" t="str">
        <f>IF(E95="","",IFERROR(VLOOKUP(E95,'Input &amp; Settings'!$F$5:$G$10,2,FALSE),""))</f>
        <v/>
      </c>
      <c r="G95" s="33"/>
      <c r="H95" s="33"/>
      <c r="I95" s="35"/>
      <c r="J95" s="33"/>
      <c r="K95" s="36"/>
      <c r="L95" s="35"/>
      <c r="M95" s="33"/>
      <c r="N95" s="33"/>
      <c r="O95" s="33"/>
      <c r="P95" s="33"/>
      <c r="Q95" s="37" t="str">
        <f>IF(G95="","",IFERROR(MIN(100,G95/'Input &amp; Settings'!$B$5*100),""))</f>
        <v/>
      </c>
      <c r="R95" s="37" t="str">
        <f>IF(H95="","",IFERROR(MIN(100,H95/'Input &amp; Settings'!$B$6*100),""))</f>
        <v/>
      </c>
      <c r="S95" s="37" t="str">
        <f>IF(I95="","",IFERROR(MIN(100,I95/'Input &amp; Settings'!$B$7*100),""))</f>
        <v/>
      </c>
      <c r="T95" s="37" t="str">
        <f>IF(J95="","",IFERROR(MIN(100,J95/'Input &amp; Settings'!$B$8*100),""))</f>
        <v/>
      </c>
      <c r="U95" s="37" t="str">
        <f>IF(K95="","",IFERROR(MIN(100,K95/'Input &amp; Settings'!$B$9*100),""))</f>
        <v/>
      </c>
      <c r="V95" s="37" t="str">
        <f>IF(L95="","",IFERROR(MIN(100,L95/'Input &amp; Settings'!$B$10*100),""))</f>
        <v/>
      </c>
      <c r="W95" s="37" t="str">
        <f>IF(M95="","",IFERROR(IF(M95&lt;='Input &amp; Settings'!$B$11,100,MAX(0,100-(M95-'Input &amp; Settings'!$B$11)*20)),""))</f>
        <v/>
      </c>
      <c r="X95" s="37" t="str">
        <f>IF(N95="","",IFERROR(MIN(100,N95/'Input &amp; Settings'!$B$12*100),""))</f>
        <v/>
      </c>
      <c r="Y95" s="37" t="str">
        <f>IF(O95="","",IFERROR(MIN(100,O95/'Input &amp; Settings'!$B$13*100),""))</f>
        <v/>
      </c>
      <c r="Z95" s="37" t="str">
        <f>IF(P95="","",IFERROR(IF(P95&lt;='Input &amp; Settings'!$B$14,100,MAX(0,100-(P95-'Input &amp; Settings'!$B$14)*20)),""))</f>
        <v/>
      </c>
      <c r="AA95" s="37" t="str">
        <f>IF(COUNTA(G95:P95)=0,"",ROUND(Q95*'Input &amp; Settings'!$C$5+R95*'Input &amp; Settings'!$C$6+S95*'Input &amp; Settings'!$C$7+T95*'Input &amp; Settings'!$C$8+U95*'Input &amp; Settings'!$C$9+V95*'Input &amp; Settings'!$C$10+W95*'Input &amp; Settings'!$C$11+X95*'Input &amp; Settings'!$C$12+Y95*'Input &amp; Settings'!$C$13+Z95*'Input &amp; Settings'!$C$14,1))</f>
        <v/>
      </c>
      <c r="AB95" s="38" t="str">
        <f>IF(OR(AA95="",E95=""),"",IFERROR(IF(AA95&gt;=VLOOKUP(E95,'Input &amp; Settings'!$F$5:$K$10,3,FALSE),"Outstanding",IF(AA95&gt;=VLOOKUP(E95,'Input &amp; Settings'!$F$5:$K$10,4,FALSE),"Exceeds Expectations",IF(AA95&gt;=VLOOKUP(E95,'Input &amp; Settings'!$F$5:$K$10,5,FALSE),"Meets Expectations",IF(AA95&gt;=VLOOKUP(E95,'Input &amp; Settings'!$F$5:$K$10,6,FALSE),"Needs Improvement","Performance Improvement Required")))),""))</f>
        <v/>
      </c>
      <c r="AC95" s="38" t="str">
        <f t="shared" si="4"/>
        <v/>
      </c>
      <c r="AD95" s="39"/>
      <c r="AE95" s="40"/>
      <c r="AF95" s="41" t="str">
        <f t="shared" si="5"/>
        <v/>
      </c>
      <c r="AG95" s="42" t="str">
        <f t="shared" si="6"/>
        <v/>
      </c>
      <c r="AH95" s="42" t="str">
        <f t="shared" si="7"/>
        <v>Jerald Woodward (Jerry)|March</v>
      </c>
    </row>
    <row r="96" spans="1:34" hidden="1">
      <c r="A96" s="32">
        <v>2026</v>
      </c>
      <c r="B96" s="32" t="s">
        <v>82</v>
      </c>
      <c r="C96" s="32" t="s">
        <v>36</v>
      </c>
      <c r="D96" s="32" t="s">
        <v>46</v>
      </c>
      <c r="E96" s="33"/>
      <c r="F96" s="34" t="str">
        <f>IF(E96="","",IFERROR(VLOOKUP(E96,'Input &amp; Settings'!$F$5:$G$10,2,FALSE),""))</f>
        <v/>
      </c>
      <c r="G96" s="33"/>
      <c r="H96" s="33"/>
      <c r="I96" s="35"/>
      <c r="J96" s="33"/>
      <c r="K96" s="36"/>
      <c r="L96" s="35"/>
      <c r="M96" s="33"/>
      <c r="N96" s="33"/>
      <c r="O96" s="33"/>
      <c r="P96" s="33"/>
      <c r="Q96" s="37" t="str">
        <f>IF(G96="","",IFERROR(MIN(100,G96/'Input &amp; Settings'!$B$5*100),""))</f>
        <v/>
      </c>
      <c r="R96" s="37" t="str">
        <f>IF(H96="","",IFERROR(MIN(100,H96/'Input &amp; Settings'!$B$6*100),""))</f>
        <v/>
      </c>
      <c r="S96" s="37" t="str">
        <f>IF(I96="","",IFERROR(MIN(100,I96/'Input &amp; Settings'!$B$7*100),""))</f>
        <v/>
      </c>
      <c r="T96" s="37" t="str">
        <f>IF(J96="","",IFERROR(MIN(100,J96/'Input &amp; Settings'!$B$8*100),""))</f>
        <v/>
      </c>
      <c r="U96" s="37" t="str">
        <f>IF(K96="","",IFERROR(MIN(100,K96/'Input &amp; Settings'!$B$9*100),""))</f>
        <v/>
      </c>
      <c r="V96" s="37" t="str">
        <f>IF(L96="","",IFERROR(MIN(100,L96/'Input &amp; Settings'!$B$10*100),""))</f>
        <v/>
      </c>
      <c r="W96" s="37" t="str">
        <f>IF(M96="","",IFERROR(IF(M96&lt;='Input &amp; Settings'!$B$11,100,MAX(0,100-(M96-'Input &amp; Settings'!$B$11)*20)),""))</f>
        <v/>
      </c>
      <c r="X96" s="37" t="str">
        <f>IF(N96="","",IFERROR(MIN(100,N96/'Input &amp; Settings'!$B$12*100),""))</f>
        <v/>
      </c>
      <c r="Y96" s="37" t="str">
        <f>IF(O96="","",IFERROR(MIN(100,O96/'Input &amp; Settings'!$B$13*100),""))</f>
        <v/>
      </c>
      <c r="Z96" s="37" t="str">
        <f>IF(P96="","",IFERROR(IF(P96&lt;='Input &amp; Settings'!$B$14,100,MAX(0,100-(P96-'Input &amp; Settings'!$B$14)*20)),""))</f>
        <v/>
      </c>
      <c r="AA96" s="37" t="str">
        <f>IF(COUNTA(G96:P96)=0,"",ROUND(Q96*'Input &amp; Settings'!$C$5+R96*'Input &amp; Settings'!$C$6+S96*'Input &amp; Settings'!$C$7+T96*'Input &amp; Settings'!$C$8+U96*'Input &amp; Settings'!$C$9+V96*'Input &amp; Settings'!$C$10+W96*'Input &amp; Settings'!$C$11+X96*'Input &amp; Settings'!$C$12+Y96*'Input &amp; Settings'!$C$13+Z96*'Input &amp; Settings'!$C$14,1))</f>
        <v/>
      </c>
      <c r="AB96" s="38" t="str">
        <f>IF(OR(AA96="",E96=""),"",IFERROR(IF(AA96&gt;=VLOOKUP(E96,'Input &amp; Settings'!$F$5:$K$10,3,FALSE),"Outstanding",IF(AA96&gt;=VLOOKUP(E96,'Input &amp; Settings'!$F$5:$K$10,4,FALSE),"Exceeds Expectations",IF(AA96&gt;=VLOOKUP(E96,'Input &amp; Settings'!$F$5:$K$10,5,FALSE),"Meets Expectations",IF(AA96&gt;=VLOOKUP(E96,'Input &amp; Settings'!$F$5:$K$10,6,FALSE),"Needs Improvement","Performance Improvement Required")))),""))</f>
        <v/>
      </c>
      <c r="AC96" s="38" t="str">
        <f t="shared" si="4"/>
        <v/>
      </c>
      <c r="AD96" s="39"/>
      <c r="AE96" s="40"/>
      <c r="AF96" s="41" t="str">
        <f t="shared" si="5"/>
        <v/>
      </c>
      <c r="AG96" s="42" t="str">
        <f t="shared" si="6"/>
        <v/>
      </c>
      <c r="AH96" s="42" t="str">
        <f t="shared" si="7"/>
        <v>Alvaro Hernandez|March</v>
      </c>
    </row>
    <row r="97" spans="1:34" hidden="1">
      <c r="A97" s="32">
        <v>2026</v>
      </c>
      <c r="B97" s="32" t="s">
        <v>82</v>
      </c>
      <c r="C97" s="32" t="s">
        <v>36</v>
      </c>
      <c r="D97" s="32" t="s">
        <v>47</v>
      </c>
      <c r="E97" s="33"/>
      <c r="F97" s="34" t="str">
        <f>IF(E97="","",IFERROR(VLOOKUP(E97,'Input &amp; Settings'!$F$5:$G$10,2,FALSE),""))</f>
        <v/>
      </c>
      <c r="G97" s="33"/>
      <c r="H97" s="33"/>
      <c r="I97" s="35"/>
      <c r="J97" s="33"/>
      <c r="K97" s="36"/>
      <c r="L97" s="35"/>
      <c r="M97" s="33"/>
      <c r="N97" s="33"/>
      <c r="O97" s="33"/>
      <c r="P97" s="33"/>
      <c r="Q97" s="37" t="str">
        <f>IF(G97="","",IFERROR(MIN(100,G97/'Input &amp; Settings'!$B$5*100),""))</f>
        <v/>
      </c>
      <c r="R97" s="37" t="str">
        <f>IF(H97="","",IFERROR(MIN(100,H97/'Input &amp; Settings'!$B$6*100),""))</f>
        <v/>
      </c>
      <c r="S97" s="37" t="str">
        <f>IF(I97="","",IFERROR(MIN(100,I97/'Input &amp; Settings'!$B$7*100),""))</f>
        <v/>
      </c>
      <c r="T97" s="37" t="str">
        <f>IF(J97="","",IFERROR(MIN(100,J97/'Input &amp; Settings'!$B$8*100),""))</f>
        <v/>
      </c>
      <c r="U97" s="37" t="str">
        <f>IF(K97="","",IFERROR(MIN(100,K97/'Input &amp; Settings'!$B$9*100),""))</f>
        <v/>
      </c>
      <c r="V97" s="37" t="str">
        <f>IF(L97="","",IFERROR(MIN(100,L97/'Input &amp; Settings'!$B$10*100),""))</f>
        <v/>
      </c>
      <c r="W97" s="37" t="str">
        <f>IF(M97="","",IFERROR(IF(M97&lt;='Input &amp; Settings'!$B$11,100,MAX(0,100-(M97-'Input &amp; Settings'!$B$11)*20)),""))</f>
        <v/>
      </c>
      <c r="X97" s="37" t="str">
        <f>IF(N97="","",IFERROR(MIN(100,N97/'Input &amp; Settings'!$B$12*100),""))</f>
        <v/>
      </c>
      <c r="Y97" s="37" t="str">
        <f>IF(O97="","",IFERROR(MIN(100,O97/'Input &amp; Settings'!$B$13*100),""))</f>
        <v/>
      </c>
      <c r="Z97" s="37" t="str">
        <f>IF(P97="","",IFERROR(IF(P97&lt;='Input &amp; Settings'!$B$14,100,MAX(0,100-(P97-'Input &amp; Settings'!$B$14)*20)),""))</f>
        <v/>
      </c>
      <c r="AA97" s="37" t="str">
        <f>IF(COUNTA(G97:P97)=0,"",ROUND(Q97*'Input &amp; Settings'!$C$5+R97*'Input &amp; Settings'!$C$6+S97*'Input &amp; Settings'!$C$7+T97*'Input &amp; Settings'!$C$8+U97*'Input &amp; Settings'!$C$9+V97*'Input &amp; Settings'!$C$10+W97*'Input &amp; Settings'!$C$11+X97*'Input &amp; Settings'!$C$12+Y97*'Input &amp; Settings'!$C$13+Z97*'Input &amp; Settings'!$C$14,1))</f>
        <v/>
      </c>
      <c r="AB97" s="38" t="str">
        <f>IF(OR(AA97="",E97=""),"",IFERROR(IF(AA97&gt;=VLOOKUP(E97,'Input &amp; Settings'!$F$5:$K$10,3,FALSE),"Outstanding",IF(AA97&gt;=VLOOKUP(E97,'Input &amp; Settings'!$F$5:$K$10,4,FALSE),"Exceeds Expectations",IF(AA97&gt;=VLOOKUP(E97,'Input &amp; Settings'!$F$5:$K$10,5,FALSE),"Meets Expectations",IF(AA97&gt;=VLOOKUP(E97,'Input &amp; Settings'!$F$5:$K$10,6,FALSE),"Needs Improvement","Performance Improvement Required")))),""))</f>
        <v/>
      </c>
      <c r="AC97" s="38" t="str">
        <f t="shared" si="4"/>
        <v/>
      </c>
      <c r="AD97" s="39"/>
      <c r="AE97" s="40"/>
      <c r="AF97" s="41" t="str">
        <f t="shared" si="5"/>
        <v/>
      </c>
      <c r="AG97" s="42" t="str">
        <f t="shared" si="6"/>
        <v/>
      </c>
      <c r="AH97" s="42" t="str">
        <f t="shared" si="7"/>
        <v>Sarah Clervil|March</v>
      </c>
    </row>
    <row r="98" spans="1:34" hidden="1">
      <c r="A98" s="32">
        <v>2026</v>
      </c>
      <c r="B98" s="32" t="s">
        <v>82</v>
      </c>
      <c r="C98" s="32" t="s">
        <v>36</v>
      </c>
      <c r="D98" s="32" t="s">
        <v>48</v>
      </c>
      <c r="E98" s="33"/>
      <c r="F98" s="34" t="str">
        <f>IF(E98="","",IFERROR(VLOOKUP(E98,'Input &amp; Settings'!$F$5:$G$10,2,FALSE),""))</f>
        <v/>
      </c>
      <c r="G98" s="33"/>
      <c r="H98" s="33"/>
      <c r="I98" s="35"/>
      <c r="J98" s="33"/>
      <c r="K98" s="36"/>
      <c r="L98" s="35"/>
      <c r="M98" s="33"/>
      <c r="N98" s="33"/>
      <c r="O98" s="33"/>
      <c r="P98" s="33"/>
      <c r="Q98" s="37" t="str">
        <f>IF(G98="","",IFERROR(MIN(100,G98/'Input &amp; Settings'!$B$5*100),""))</f>
        <v/>
      </c>
      <c r="R98" s="37" t="str">
        <f>IF(H98="","",IFERROR(MIN(100,H98/'Input &amp; Settings'!$B$6*100),""))</f>
        <v/>
      </c>
      <c r="S98" s="37" t="str">
        <f>IF(I98="","",IFERROR(MIN(100,I98/'Input &amp; Settings'!$B$7*100),""))</f>
        <v/>
      </c>
      <c r="T98" s="37" t="str">
        <f>IF(J98="","",IFERROR(MIN(100,J98/'Input &amp; Settings'!$B$8*100),""))</f>
        <v/>
      </c>
      <c r="U98" s="37" t="str">
        <f>IF(K98="","",IFERROR(MIN(100,K98/'Input &amp; Settings'!$B$9*100),""))</f>
        <v/>
      </c>
      <c r="V98" s="37" t="str">
        <f>IF(L98="","",IFERROR(MIN(100,L98/'Input &amp; Settings'!$B$10*100),""))</f>
        <v/>
      </c>
      <c r="W98" s="37" t="str">
        <f>IF(M98="","",IFERROR(IF(M98&lt;='Input &amp; Settings'!$B$11,100,MAX(0,100-(M98-'Input &amp; Settings'!$B$11)*20)),""))</f>
        <v/>
      </c>
      <c r="X98" s="37" t="str">
        <f>IF(N98="","",IFERROR(MIN(100,N98/'Input &amp; Settings'!$B$12*100),""))</f>
        <v/>
      </c>
      <c r="Y98" s="37" t="str">
        <f>IF(O98="","",IFERROR(MIN(100,O98/'Input &amp; Settings'!$B$13*100),""))</f>
        <v/>
      </c>
      <c r="Z98" s="37" t="str">
        <f>IF(P98="","",IFERROR(IF(P98&lt;='Input &amp; Settings'!$B$14,100,MAX(0,100-(P98-'Input &amp; Settings'!$B$14)*20)),""))</f>
        <v/>
      </c>
      <c r="AA98" s="37" t="str">
        <f>IF(COUNTA(G98:P98)=0,"",ROUND(Q98*'Input &amp; Settings'!$C$5+R98*'Input &amp; Settings'!$C$6+S98*'Input &amp; Settings'!$C$7+T98*'Input &amp; Settings'!$C$8+U98*'Input &amp; Settings'!$C$9+V98*'Input &amp; Settings'!$C$10+W98*'Input &amp; Settings'!$C$11+X98*'Input &amp; Settings'!$C$12+Y98*'Input &amp; Settings'!$C$13+Z98*'Input &amp; Settings'!$C$14,1))</f>
        <v/>
      </c>
      <c r="AB98" s="38" t="str">
        <f>IF(OR(AA98="",E98=""),"",IFERROR(IF(AA98&gt;=VLOOKUP(E98,'Input &amp; Settings'!$F$5:$K$10,3,FALSE),"Outstanding",IF(AA98&gt;=VLOOKUP(E98,'Input &amp; Settings'!$F$5:$K$10,4,FALSE),"Exceeds Expectations",IF(AA98&gt;=VLOOKUP(E98,'Input &amp; Settings'!$F$5:$K$10,5,FALSE),"Meets Expectations",IF(AA98&gt;=VLOOKUP(E98,'Input &amp; Settings'!$F$5:$K$10,6,FALSE),"Needs Improvement","Performance Improvement Required")))),""))</f>
        <v/>
      </c>
      <c r="AC98" s="38" t="str">
        <f t="shared" si="4"/>
        <v/>
      </c>
      <c r="AD98" s="39"/>
      <c r="AE98" s="40"/>
      <c r="AF98" s="41" t="str">
        <f t="shared" si="5"/>
        <v/>
      </c>
      <c r="AG98" s="42" t="str">
        <f t="shared" si="6"/>
        <v/>
      </c>
      <c r="AH98" s="42" t="str">
        <f t="shared" si="7"/>
        <v>Christopher Ovid|March</v>
      </c>
    </row>
    <row r="99" spans="1:34" hidden="1">
      <c r="A99" s="32">
        <v>2026</v>
      </c>
      <c r="B99" s="32" t="s">
        <v>82</v>
      </c>
      <c r="C99" s="32" t="s">
        <v>36</v>
      </c>
      <c r="D99" s="32" t="s">
        <v>49</v>
      </c>
      <c r="E99" s="33"/>
      <c r="F99" s="34" t="str">
        <f>IF(E99="","",IFERROR(VLOOKUP(E99,'Input &amp; Settings'!$F$5:$G$10,2,FALSE),""))</f>
        <v/>
      </c>
      <c r="G99" s="33"/>
      <c r="H99" s="33"/>
      <c r="I99" s="35"/>
      <c r="J99" s="33"/>
      <c r="K99" s="36"/>
      <c r="L99" s="35"/>
      <c r="M99" s="33"/>
      <c r="N99" s="33"/>
      <c r="O99" s="33"/>
      <c r="P99" s="33"/>
      <c r="Q99" s="37" t="str">
        <f>IF(G99="","",IFERROR(MIN(100,G99/'Input &amp; Settings'!$B$5*100),""))</f>
        <v/>
      </c>
      <c r="R99" s="37" t="str">
        <f>IF(H99="","",IFERROR(MIN(100,H99/'Input &amp; Settings'!$B$6*100),""))</f>
        <v/>
      </c>
      <c r="S99" s="37" t="str">
        <f>IF(I99="","",IFERROR(MIN(100,I99/'Input &amp; Settings'!$B$7*100),""))</f>
        <v/>
      </c>
      <c r="T99" s="37" t="str">
        <f>IF(J99="","",IFERROR(MIN(100,J99/'Input &amp; Settings'!$B$8*100),""))</f>
        <v/>
      </c>
      <c r="U99" s="37" t="str">
        <f>IF(K99="","",IFERROR(MIN(100,K99/'Input &amp; Settings'!$B$9*100),""))</f>
        <v/>
      </c>
      <c r="V99" s="37" t="str">
        <f>IF(L99="","",IFERROR(MIN(100,L99/'Input &amp; Settings'!$B$10*100),""))</f>
        <v/>
      </c>
      <c r="W99" s="37" t="str">
        <f>IF(M99="","",IFERROR(IF(M99&lt;='Input &amp; Settings'!$B$11,100,MAX(0,100-(M99-'Input &amp; Settings'!$B$11)*20)),""))</f>
        <v/>
      </c>
      <c r="X99" s="37" t="str">
        <f>IF(N99="","",IFERROR(MIN(100,N99/'Input &amp; Settings'!$B$12*100),""))</f>
        <v/>
      </c>
      <c r="Y99" s="37" t="str">
        <f>IF(O99="","",IFERROR(MIN(100,O99/'Input &amp; Settings'!$B$13*100),""))</f>
        <v/>
      </c>
      <c r="Z99" s="37" t="str">
        <f>IF(P99="","",IFERROR(IF(P99&lt;='Input &amp; Settings'!$B$14,100,MAX(0,100-(P99-'Input &amp; Settings'!$B$14)*20)),""))</f>
        <v/>
      </c>
      <c r="AA99" s="37" t="str">
        <f>IF(COUNTA(G99:P99)=0,"",ROUND(Q99*'Input &amp; Settings'!$C$5+R99*'Input &amp; Settings'!$C$6+S99*'Input &amp; Settings'!$C$7+T99*'Input &amp; Settings'!$C$8+U99*'Input &amp; Settings'!$C$9+V99*'Input &amp; Settings'!$C$10+W99*'Input &amp; Settings'!$C$11+X99*'Input &amp; Settings'!$C$12+Y99*'Input &amp; Settings'!$C$13+Z99*'Input &amp; Settings'!$C$14,1))</f>
        <v/>
      </c>
      <c r="AB99" s="38" t="str">
        <f>IF(OR(AA99="",E99=""),"",IFERROR(IF(AA99&gt;=VLOOKUP(E99,'Input &amp; Settings'!$F$5:$K$10,3,FALSE),"Outstanding",IF(AA99&gt;=VLOOKUP(E99,'Input &amp; Settings'!$F$5:$K$10,4,FALSE),"Exceeds Expectations",IF(AA99&gt;=VLOOKUP(E99,'Input &amp; Settings'!$F$5:$K$10,5,FALSE),"Meets Expectations",IF(AA99&gt;=VLOOKUP(E99,'Input &amp; Settings'!$F$5:$K$10,6,FALSE),"Needs Improvement","Performance Improvement Required")))),""))</f>
        <v/>
      </c>
      <c r="AC99" s="38" t="str">
        <f t="shared" si="4"/>
        <v/>
      </c>
      <c r="AD99" s="39"/>
      <c r="AE99" s="40"/>
      <c r="AF99" s="41" t="str">
        <f t="shared" si="5"/>
        <v/>
      </c>
      <c r="AG99" s="42" t="str">
        <f t="shared" si="6"/>
        <v/>
      </c>
      <c r="AH99" s="42" t="str">
        <f t="shared" si="7"/>
        <v>Rafael Godinez|March</v>
      </c>
    </row>
    <row r="100" spans="1:34" hidden="1">
      <c r="A100" s="32">
        <v>2026</v>
      </c>
      <c r="B100" s="32" t="s">
        <v>82</v>
      </c>
      <c r="C100" s="32" t="s">
        <v>36</v>
      </c>
      <c r="D100" s="32" t="s">
        <v>50</v>
      </c>
      <c r="E100" s="33"/>
      <c r="F100" s="34" t="str">
        <f>IF(E100="","",IFERROR(VLOOKUP(E100,'Input &amp; Settings'!$F$5:$G$10,2,FALSE),""))</f>
        <v/>
      </c>
      <c r="G100" s="33"/>
      <c r="H100" s="33"/>
      <c r="I100" s="35"/>
      <c r="J100" s="33"/>
      <c r="K100" s="36"/>
      <c r="L100" s="35"/>
      <c r="M100" s="33"/>
      <c r="N100" s="33"/>
      <c r="O100" s="33"/>
      <c r="P100" s="33"/>
      <c r="Q100" s="37" t="str">
        <f>IF(G100="","",IFERROR(MIN(100,G100/'Input &amp; Settings'!$B$5*100),""))</f>
        <v/>
      </c>
      <c r="R100" s="37" t="str">
        <f>IF(H100="","",IFERROR(MIN(100,H100/'Input &amp; Settings'!$B$6*100),""))</f>
        <v/>
      </c>
      <c r="S100" s="37" t="str">
        <f>IF(I100="","",IFERROR(MIN(100,I100/'Input &amp; Settings'!$B$7*100),""))</f>
        <v/>
      </c>
      <c r="T100" s="37" t="str">
        <f>IF(J100="","",IFERROR(MIN(100,J100/'Input &amp; Settings'!$B$8*100),""))</f>
        <v/>
      </c>
      <c r="U100" s="37" t="str">
        <f>IF(K100="","",IFERROR(MIN(100,K100/'Input &amp; Settings'!$B$9*100),""))</f>
        <v/>
      </c>
      <c r="V100" s="37" t="str">
        <f>IF(L100="","",IFERROR(MIN(100,L100/'Input &amp; Settings'!$B$10*100),""))</f>
        <v/>
      </c>
      <c r="W100" s="37" t="str">
        <f>IF(M100="","",IFERROR(IF(M100&lt;='Input &amp; Settings'!$B$11,100,MAX(0,100-(M100-'Input &amp; Settings'!$B$11)*20)),""))</f>
        <v/>
      </c>
      <c r="X100" s="37" t="str">
        <f>IF(N100="","",IFERROR(MIN(100,N100/'Input &amp; Settings'!$B$12*100),""))</f>
        <v/>
      </c>
      <c r="Y100" s="37" t="str">
        <f>IF(O100="","",IFERROR(MIN(100,O100/'Input &amp; Settings'!$B$13*100),""))</f>
        <v/>
      </c>
      <c r="Z100" s="37" t="str">
        <f>IF(P100="","",IFERROR(IF(P100&lt;='Input &amp; Settings'!$B$14,100,MAX(0,100-(P100-'Input &amp; Settings'!$B$14)*20)),""))</f>
        <v/>
      </c>
      <c r="AA100" s="37" t="str">
        <f>IF(COUNTA(G100:P100)=0,"",ROUND(Q100*'Input &amp; Settings'!$C$5+R100*'Input &amp; Settings'!$C$6+S100*'Input &amp; Settings'!$C$7+T100*'Input &amp; Settings'!$C$8+U100*'Input &amp; Settings'!$C$9+V100*'Input &amp; Settings'!$C$10+W100*'Input &amp; Settings'!$C$11+X100*'Input &amp; Settings'!$C$12+Y100*'Input &amp; Settings'!$C$13+Z100*'Input &amp; Settings'!$C$14,1))</f>
        <v/>
      </c>
      <c r="AB100" s="38" t="str">
        <f>IF(OR(AA100="",E100=""),"",IFERROR(IF(AA100&gt;=VLOOKUP(E100,'Input &amp; Settings'!$F$5:$K$10,3,FALSE),"Outstanding",IF(AA100&gt;=VLOOKUP(E100,'Input &amp; Settings'!$F$5:$K$10,4,FALSE),"Exceeds Expectations",IF(AA100&gt;=VLOOKUP(E100,'Input &amp; Settings'!$F$5:$K$10,5,FALSE),"Meets Expectations",IF(AA100&gt;=VLOOKUP(E100,'Input &amp; Settings'!$F$5:$K$10,6,FALSE),"Needs Improvement","Performance Improvement Required")))),""))</f>
        <v/>
      </c>
      <c r="AC100" s="38" t="str">
        <f t="shared" si="4"/>
        <v/>
      </c>
      <c r="AD100" s="39"/>
      <c r="AE100" s="40"/>
      <c r="AF100" s="41" t="str">
        <f t="shared" si="5"/>
        <v/>
      </c>
      <c r="AG100" s="42" t="str">
        <f t="shared" si="6"/>
        <v/>
      </c>
      <c r="AH100" s="42" t="str">
        <f t="shared" si="7"/>
        <v>Dennis Mayorga|March</v>
      </c>
    </row>
    <row r="101" spans="1:34" hidden="1">
      <c r="A101" s="32">
        <v>2026</v>
      </c>
      <c r="B101" s="32" t="s">
        <v>82</v>
      </c>
      <c r="C101" s="32" t="s">
        <v>36</v>
      </c>
      <c r="D101" s="32" t="s">
        <v>51</v>
      </c>
      <c r="E101" s="33"/>
      <c r="F101" s="34" t="str">
        <f>IF(E101="","",IFERROR(VLOOKUP(E101,'Input &amp; Settings'!$F$5:$G$10,2,FALSE),""))</f>
        <v/>
      </c>
      <c r="G101" s="33"/>
      <c r="H101" s="33"/>
      <c r="I101" s="35"/>
      <c r="J101" s="33"/>
      <c r="K101" s="36"/>
      <c r="L101" s="35"/>
      <c r="M101" s="33"/>
      <c r="N101" s="33"/>
      <c r="O101" s="33"/>
      <c r="P101" s="33"/>
      <c r="Q101" s="37" t="str">
        <f>IF(G101="","",IFERROR(MIN(100,G101/'Input &amp; Settings'!$B$5*100),""))</f>
        <v/>
      </c>
      <c r="R101" s="37" t="str">
        <f>IF(H101="","",IFERROR(MIN(100,H101/'Input &amp; Settings'!$B$6*100),""))</f>
        <v/>
      </c>
      <c r="S101" s="37" t="str">
        <f>IF(I101="","",IFERROR(MIN(100,I101/'Input &amp; Settings'!$B$7*100),""))</f>
        <v/>
      </c>
      <c r="T101" s="37" t="str">
        <f>IF(J101="","",IFERROR(MIN(100,J101/'Input &amp; Settings'!$B$8*100),""))</f>
        <v/>
      </c>
      <c r="U101" s="37" t="str">
        <f>IF(K101="","",IFERROR(MIN(100,K101/'Input &amp; Settings'!$B$9*100),""))</f>
        <v/>
      </c>
      <c r="V101" s="37" t="str">
        <f>IF(L101="","",IFERROR(MIN(100,L101/'Input &amp; Settings'!$B$10*100),""))</f>
        <v/>
      </c>
      <c r="W101" s="37" t="str">
        <f>IF(M101="","",IFERROR(IF(M101&lt;='Input &amp; Settings'!$B$11,100,MAX(0,100-(M101-'Input &amp; Settings'!$B$11)*20)),""))</f>
        <v/>
      </c>
      <c r="X101" s="37" t="str">
        <f>IF(N101="","",IFERROR(MIN(100,N101/'Input &amp; Settings'!$B$12*100),""))</f>
        <v/>
      </c>
      <c r="Y101" s="37" t="str">
        <f>IF(O101="","",IFERROR(MIN(100,O101/'Input &amp; Settings'!$B$13*100),""))</f>
        <v/>
      </c>
      <c r="Z101" s="37" t="str">
        <f>IF(P101="","",IFERROR(IF(P101&lt;='Input &amp; Settings'!$B$14,100,MAX(0,100-(P101-'Input &amp; Settings'!$B$14)*20)),""))</f>
        <v/>
      </c>
      <c r="AA101" s="37" t="str">
        <f>IF(COUNTA(G101:P101)=0,"",ROUND(Q101*'Input &amp; Settings'!$C$5+R101*'Input &amp; Settings'!$C$6+S101*'Input &amp; Settings'!$C$7+T101*'Input &amp; Settings'!$C$8+U101*'Input &amp; Settings'!$C$9+V101*'Input &amp; Settings'!$C$10+W101*'Input &amp; Settings'!$C$11+X101*'Input &amp; Settings'!$C$12+Y101*'Input &amp; Settings'!$C$13+Z101*'Input &amp; Settings'!$C$14,1))</f>
        <v/>
      </c>
      <c r="AB101" s="38" t="str">
        <f>IF(OR(AA101="",E101=""),"",IFERROR(IF(AA101&gt;=VLOOKUP(E101,'Input &amp; Settings'!$F$5:$K$10,3,FALSE),"Outstanding",IF(AA101&gt;=VLOOKUP(E101,'Input &amp; Settings'!$F$5:$K$10,4,FALSE),"Exceeds Expectations",IF(AA101&gt;=VLOOKUP(E101,'Input &amp; Settings'!$F$5:$K$10,5,FALSE),"Meets Expectations",IF(AA101&gt;=VLOOKUP(E101,'Input &amp; Settings'!$F$5:$K$10,6,FALSE),"Needs Improvement","Performance Improvement Required")))),""))</f>
        <v/>
      </c>
      <c r="AC101" s="38" t="str">
        <f t="shared" si="4"/>
        <v/>
      </c>
      <c r="AD101" s="39"/>
      <c r="AE101" s="40"/>
      <c r="AF101" s="41" t="str">
        <f t="shared" si="5"/>
        <v/>
      </c>
      <c r="AG101" s="42" t="str">
        <f t="shared" si="6"/>
        <v/>
      </c>
      <c r="AH101" s="42" t="str">
        <f t="shared" si="7"/>
        <v>Jose Reyes-Navolskyi (Ivan)|March</v>
      </c>
    </row>
    <row r="102" spans="1:34" hidden="1">
      <c r="A102" s="32">
        <v>2026</v>
      </c>
      <c r="B102" s="32" t="s">
        <v>82</v>
      </c>
      <c r="C102" s="32" t="s">
        <v>36</v>
      </c>
      <c r="D102" s="32" t="s">
        <v>52</v>
      </c>
      <c r="E102" s="33"/>
      <c r="F102" s="34" t="str">
        <f>IF(E102="","",IFERROR(VLOOKUP(E102,'Input &amp; Settings'!$F$5:$G$10,2,FALSE),""))</f>
        <v/>
      </c>
      <c r="G102" s="33"/>
      <c r="H102" s="33"/>
      <c r="I102" s="35"/>
      <c r="J102" s="33"/>
      <c r="K102" s="36"/>
      <c r="L102" s="35"/>
      <c r="M102" s="33"/>
      <c r="N102" s="33"/>
      <c r="O102" s="33"/>
      <c r="P102" s="33"/>
      <c r="Q102" s="37" t="str">
        <f>IF(G102="","",IFERROR(MIN(100,G102/'Input &amp; Settings'!$B$5*100),""))</f>
        <v/>
      </c>
      <c r="R102" s="37" t="str">
        <f>IF(H102="","",IFERROR(MIN(100,H102/'Input &amp; Settings'!$B$6*100),""))</f>
        <v/>
      </c>
      <c r="S102" s="37" t="str">
        <f>IF(I102="","",IFERROR(MIN(100,I102/'Input &amp; Settings'!$B$7*100),""))</f>
        <v/>
      </c>
      <c r="T102" s="37" t="str">
        <f>IF(J102="","",IFERROR(MIN(100,J102/'Input &amp; Settings'!$B$8*100),""))</f>
        <v/>
      </c>
      <c r="U102" s="37" t="str">
        <f>IF(K102="","",IFERROR(MIN(100,K102/'Input &amp; Settings'!$B$9*100),""))</f>
        <v/>
      </c>
      <c r="V102" s="37" t="str">
        <f>IF(L102="","",IFERROR(MIN(100,L102/'Input &amp; Settings'!$B$10*100),""))</f>
        <v/>
      </c>
      <c r="W102" s="37" t="str">
        <f>IF(M102="","",IFERROR(IF(M102&lt;='Input &amp; Settings'!$B$11,100,MAX(0,100-(M102-'Input &amp; Settings'!$B$11)*20)),""))</f>
        <v/>
      </c>
      <c r="X102" s="37" t="str">
        <f>IF(N102="","",IFERROR(MIN(100,N102/'Input &amp; Settings'!$B$12*100),""))</f>
        <v/>
      </c>
      <c r="Y102" s="37" t="str">
        <f>IF(O102="","",IFERROR(MIN(100,O102/'Input &amp; Settings'!$B$13*100),""))</f>
        <v/>
      </c>
      <c r="Z102" s="37" t="str">
        <f>IF(P102="","",IFERROR(IF(P102&lt;='Input &amp; Settings'!$B$14,100,MAX(0,100-(P102-'Input &amp; Settings'!$B$14)*20)),""))</f>
        <v/>
      </c>
      <c r="AA102" s="37" t="str">
        <f>IF(COUNTA(G102:P102)=0,"",ROUND(Q102*'Input &amp; Settings'!$C$5+R102*'Input &amp; Settings'!$C$6+S102*'Input &amp; Settings'!$C$7+T102*'Input &amp; Settings'!$C$8+U102*'Input &amp; Settings'!$C$9+V102*'Input &amp; Settings'!$C$10+W102*'Input &amp; Settings'!$C$11+X102*'Input &amp; Settings'!$C$12+Y102*'Input &amp; Settings'!$C$13+Z102*'Input &amp; Settings'!$C$14,1))</f>
        <v/>
      </c>
      <c r="AB102" s="38" t="str">
        <f>IF(OR(AA102="",E102=""),"",IFERROR(IF(AA102&gt;=VLOOKUP(E102,'Input &amp; Settings'!$F$5:$K$10,3,FALSE),"Outstanding",IF(AA102&gt;=VLOOKUP(E102,'Input &amp; Settings'!$F$5:$K$10,4,FALSE),"Exceeds Expectations",IF(AA102&gt;=VLOOKUP(E102,'Input &amp; Settings'!$F$5:$K$10,5,FALSE),"Meets Expectations",IF(AA102&gt;=VLOOKUP(E102,'Input &amp; Settings'!$F$5:$K$10,6,FALSE),"Needs Improvement","Performance Improvement Required")))),""))</f>
        <v/>
      </c>
      <c r="AC102" s="38" t="str">
        <f t="shared" si="4"/>
        <v/>
      </c>
      <c r="AD102" s="39"/>
      <c r="AE102" s="40"/>
      <c r="AF102" s="41" t="str">
        <f t="shared" si="5"/>
        <v/>
      </c>
      <c r="AG102" s="42" t="str">
        <f t="shared" si="6"/>
        <v/>
      </c>
      <c r="AH102" s="42" t="str">
        <f t="shared" si="7"/>
        <v>Jonathan Davila|March</v>
      </c>
    </row>
    <row r="103" spans="1:34" hidden="1">
      <c r="A103" s="32">
        <v>2026</v>
      </c>
      <c r="B103" s="32" t="s">
        <v>82</v>
      </c>
      <c r="C103" s="32" t="s">
        <v>53</v>
      </c>
      <c r="D103" s="32" t="s">
        <v>54</v>
      </c>
      <c r="E103" s="33"/>
      <c r="F103" s="34" t="str">
        <f>IF(E103="","",IFERROR(VLOOKUP(E103,'Input &amp; Settings'!$F$5:$G$10,2,FALSE),""))</f>
        <v/>
      </c>
      <c r="G103" s="33"/>
      <c r="H103" s="33"/>
      <c r="I103" s="35"/>
      <c r="J103" s="33"/>
      <c r="K103" s="36"/>
      <c r="L103" s="35"/>
      <c r="M103" s="33"/>
      <c r="N103" s="33"/>
      <c r="O103" s="33"/>
      <c r="P103" s="33"/>
      <c r="Q103" s="37" t="str">
        <f>IF(G103="","",IFERROR(MIN(100,G103/'Input &amp; Settings'!$B$5*100),""))</f>
        <v/>
      </c>
      <c r="R103" s="37" t="str">
        <f>IF(H103="","",IFERROR(MIN(100,H103/'Input &amp; Settings'!$B$6*100),""))</f>
        <v/>
      </c>
      <c r="S103" s="37" t="str">
        <f>IF(I103="","",IFERROR(MIN(100,I103/'Input &amp; Settings'!$B$7*100),""))</f>
        <v/>
      </c>
      <c r="T103" s="37" t="str">
        <f>IF(J103="","",IFERROR(MIN(100,J103/'Input &amp; Settings'!$B$8*100),""))</f>
        <v/>
      </c>
      <c r="U103" s="37" t="str">
        <f>IF(K103="","",IFERROR(MIN(100,K103/'Input &amp; Settings'!$B$9*100),""))</f>
        <v/>
      </c>
      <c r="V103" s="37" t="str">
        <f>IF(L103="","",IFERROR(MIN(100,L103/'Input &amp; Settings'!$B$10*100),""))</f>
        <v/>
      </c>
      <c r="W103" s="37" t="str">
        <f>IF(M103="","",IFERROR(IF(M103&lt;='Input &amp; Settings'!$B$11,100,MAX(0,100-(M103-'Input &amp; Settings'!$B$11)*20)),""))</f>
        <v/>
      </c>
      <c r="X103" s="37" t="str">
        <f>IF(N103="","",IFERROR(MIN(100,N103/'Input &amp; Settings'!$B$12*100),""))</f>
        <v/>
      </c>
      <c r="Y103" s="37" t="str">
        <f>IF(O103="","",IFERROR(MIN(100,O103/'Input &amp; Settings'!$B$13*100),""))</f>
        <v/>
      </c>
      <c r="Z103" s="37" t="str">
        <f>IF(P103="","",IFERROR(IF(P103&lt;='Input &amp; Settings'!$B$14,100,MAX(0,100-(P103-'Input &amp; Settings'!$B$14)*20)),""))</f>
        <v/>
      </c>
      <c r="AA103" s="37" t="str">
        <f>IF(COUNTA(G103:P103)=0,"",ROUND(Q103*'Input &amp; Settings'!$C$5+R103*'Input &amp; Settings'!$C$6+S103*'Input &amp; Settings'!$C$7+T103*'Input &amp; Settings'!$C$8+U103*'Input &amp; Settings'!$C$9+V103*'Input &amp; Settings'!$C$10+W103*'Input &amp; Settings'!$C$11+X103*'Input &amp; Settings'!$C$12+Y103*'Input &amp; Settings'!$C$13+Z103*'Input &amp; Settings'!$C$14,1))</f>
        <v/>
      </c>
      <c r="AB103" s="38" t="str">
        <f>IF(OR(AA103="",E103=""),"",IFERROR(IF(AA103&gt;=VLOOKUP(E103,'Input &amp; Settings'!$F$5:$K$10,3,FALSE),"Outstanding",IF(AA103&gt;=VLOOKUP(E103,'Input &amp; Settings'!$F$5:$K$10,4,FALSE),"Exceeds Expectations",IF(AA103&gt;=VLOOKUP(E103,'Input &amp; Settings'!$F$5:$K$10,5,FALSE),"Meets Expectations",IF(AA103&gt;=VLOOKUP(E103,'Input &amp; Settings'!$F$5:$K$10,6,FALSE),"Needs Improvement","Performance Improvement Required")))),""))</f>
        <v/>
      </c>
      <c r="AC103" s="38" t="str">
        <f t="shared" si="4"/>
        <v/>
      </c>
      <c r="AD103" s="39"/>
      <c r="AE103" s="40"/>
      <c r="AF103" s="41" t="str">
        <f t="shared" si="5"/>
        <v/>
      </c>
      <c r="AG103" s="42" t="str">
        <f t="shared" si="6"/>
        <v/>
      </c>
      <c r="AH103" s="42" t="str">
        <f t="shared" si="7"/>
        <v>Kevin Luburd|March</v>
      </c>
    </row>
    <row r="104" spans="1:34" hidden="1">
      <c r="A104" s="32">
        <v>2026</v>
      </c>
      <c r="B104" s="32" t="s">
        <v>82</v>
      </c>
      <c r="C104" s="32" t="s">
        <v>53</v>
      </c>
      <c r="D104" s="32" t="s">
        <v>55</v>
      </c>
      <c r="E104" s="33"/>
      <c r="F104" s="34" t="str">
        <f>IF(E104="","",IFERROR(VLOOKUP(E104,'Input &amp; Settings'!$F$5:$G$10,2,FALSE),""))</f>
        <v/>
      </c>
      <c r="G104" s="33"/>
      <c r="H104" s="33"/>
      <c r="I104" s="35"/>
      <c r="J104" s="33"/>
      <c r="K104" s="36"/>
      <c r="L104" s="35"/>
      <c r="M104" s="33"/>
      <c r="N104" s="33"/>
      <c r="O104" s="33"/>
      <c r="P104" s="33"/>
      <c r="Q104" s="37" t="str">
        <f>IF(G104="","",IFERROR(MIN(100,G104/'Input &amp; Settings'!$B$5*100),""))</f>
        <v/>
      </c>
      <c r="R104" s="37" t="str">
        <f>IF(H104="","",IFERROR(MIN(100,H104/'Input &amp; Settings'!$B$6*100),""))</f>
        <v/>
      </c>
      <c r="S104" s="37" t="str">
        <f>IF(I104="","",IFERROR(MIN(100,I104/'Input &amp; Settings'!$B$7*100),""))</f>
        <v/>
      </c>
      <c r="T104" s="37" t="str">
        <f>IF(J104="","",IFERROR(MIN(100,J104/'Input &amp; Settings'!$B$8*100),""))</f>
        <v/>
      </c>
      <c r="U104" s="37" t="str">
        <f>IF(K104="","",IFERROR(MIN(100,K104/'Input &amp; Settings'!$B$9*100),""))</f>
        <v/>
      </c>
      <c r="V104" s="37" t="str">
        <f>IF(L104="","",IFERROR(MIN(100,L104/'Input &amp; Settings'!$B$10*100),""))</f>
        <v/>
      </c>
      <c r="W104" s="37" t="str">
        <f>IF(M104="","",IFERROR(IF(M104&lt;='Input &amp; Settings'!$B$11,100,MAX(0,100-(M104-'Input &amp; Settings'!$B$11)*20)),""))</f>
        <v/>
      </c>
      <c r="X104" s="37" t="str">
        <f>IF(N104="","",IFERROR(MIN(100,N104/'Input &amp; Settings'!$B$12*100),""))</f>
        <v/>
      </c>
      <c r="Y104" s="37" t="str">
        <f>IF(O104="","",IFERROR(MIN(100,O104/'Input &amp; Settings'!$B$13*100),""))</f>
        <v/>
      </c>
      <c r="Z104" s="37" t="str">
        <f>IF(P104="","",IFERROR(IF(P104&lt;='Input &amp; Settings'!$B$14,100,MAX(0,100-(P104-'Input &amp; Settings'!$B$14)*20)),""))</f>
        <v/>
      </c>
      <c r="AA104" s="37" t="str">
        <f>IF(COUNTA(G104:P104)=0,"",ROUND(Q104*'Input &amp; Settings'!$C$5+R104*'Input &amp; Settings'!$C$6+S104*'Input &amp; Settings'!$C$7+T104*'Input &amp; Settings'!$C$8+U104*'Input &amp; Settings'!$C$9+V104*'Input &amp; Settings'!$C$10+W104*'Input &amp; Settings'!$C$11+X104*'Input &amp; Settings'!$C$12+Y104*'Input &amp; Settings'!$C$13+Z104*'Input &amp; Settings'!$C$14,1))</f>
        <v/>
      </c>
      <c r="AB104" s="38" t="str">
        <f>IF(OR(AA104="",E104=""),"",IFERROR(IF(AA104&gt;=VLOOKUP(E104,'Input &amp; Settings'!$F$5:$K$10,3,FALSE),"Outstanding",IF(AA104&gt;=VLOOKUP(E104,'Input &amp; Settings'!$F$5:$K$10,4,FALSE),"Exceeds Expectations",IF(AA104&gt;=VLOOKUP(E104,'Input &amp; Settings'!$F$5:$K$10,5,FALSE),"Meets Expectations",IF(AA104&gt;=VLOOKUP(E104,'Input &amp; Settings'!$F$5:$K$10,6,FALSE),"Needs Improvement","Performance Improvement Required")))),""))</f>
        <v/>
      </c>
      <c r="AC104" s="38" t="str">
        <f t="shared" si="4"/>
        <v/>
      </c>
      <c r="AD104" s="39"/>
      <c r="AE104" s="40"/>
      <c r="AF104" s="41" t="str">
        <f t="shared" si="5"/>
        <v/>
      </c>
      <c r="AG104" s="42" t="str">
        <f t="shared" si="6"/>
        <v/>
      </c>
      <c r="AH104" s="42" t="str">
        <f t="shared" si="7"/>
        <v>Anthony Thompson|March</v>
      </c>
    </row>
    <row r="105" spans="1:34" hidden="1">
      <c r="A105" s="32">
        <v>2026</v>
      </c>
      <c r="B105" s="32" t="s">
        <v>82</v>
      </c>
      <c r="C105" s="32" t="s">
        <v>53</v>
      </c>
      <c r="D105" s="32" t="s">
        <v>56</v>
      </c>
      <c r="E105" s="33"/>
      <c r="F105" s="34" t="str">
        <f>IF(E105="","",IFERROR(VLOOKUP(E105,'Input &amp; Settings'!$F$5:$G$10,2,FALSE),""))</f>
        <v/>
      </c>
      <c r="G105" s="33"/>
      <c r="H105" s="33"/>
      <c r="I105" s="35"/>
      <c r="J105" s="33"/>
      <c r="K105" s="36"/>
      <c r="L105" s="35"/>
      <c r="M105" s="33"/>
      <c r="N105" s="33"/>
      <c r="O105" s="33"/>
      <c r="P105" s="33"/>
      <c r="Q105" s="37" t="str">
        <f>IF(G105="","",IFERROR(MIN(100,G105/'Input &amp; Settings'!$B$5*100),""))</f>
        <v/>
      </c>
      <c r="R105" s="37" t="str">
        <f>IF(H105="","",IFERROR(MIN(100,H105/'Input &amp; Settings'!$B$6*100),""))</f>
        <v/>
      </c>
      <c r="S105" s="37" t="str">
        <f>IF(I105="","",IFERROR(MIN(100,I105/'Input &amp; Settings'!$B$7*100),""))</f>
        <v/>
      </c>
      <c r="T105" s="37" t="str">
        <f>IF(J105="","",IFERROR(MIN(100,J105/'Input &amp; Settings'!$B$8*100),""))</f>
        <v/>
      </c>
      <c r="U105" s="37" t="str">
        <f>IF(K105="","",IFERROR(MIN(100,K105/'Input &amp; Settings'!$B$9*100),""))</f>
        <v/>
      </c>
      <c r="V105" s="37" t="str">
        <f>IF(L105="","",IFERROR(MIN(100,L105/'Input &amp; Settings'!$B$10*100),""))</f>
        <v/>
      </c>
      <c r="W105" s="37" t="str">
        <f>IF(M105="","",IFERROR(IF(M105&lt;='Input &amp; Settings'!$B$11,100,MAX(0,100-(M105-'Input &amp; Settings'!$B$11)*20)),""))</f>
        <v/>
      </c>
      <c r="X105" s="37" t="str">
        <f>IF(N105="","",IFERROR(MIN(100,N105/'Input &amp; Settings'!$B$12*100),""))</f>
        <v/>
      </c>
      <c r="Y105" s="37" t="str">
        <f>IF(O105="","",IFERROR(MIN(100,O105/'Input &amp; Settings'!$B$13*100),""))</f>
        <v/>
      </c>
      <c r="Z105" s="37" t="str">
        <f>IF(P105="","",IFERROR(IF(P105&lt;='Input &amp; Settings'!$B$14,100,MAX(0,100-(P105-'Input &amp; Settings'!$B$14)*20)),""))</f>
        <v/>
      </c>
      <c r="AA105" s="37" t="str">
        <f>IF(COUNTA(G105:P105)=0,"",ROUND(Q105*'Input &amp; Settings'!$C$5+R105*'Input &amp; Settings'!$C$6+S105*'Input &amp; Settings'!$C$7+T105*'Input &amp; Settings'!$C$8+U105*'Input &amp; Settings'!$C$9+V105*'Input &amp; Settings'!$C$10+W105*'Input &amp; Settings'!$C$11+X105*'Input &amp; Settings'!$C$12+Y105*'Input &amp; Settings'!$C$13+Z105*'Input &amp; Settings'!$C$14,1))</f>
        <v/>
      </c>
      <c r="AB105" s="38" t="str">
        <f>IF(OR(AA105="",E105=""),"",IFERROR(IF(AA105&gt;=VLOOKUP(E105,'Input &amp; Settings'!$F$5:$K$10,3,FALSE),"Outstanding",IF(AA105&gt;=VLOOKUP(E105,'Input &amp; Settings'!$F$5:$K$10,4,FALSE),"Exceeds Expectations",IF(AA105&gt;=VLOOKUP(E105,'Input &amp; Settings'!$F$5:$K$10,5,FALSE),"Meets Expectations",IF(AA105&gt;=VLOOKUP(E105,'Input &amp; Settings'!$F$5:$K$10,6,FALSE),"Needs Improvement","Performance Improvement Required")))),""))</f>
        <v/>
      </c>
      <c r="AC105" s="38" t="str">
        <f t="shared" si="4"/>
        <v/>
      </c>
      <c r="AD105" s="39"/>
      <c r="AE105" s="40"/>
      <c r="AF105" s="41" t="str">
        <f t="shared" si="5"/>
        <v/>
      </c>
      <c r="AG105" s="42" t="str">
        <f t="shared" si="6"/>
        <v/>
      </c>
      <c r="AH105" s="42" t="str">
        <f t="shared" si="7"/>
        <v>Shamar Modeste|March</v>
      </c>
    </row>
    <row r="106" spans="1:34" hidden="1">
      <c r="A106" s="32">
        <v>2026</v>
      </c>
      <c r="B106" s="32" t="s">
        <v>82</v>
      </c>
      <c r="C106" s="32" t="s">
        <v>53</v>
      </c>
      <c r="D106" s="32" t="s">
        <v>57</v>
      </c>
      <c r="E106" s="33"/>
      <c r="F106" s="34" t="str">
        <f>IF(E106="","",IFERROR(VLOOKUP(E106,'Input &amp; Settings'!$F$5:$G$10,2,FALSE),""))</f>
        <v/>
      </c>
      <c r="G106" s="33"/>
      <c r="H106" s="33"/>
      <c r="I106" s="35"/>
      <c r="J106" s="33"/>
      <c r="K106" s="36"/>
      <c r="L106" s="35"/>
      <c r="M106" s="33"/>
      <c r="N106" s="33"/>
      <c r="O106" s="33"/>
      <c r="P106" s="33"/>
      <c r="Q106" s="37" t="str">
        <f>IF(G106="","",IFERROR(MIN(100,G106/'Input &amp; Settings'!$B$5*100),""))</f>
        <v/>
      </c>
      <c r="R106" s="37" t="str">
        <f>IF(H106="","",IFERROR(MIN(100,H106/'Input &amp; Settings'!$B$6*100),""))</f>
        <v/>
      </c>
      <c r="S106" s="37" t="str">
        <f>IF(I106="","",IFERROR(MIN(100,I106/'Input &amp; Settings'!$B$7*100),""))</f>
        <v/>
      </c>
      <c r="T106" s="37" t="str">
        <f>IF(J106="","",IFERROR(MIN(100,J106/'Input &amp; Settings'!$B$8*100),""))</f>
        <v/>
      </c>
      <c r="U106" s="37" t="str">
        <f>IF(K106="","",IFERROR(MIN(100,K106/'Input &amp; Settings'!$B$9*100),""))</f>
        <v/>
      </c>
      <c r="V106" s="37" t="str">
        <f>IF(L106="","",IFERROR(MIN(100,L106/'Input &amp; Settings'!$B$10*100),""))</f>
        <v/>
      </c>
      <c r="W106" s="37" t="str">
        <f>IF(M106="","",IFERROR(IF(M106&lt;='Input &amp; Settings'!$B$11,100,MAX(0,100-(M106-'Input &amp; Settings'!$B$11)*20)),""))</f>
        <v/>
      </c>
      <c r="X106" s="37" t="str">
        <f>IF(N106="","",IFERROR(MIN(100,N106/'Input &amp; Settings'!$B$12*100),""))</f>
        <v/>
      </c>
      <c r="Y106" s="37" t="str">
        <f>IF(O106="","",IFERROR(MIN(100,O106/'Input &amp; Settings'!$B$13*100),""))</f>
        <v/>
      </c>
      <c r="Z106" s="37" t="str">
        <f>IF(P106="","",IFERROR(IF(P106&lt;='Input &amp; Settings'!$B$14,100,MAX(0,100-(P106-'Input &amp; Settings'!$B$14)*20)),""))</f>
        <v/>
      </c>
      <c r="AA106" s="37" t="str">
        <f>IF(COUNTA(G106:P106)=0,"",ROUND(Q106*'Input &amp; Settings'!$C$5+R106*'Input &amp; Settings'!$C$6+S106*'Input &amp; Settings'!$C$7+T106*'Input &amp; Settings'!$C$8+U106*'Input &amp; Settings'!$C$9+V106*'Input &amp; Settings'!$C$10+W106*'Input &amp; Settings'!$C$11+X106*'Input &amp; Settings'!$C$12+Y106*'Input &amp; Settings'!$C$13+Z106*'Input &amp; Settings'!$C$14,1))</f>
        <v/>
      </c>
      <c r="AB106" s="38" t="str">
        <f>IF(OR(AA106="",E106=""),"",IFERROR(IF(AA106&gt;=VLOOKUP(E106,'Input &amp; Settings'!$F$5:$K$10,3,FALSE),"Outstanding",IF(AA106&gt;=VLOOKUP(E106,'Input &amp; Settings'!$F$5:$K$10,4,FALSE),"Exceeds Expectations",IF(AA106&gt;=VLOOKUP(E106,'Input &amp; Settings'!$F$5:$K$10,5,FALSE),"Meets Expectations",IF(AA106&gt;=VLOOKUP(E106,'Input &amp; Settings'!$F$5:$K$10,6,FALSE),"Needs Improvement","Performance Improvement Required")))),""))</f>
        <v/>
      </c>
      <c r="AC106" s="38" t="str">
        <f t="shared" si="4"/>
        <v/>
      </c>
      <c r="AD106" s="39"/>
      <c r="AE106" s="40"/>
      <c r="AF106" s="41" t="str">
        <f t="shared" si="5"/>
        <v/>
      </c>
      <c r="AG106" s="42" t="str">
        <f t="shared" si="6"/>
        <v/>
      </c>
      <c r="AH106" s="42" t="str">
        <f t="shared" si="7"/>
        <v>Steven Morejon|March</v>
      </c>
    </row>
    <row r="107" spans="1:34" hidden="1">
      <c r="A107" s="32">
        <v>2026</v>
      </c>
      <c r="B107" s="32" t="s">
        <v>82</v>
      </c>
      <c r="C107" s="32" t="s">
        <v>53</v>
      </c>
      <c r="D107" s="32" t="s">
        <v>58</v>
      </c>
      <c r="E107" s="33"/>
      <c r="F107" s="34" t="str">
        <f>IF(E107="","",IFERROR(VLOOKUP(E107,'Input &amp; Settings'!$F$5:$G$10,2,FALSE),""))</f>
        <v/>
      </c>
      <c r="G107" s="33"/>
      <c r="H107" s="33"/>
      <c r="I107" s="35"/>
      <c r="J107" s="33"/>
      <c r="K107" s="36"/>
      <c r="L107" s="35"/>
      <c r="M107" s="33"/>
      <c r="N107" s="33"/>
      <c r="O107" s="33"/>
      <c r="P107" s="33"/>
      <c r="Q107" s="37" t="str">
        <f>IF(G107="","",IFERROR(MIN(100,G107/'Input &amp; Settings'!$B$5*100),""))</f>
        <v/>
      </c>
      <c r="R107" s="37" t="str">
        <f>IF(H107="","",IFERROR(MIN(100,H107/'Input &amp; Settings'!$B$6*100),""))</f>
        <v/>
      </c>
      <c r="S107" s="37" t="str">
        <f>IF(I107="","",IFERROR(MIN(100,I107/'Input &amp; Settings'!$B$7*100),""))</f>
        <v/>
      </c>
      <c r="T107" s="37" t="str">
        <f>IF(J107="","",IFERROR(MIN(100,J107/'Input &amp; Settings'!$B$8*100),""))</f>
        <v/>
      </c>
      <c r="U107" s="37" t="str">
        <f>IF(K107="","",IFERROR(MIN(100,K107/'Input &amp; Settings'!$B$9*100),""))</f>
        <v/>
      </c>
      <c r="V107" s="37" t="str">
        <f>IF(L107="","",IFERROR(MIN(100,L107/'Input &amp; Settings'!$B$10*100),""))</f>
        <v/>
      </c>
      <c r="W107" s="37" t="str">
        <f>IF(M107="","",IFERROR(IF(M107&lt;='Input &amp; Settings'!$B$11,100,MAX(0,100-(M107-'Input &amp; Settings'!$B$11)*20)),""))</f>
        <v/>
      </c>
      <c r="X107" s="37" t="str">
        <f>IF(N107="","",IFERROR(MIN(100,N107/'Input &amp; Settings'!$B$12*100),""))</f>
        <v/>
      </c>
      <c r="Y107" s="37" t="str">
        <f>IF(O107="","",IFERROR(MIN(100,O107/'Input &amp; Settings'!$B$13*100),""))</f>
        <v/>
      </c>
      <c r="Z107" s="37" t="str">
        <f>IF(P107="","",IFERROR(IF(P107&lt;='Input &amp; Settings'!$B$14,100,MAX(0,100-(P107-'Input &amp; Settings'!$B$14)*20)),""))</f>
        <v/>
      </c>
      <c r="AA107" s="37" t="str">
        <f>IF(COUNTA(G107:P107)=0,"",ROUND(Q107*'Input &amp; Settings'!$C$5+R107*'Input &amp; Settings'!$C$6+S107*'Input &amp; Settings'!$C$7+T107*'Input &amp; Settings'!$C$8+U107*'Input &amp; Settings'!$C$9+V107*'Input &amp; Settings'!$C$10+W107*'Input &amp; Settings'!$C$11+X107*'Input &amp; Settings'!$C$12+Y107*'Input &amp; Settings'!$C$13+Z107*'Input &amp; Settings'!$C$14,1))</f>
        <v/>
      </c>
      <c r="AB107" s="38" t="str">
        <f>IF(OR(AA107="",E107=""),"",IFERROR(IF(AA107&gt;=VLOOKUP(E107,'Input &amp; Settings'!$F$5:$K$10,3,FALSE),"Outstanding",IF(AA107&gt;=VLOOKUP(E107,'Input &amp; Settings'!$F$5:$K$10,4,FALSE),"Exceeds Expectations",IF(AA107&gt;=VLOOKUP(E107,'Input &amp; Settings'!$F$5:$K$10,5,FALSE),"Meets Expectations",IF(AA107&gt;=VLOOKUP(E107,'Input &amp; Settings'!$F$5:$K$10,6,FALSE),"Needs Improvement","Performance Improvement Required")))),""))</f>
        <v/>
      </c>
      <c r="AC107" s="38" t="str">
        <f t="shared" si="4"/>
        <v/>
      </c>
      <c r="AD107" s="39"/>
      <c r="AE107" s="40"/>
      <c r="AF107" s="41" t="str">
        <f t="shared" si="5"/>
        <v/>
      </c>
      <c r="AG107" s="42" t="str">
        <f t="shared" si="6"/>
        <v/>
      </c>
      <c r="AH107" s="42" t="str">
        <f t="shared" si="7"/>
        <v>Nicolas Abello|March</v>
      </c>
    </row>
    <row r="108" spans="1:34" hidden="1">
      <c r="A108" s="32">
        <v>2026</v>
      </c>
      <c r="B108" s="32" t="s">
        <v>82</v>
      </c>
      <c r="C108" s="32" t="s">
        <v>53</v>
      </c>
      <c r="D108" s="32" t="s">
        <v>59</v>
      </c>
      <c r="E108" s="33"/>
      <c r="F108" s="34" t="str">
        <f>IF(E108="","",IFERROR(VLOOKUP(E108,'Input &amp; Settings'!$F$5:$G$10,2,FALSE),""))</f>
        <v/>
      </c>
      <c r="G108" s="33"/>
      <c r="H108" s="33"/>
      <c r="I108" s="35"/>
      <c r="J108" s="33"/>
      <c r="K108" s="36"/>
      <c r="L108" s="35"/>
      <c r="M108" s="33"/>
      <c r="N108" s="33"/>
      <c r="O108" s="33"/>
      <c r="P108" s="33"/>
      <c r="Q108" s="37" t="str">
        <f>IF(G108="","",IFERROR(MIN(100,G108/'Input &amp; Settings'!$B$5*100),""))</f>
        <v/>
      </c>
      <c r="R108" s="37" t="str">
        <f>IF(H108="","",IFERROR(MIN(100,H108/'Input &amp; Settings'!$B$6*100),""))</f>
        <v/>
      </c>
      <c r="S108" s="37" t="str">
        <f>IF(I108="","",IFERROR(MIN(100,I108/'Input &amp; Settings'!$B$7*100),""))</f>
        <v/>
      </c>
      <c r="T108" s="37" t="str">
        <f>IF(J108="","",IFERROR(MIN(100,J108/'Input &amp; Settings'!$B$8*100),""))</f>
        <v/>
      </c>
      <c r="U108" s="37" t="str">
        <f>IF(K108="","",IFERROR(MIN(100,K108/'Input &amp; Settings'!$B$9*100),""))</f>
        <v/>
      </c>
      <c r="V108" s="37" t="str">
        <f>IF(L108="","",IFERROR(MIN(100,L108/'Input &amp; Settings'!$B$10*100),""))</f>
        <v/>
      </c>
      <c r="W108" s="37" t="str">
        <f>IF(M108="","",IFERROR(IF(M108&lt;='Input &amp; Settings'!$B$11,100,MAX(0,100-(M108-'Input &amp; Settings'!$B$11)*20)),""))</f>
        <v/>
      </c>
      <c r="X108" s="37" t="str">
        <f>IF(N108="","",IFERROR(MIN(100,N108/'Input &amp; Settings'!$B$12*100),""))</f>
        <v/>
      </c>
      <c r="Y108" s="37" t="str">
        <f>IF(O108="","",IFERROR(MIN(100,O108/'Input &amp; Settings'!$B$13*100),""))</f>
        <v/>
      </c>
      <c r="Z108" s="37" t="str">
        <f>IF(P108="","",IFERROR(IF(P108&lt;='Input &amp; Settings'!$B$14,100,MAX(0,100-(P108-'Input &amp; Settings'!$B$14)*20)),""))</f>
        <v/>
      </c>
      <c r="AA108" s="37" t="str">
        <f>IF(COUNTA(G108:P108)=0,"",ROUND(Q108*'Input &amp; Settings'!$C$5+R108*'Input &amp; Settings'!$C$6+S108*'Input &amp; Settings'!$C$7+T108*'Input &amp; Settings'!$C$8+U108*'Input &amp; Settings'!$C$9+V108*'Input &amp; Settings'!$C$10+W108*'Input &amp; Settings'!$C$11+X108*'Input &amp; Settings'!$C$12+Y108*'Input &amp; Settings'!$C$13+Z108*'Input &amp; Settings'!$C$14,1))</f>
        <v/>
      </c>
      <c r="AB108" s="38" t="str">
        <f>IF(OR(AA108="",E108=""),"",IFERROR(IF(AA108&gt;=VLOOKUP(E108,'Input &amp; Settings'!$F$5:$K$10,3,FALSE),"Outstanding",IF(AA108&gt;=VLOOKUP(E108,'Input &amp; Settings'!$F$5:$K$10,4,FALSE),"Exceeds Expectations",IF(AA108&gt;=VLOOKUP(E108,'Input &amp; Settings'!$F$5:$K$10,5,FALSE),"Meets Expectations",IF(AA108&gt;=VLOOKUP(E108,'Input &amp; Settings'!$F$5:$K$10,6,FALSE),"Needs Improvement","Performance Improvement Required")))),""))</f>
        <v/>
      </c>
      <c r="AC108" s="38" t="str">
        <f t="shared" si="4"/>
        <v/>
      </c>
      <c r="AD108" s="39"/>
      <c r="AE108" s="40"/>
      <c r="AF108" s="41" t="str">
        <f t="shared" si="5"/>
        <v/>
      </c>
      <c r="AG108" s="42" t="str">
        <f t="shared" si="6"/>
        <v/>
      </c>
      <c r="AH108" s="42" t="str">
        <f t="shared" si="7"/>
        <v>Carlos Espinosa|March</v>
      </c>
    </row>
    <row r="109" spans="1:34" hidden="1">
      <c r="A109" s="32">
        <v>2026</v>
      </c>
      <c r="B109" s="32" t="s">
        <v>82</v>
      </c>
      <c r="C109" s="32" t="s">
        <v>53</v>
      </c>
      <c r="D109" s="32" t="s">
        <v>60</v>
      </c>
      <c r="E109" s="33"/>
      <c r="F109" s="34" t="str">
        <f>IF(E109="","",IFERROR(VLOOKUP(E109,'Input &amp; Settings'!$F$5:$G$10,2,FALSE),""))</f>
        <v/>
      </c>
      <c r="G109" s="33"/>
      <c r="H109" s="33"/>
      <c r="I109" s="35"/>
      <c r="J109" s="33"/>
      <c r="K109" s="36"/>
      <c r="L109" s="35"/>
      <c r="M109" s="33"/>
      <c r="N109" s="33"/>
      <c r="O109" s="33"/>
      <c r="P109" s="33"/>
      <c r="Q109" s="37" t="str">
        <f>IF(G109="","",IFERROR(MIN(100,G109/'Input &amp; Settings'!$B$5*100),""))</f>
        <v/>
      </c>
      <c r="R109" s="37" t="str">
        <f>IF(H109="","",IFERROR(MIN(100,H109/'Input &amp; Settings'!$B$6*100),""))</f>
        <v/>
      </c>
      <c r="S109" s="37" t="str">
        <f>IF(I109="","",IFERROR(MIN(100,I109/'Input &amp; Settings'!$B$7*100),""))</f>
        <v/>
      </c>
      <c r="T109" s="37" t="str">
        <f>IF(J109="","",IFERROR(MIN(100,J109/'Input &amp; Settings'!$B$8*100),""))</f>
        <v/>
      </c>
      <c r="U109" s="37" t="str">
        <f>IF(K109="","",IFERROR(MIN(100,K109/'Input &amp; Settings'!$B$9*100),""))</f>
        <v/>
      </c>
      <c r="V109" s="37" t="str">
        <f>IF(L109="","",IFERROR(MIN(100,L109/'Input &amp; Settings'!$B$10*100),""))</f>
        <v/>
      </c>
      <c r="W109" s="37" t="str">
        <f>IF(M109="","",IFERROR(IF(M109&lt;='Input &amp; Settings'!$B$11,100,MAX(0,100-(M109-'Input &amp; Settings'!$B$11)*20)),""))</f>
        <v/>
      </c>
      <c r="X109" s="37" t="str">
        <f>IF(N109="","",IFERROR(MIN(100,N109/'Input &amp; Settings'!$B$12*100),""))</f>
        <v/>
      </c>
      <c r="Y109" s="37" t="str">
        <f>IF(O109="","",IFERROR(MIN(100,O109/'Input &amp; Settings'!$B$13*100),""))</f>
        <v/>
      </c>
      <c r="Z109" s="37" t="str">
        <f>IF(P109="","",IFERROR(IF(P109&lt;='Input &amp; Settings'!$B$14,100,MAX(0,100-(P109-'Input &amp; Settings'!$B$14)*20)),""))</f>
        <v/>
      </c>
      <c r="AA109" s="37" t="str">
        <f>IF(COUNTA(G109:P109)=0,"",ROUND(Q109*'Input &amp; Settings'!$C$5+R109*'Input &amp; Settings'!$C$6+S109*'Input &amp; Settings'!$C$7+T109*'Input &amp; Settings'!$C$8+U109*'Input &amp; Settings'!$C$9+V109*'Input &amp; Settings'!$C$10+W109*'Input &amp; Settings'!$C$11+X109*'Input &amp; Settings'!$C$12+Y109*'Input &amp; Settings'!$C$13+Z109*'Input &amp; Settings'!$C$14,1))</f>
        <v/>
      </c>
      <c r="AB109" s="38" t="str">
        <f>IF(OR(AA109="",E109=""),"",IFERROR(IF(AA109&gt;=VLOOKUP(E109,'Input &amp; Settings'!$F$5:$K$10,3,FALSE),"Outstanding",IF(AA109&gt;=VLOOKUP(E109,'Input &amp; Settings'!$F$5:$K$10,4,FALSE),"Exceeds Expectations",IF(AA109&gt;=VLOOKUP(E109,'Input &amp; Settings'!$F$5:$K$10,5,FALSE),"Meets Expectations",IF(AA109&gt;=VLOOKUP(E109,'Input &amp; Settings'!$F$5:$K$10,6,FALSE),"Needs Improvement","Performance Improvement Required")))),""))</f>
        <v/>
      </c>
      <c r="AC109" s="38" t="str">
        <f t="shared" si="4"/>
        <v/>
      </c>
      <c r="AD109" s="39"/>
      <c r="AE109" s="40"/>
      <c r="AF109" s="41" t="str">
        <f t="shared" si="5"/>
        <v/>
      </c>
      <c r="AG109" s="42" t="str">
        <f t="shared" si="6"/>
        <v/>
      </c>
      <c r="AH109" s="42" t="str">
        <f t="shared" si="7"/>
        <v>Fernando Barbera - Boyer|March</v>
      </c>
    </row>
    <row r="110" spans="1:34" hidden="1">
      <c r="A110" s="32">
        <v>2026</v>
      </c>
      <c r="B110" s="32" t="s">
        <v>82</v>
      </c>
      <c r="C110" s="32" t="s">
        <v>53</v>
      </c>
      <c r="D110" s="32" t="s">
        <v>61</v>
      </c>
      <c r="E110" s="33"/>
      <c r="F110" s="34" t="str">
        <f>IF(E110="","",IFERROR(VLOOKUP(E110,'Input &amp; Settings'!$F$5:$G$10,2,FALSE),""))</f>
        <v/>
      </c>
      <c r="G110" s="33"/>
      <c r="H110" s="33"/>
      <c r="I110" s="35"/>
      <c r="J110" s="33"/>
      <c r="K110" s="36"/>
      <c r="L110" s="35"/>
      <c r="M110" s="33"/>
      <c r="N110" s="33"/>
      <c r="O110" s="33"/>
      <c r="P110" s="33"/>
      <c r="Q110" s="37" t="str">
        <f>IF(G110="","",IFERROR(MIN(100,G110/'Input &amp; Settings'!$B$5*100),""))</f>
        <v/>
      </c>
      <c r="R110" s="37" t="str">
        <f>IF(H110="","",IFERROR(MIN(100,H110/'Input &amp; Settings'!$B$6*100),""))</f>
        <v/>
      </c>
      <c r="S110" s="37" t="str">
        <f>IF(I110="","",IFERROR(MIN(100,I110/'Input &amp; Settings'!$B$7*100),""))</f>
        <v/>
      </c>
      <c r="T110" s="37" t="str">
        <f>IF(J110="","",IFERROR(MIN(100,J110/'Input &amp; Settings'!$B$8*100),""))</f>
        <v/>
      </c>
      <c r="U110" s="37" t="str">
        <f>IF(K110="","",IFERROR(MIN(100,K110/'Input &amp; Settings'!$B$9*100),""))</f>
        <v/>
      </c>
      <c r="V110" s="37" t="str">
        <f>IF(L110="","",IFERROR(MIN(100,L110/'Input &amp; Settings'!$B$10*100),""))</f>
        <v/>
      </c>
      <c r="W110" s="37" t="str">
        <f>IF(M110="","",IFERROR(IF(M110&lt;='Input &amp; Settings'!$B$11,100,MAX(0,100-(M110-'Input &amp; Settings'!$B$11)*20)),""))</f>
        <v/>
      </c>
      <c r="X110" s="37" t="str">
        <f>IF(N110="","",IFERROR(MIN(100,N110/'Input &amp; Settings'!$B$12*100),""))</f>
        <v/>
      </c>
      <c r="Y110" s="37" t="str">
        <f>IF(O110="","",IFERROR(MIN(100,O110/'Input &amp; Settings'!$B$13*100),""))</f>
        <v/>
      </c>
      <c r="Z110" s="37" t="str">
        <f>IF(P110="","",IFERROR(IF(P110&lt;='Input &amp; Settings'!$B$14,100,MAX(0,100-(P110-'Input &amp; Settings'!$B$14)*20)),""))</f>
        <v/>
      </c>
      <c r="AA110" s="37" t="str">
        <f>IF(COUNTA(G110:P110)=0,"",ROUND(Q110*'Input &amp; Settings'!$C$5+R110*'Input &amp; Settings'!$C$6+S110*'Input &amp; Settings'!$C$7+T110*'Input &amp; Settings'!$C$8+U110*'Input &amp; Settings'!$C$9+V110*'Input &amp; Settings'!$C$10+W110*'Input &amp; Settings'!$C$11+X110*'Input &amp; Settings'!$C$12+Y110*'Input &amp; Settings'!$C$13+Z110*'Input &amp; Settings'!$C$14,1))</f>
        <v/>
      </c>
      <c r="AB110" s="38" t="str">
        <f>IF(OR(AA110="",E110=""),"",IFERROR(IF(AA110&gt;=VLOOKUP(E110,'Input &amp; Settings'!$F$5:$K$10,3,FALSE),"Outstanding",IF(AA110&gt;=VLOOKUP(E110,'Input &amp; Settings'!$F$5:$K$10,4,FALSE),"Exceeds Expectations",IF(AA110&gt;=VLOOKUP(E110,'Input &amp; Settings'!$F$5:$K$10,5,FALSE),"Meets Expectations",IF(AA110&gt;=VLOOKUP(E110,'Input &amp; Settings'!$F$5:$K$10,6,FALSE),"Needs Improvement","Performance Improvement Required")))),""))</f>
        <v/>
      </c>
      <c r="AC110" s="38" t="str">
        <f t="shared" si="4"/>
        <v/>
      </c>
      <c r="AD110" s="39"/>
      <c r="AE110" s="40"/>
      <c r="AF110" s="41" t="str">
        <f t="shared" si="5"/>
        <v/>
      </c>
      <c r="AG110" s="42" t="str">
        <f t="shared" si="6"/>
        <v/>
      </c>
      <c r="AH110" s="42" t="str">
        <f t="shared" si="7"/>
        <v>Miquelle Cordova|March</v>
      </c>
    </row>
    <row r="111" spans="1:34" hidden="1">
      <c r="A111" s="32">
        <v>2026</v>
      </c>
      <c r="B111" s="32" t="s">
        <v>82</v>
      </c>
      <c r="C111" s="32" t="s">
        <v>53</v>
      </c>
      <c r="D111" s="32" t="s">
        <v>62</v>
      </c>
      <c r="E111" s="33"/>
      <c r="F111" s="34" t="str">
        <f>IF(E111="","",IFERROR(VLOOKUP(E111,'Input &amp; Settings'!$F$5:$G$10,2,FALSE),""))</f>
        <v/>
      </c>
      <c r="G111" s="33"/>
      <c r="H111" s="33"/>
      <c r="I111" s="35"/>
      <c r="J111" s="33"/>
      <c r="K111" s="36"/>
      <c r="L111" s="35"/>
      <c r="M111" s="33"/>
      <c r="N111" s="33"/>
      <c r="O111" s="33"/>
      <c r="P111" s="33"/>
      <c r="Q111" s="37" t="str">
        <f>IF(G111="","",IFERROR(MIN(100,G111/'Input &amp; Settings'!$B$5*100),""))</f>
        <v/>
      </c>
      <c r="R111" s="37" t="str">
        <f>IF(H111="","",IFERROR(MIN(100,H111/'Input &amp; Settings'!$B$6*100),""))</f>
        <v/>
      </c>
      <c r="S111" s="37" t="str">
        <f>IF(I111="","",IFERROR(MIN(100,I111/'Input &amp; Settings'!$B$7*100),""))</f>
        <v/>
      </c>
      <c r="T111" s="37" t="str">
        <f>IF(J111="","",IFERROR(MIN(100,J111/'Input &amp; Settings'!$B$8*100),""))</f>
        <v/>
      </c>
      <c r="U111" s="37" t="str">
        <f>IF(K111="","",IFERROR(MIN(100,K111/'Input &amp; Settings'!$B$9*100),""))</f>
        <v/>
      </c>
      <c r="V111" s="37" t="str">
        <f>IF(L111="","",IFERROR(MIN(100,L111/'Input &amp; Settings'!$B$10*100),""))</f>
        <v/>
      </c>
      <c r="W111" s="37" t="str">
        <f>IF(M111="","",IFERROR(IF(M111&lt;='Input &amp; Settings'!$B$11,100,MAX(0,100-(M111-'Input &amp; Settings'!$B$11)*20)),""))</f>
        <v/>
      </c>
      <c r="X111" s="37" t="str">
        <f>IF(N111="","",IFERROR(MIN(100,N111/'Input &amp; Settings'!$B$12*100),""))</f>
        <v/>
      </c>
      <c r="Y111" s="37" t="str">
        <f>IF(O111="","",IFERROR(MIN(100,O111/'Input &amp; Settings'!$B$13*100),""))</f>
        <v/>
      </c>
      <c r="Z111" s="37" t="str">
        <f>IF(P111="","",IFERROR(IF(P111&lt;='Input &amp; Settings'!$B$14,100,MAX(0,100-(P111-'Input &amp; Settings'!$B$14)*20)),""))</f>
        <v/>
      </c>
      <c r="AA111" s="37" t="str">
        <f>IF(COUNTA(G111:P111)=0,"",ROUND(Q111*'Input &amp; Settings'!$C$5+R111*'Input &amp; Settings'!$C$6+S111*'Input &amp; Settings'!$C$7+T111*'Input &amp; Settings'!$C$8+U111*'Input &amp; Settings'!$C$9+V111*'Input &amp; Settings'!$C$10+W111*'Input &amp; Settings'!$C$11+X111*'Input &amp; Settings'!$C$12+Y111*'Input &amp; Settings'!$C$13+Z111*'Input &amp; Settings'!$C$14,1))</f>
        <v/>
      </c>
      <c r="AB111" s="38" t="str">
        <f>IF(OR(AA111="",E111=""),"",IFERROR(IF(AA111&gt;=VLOOKUP(E111,'Input &amp; Settings'!$F$5:$K$10,3,FALSE),"Outstanding",IF(AA111&gt;=VLOOKUP(E111,'Input &amp; Settings'!$F$5:$K$10,4,FALSE),"Exceeds Expectations",IF(AA111&gt;=VLOOKUP(E111,'Input &amp; Settings'!$F$5:$K$10,5,FALSE),"Meets Expectations",IF(AA111&gt;=VLOOKUP(E111,'Input &amp; Settings'!$F$5:$K$10,6,FALSE),"Needs Improvement","Performance Improvement Required")))),""))</f>
        <v/>
      </c>
      <c r="AC111" s="38" t="str">
        <f t="shared" si="4"/>
        <v/>
      </c>
      <c r="AD111" s="39"/>
      <c r="AE111" s="40"/>
      <c r="AF111" s="41" t="str">
        <f t="shared" si="5"/>
        <v/>
      </c>
      <c r="AG111" s="42" t="str">
        <f t="shared" si="6"/>
        <v/>
      </c>
      <c r="AH111" s="42" t="str">
        <f t="shared" si="7"/>
        <v>Daniel Sanchez|March</v>
      </c>
    </row>
    <row r="112" spans="1:34" hidden="1">
      <c r="A112" s="32">
        <v>2026</v>
      </c>
      <c r="B112" s="32" t="s">
        <v>82</v>
      </c>
      <c r="C112" s="32" t="s">
        <v>53</v>
      </c>
      <c r="D112" s="32" t="s">
        <v>63</v>
      </c>
      <c r="E112" s="33"/>
      <c r="F112" s="34" t="str">
        <f>IF(E112="","",IFERROR(VLOOKUP(E112,'Input &amp; Settings'!$F$5:$G$10,2,FALSE),""))</f>
        <v/>
      </c>
      <c r="G112" s="33"/>
      <c r="H112" s="33"/>
      <c r="I112" s="35"/>
      <c r="J112" s="33"/>
      <c r="K112" s="36"/>
      <c r="L112" s="35"/>
      <c r="M112" s="33"/>
      <c r="N112" s="33"/>
      <c r="O112" s="33"/>
      <c r="P112" s="33"/>
      <c r="Q112" s="37" t="str">
        <f>IF(G112="","",IFERROR(MIN(100,G112/'Input &amp; Settings'!$B$5*100),""))</f>
        <v/>
      </c>
      <c r="R112" s="37" t="str">
        <f>IF(H112="","",IFERROR(MIN(100,H112/'Input &amp; Settings'!$B$6*100),""))</f>
        <v/>
      </c>
      <c r="S112" s="37" t="str">
        <f>IF(I112="","",IFERROR(MIN(100,I112/'Input &amp; Settings'!$B$7*100),""))</f>
        <v/>
      </c>
      <c r="T112" s="37" t="str">
        <f>IF(J112="","",IFERROR(MIN(100,J112/'Input &amp; Settings'!$B$8*100),""))</f>
        <v/>
      </c>
      <c r="U112" s="37" t="str">
        <f>IF(K112="","",IFERROR(MIN(100,K112/'Input &amp; Settings'!$B$9*100),""))</f>
        <v/>
      </c>
      <c r="V112" s="37" t="str">
        <f>IF(L112="","",IFERROR(MIN(100,L112/'Input &amp; Settings'!$B$10*100),""))</f>
        <v/>
      </c>
      <c r="W112" s="37" t="str">
        <f>IF(M112="","",IFERROR(IF(M112&lt;='Input &amp; Settings'!$B$11,100,MAX(0,100-(M112-'Input &amp; Settings'!$B$11)*20)),""))</f>
        <v/>
      </c>
      <c r="X112" s="37" t="str">
        <f>IF(N112="","",IFERROR(MIN(100,N112/'Input &amp; Settings'!$B$12*100),""))</f>
        <v/>
      </c>
      <c r="Y112" s="37" t="str">
        <f>IF(O112="","",IFERROR(MIN(100,O112/'Input &amp; Settings'!$B$13*100),""))</f>
        <v/>
      </c>
      <c r="Z112" s="37" t="str">
        <f>IF(P112="","",IFERROR(IF(P112&lt;='Input &amp; Settings'!$B$14,100,MAX(0,100-(P112-'Input &amp; Settings'!$B$14)*20)),""))</f>
        <v/>
      </c>
      <c r="AA112" s="37" t="str">
        <f>IF(COUNTA(G112:P112)=0,"",ROUND(Q112*'Input &amp; Settings'!$C$5+R112*'Input &amp; Settings'!$C$6+S112*'Input &amp; Settings'!$C$7+T112*'Input &amp; Settings'!$C$8+U112*'Input &amp; Settings'!$C$9+V112*'Input &amp; Settings'!$C$10+W112*'Input &amp; Settings'!$C$11+X112*'Input &amp; Settings'!$C$12+Y112*'Input &amp; Settings'!$C$13+Z112*'Input &amp; Settings'!$C$14,1))</f>
        <v/>
      </c>
      <c r="AB112" s="38" t="str">
        <f>IF(OR(AA112="",E112=""),"",IFERROR(IF(AA112&gt;=VLOOKUP(E112,'Input &amp; Settings'!$F$5:$K$10,3,FALSE),"Outstanding",IF(AA112&gt;=VLOOKUP(E112,'Input &amp; Settings'!$F$5:$K$10,4,FALSE),"Exceeds Expectations",IF(AA112&gt;=VLOOKUP(E112,'Input &amp; Settings'!$F$5:$K$10,5,FALSE),"Meets Expectations",IF(AA112&gt;=VLOOKUP(E112,'Input &amp; Settings'!$F$5:$K$10,6,FALSE),"Needs Improvement","Performance Improvement Required")))),""))</f>
        <v/>
      </c>
      <c r="AC112" s="38" t="str">
        <f t="shared" si="4"/>
        <v/>
      </c>
      <c r="AD112" s="39"/>
      <c r="AE112" s="40"/>
      <c r="AF112" s="41" t="str">
        <f t="shared" si="5"/>
        <v/>
      </c>
      <c r="AG112" s="42" t="str">
        <f t="shared" si="6"/>
        <v/>
      </c>
      <c r="AH112" s="42" t="str">
        <f t="shared" si="7"/>
        <v>Braynon Edwards|March</v>
      </c>
    </row>
    <row r="113" spans="1:34" hidden="1">
      <c r="A113" s="32">
        <v>2026</v>
      </c>
      <c r="B113" s="32" t="s">
        <v>82</v>
      </c>
      <c r="C113" s="32" t="s">
        <v>53</v>
      </c>
      <c r="D113" s="32" t="s">
        <v>64</v>
      </c>
      <c r="E113" s="33"/>
      <c r="F113" s="34" t="str">
        <f>IF(E113="","",IFERROR(VLOOKUP(E113,'Input &amp; Settings'!$F$5:$G$10,2,FALSE),""))</f>
        <v/>
      </c>
      <c r="G113" s="33"/>
      <c r="H113" s="33"/>
      <c r="I113" s="35"/>
      <c r="J113" s="33"/>
      <c r="K113" s="36"/>
      <c r="L113" s="35"/>
      <c r="M113" s="33"/>
      <c r="N113" s="33"/>
      <c r="O113" s="33"/>
      <c r="P113" s="33"/>
      <c r="Q113" s="37" t="str">
        <f>IF(G113="","",IFERROR(MIN(100,G113/'Input &amp; Settings'!$B$5*100),""))</f>
        <v/>
      </c>
      <c r="R113" s="37" t="str">
        <f>IF(H113="","",IFERROR(MIN(100,H113/'Input &amp; Settings'!$B$6*100),""))</f>
        <v/>
      </c>
      <c r="S113" s="37" t="str">
        <f>IF(I113="","",IFERROR(MIN(100,I113/'Input &amp; Settings'!$B$7*100),""))</f>
        <v/>
      </c>
      <c r="T113" s="37" t="str">
        <f>IF(J113="","",IFERROR(MIN(100,J113/'Input &amp; Settings'!$B$8*100),""))</f>
        <v/>
      </c>
      <c r="U113" s="37" t="str">
        <f>IF(K113="","",IFERROR(MIN(100,K113/'Input &amp; Settings'!$B$9*100),""))</f>
        <v/>
      </c>
      <c r="V113" s="37" t="str">
        <f>IF(L113="","",IFERROR(MIN(100,L113/'Input &amp; Settings'!$B$10*100),""))</f>
        <v/>
      </c>
      <c r="W113" s="37" t="str">
        <f>IF(M113="","",IFERROR(IF(M113&lt;='Input &amp; Settings'!$B$11,100,MAX(0,100-(M113-'Input &amp; Settings'!$B$11)*20)),""))</f>
        <v/>
      </c>
      <c r="X113" s="37" t="str">
        <f>IF(N113="","",IFERROR(MIN(100,N113/'Input &amp; Settings'!$B$12*100),""))</f>
        <v/>
      </c>
      <c r="Y113" s="37" t="str">
        <f>IF(O113="","",IFERROR(MIN(100,O113/'Input &amp; Settings'!$B$13*100),""))</f>
        <v/>
      </c>
      <c r="Z113" s="37" t="str">
        <f>IF(P113="","",IFERROR(IF(P113&lt;='Input &amp; Settings'!$B$14,100,MAX(0,100-(P113-'Input &amp; Settings'!$B$14)*20)),""))</f>
        <v/>
      </c>
      <c r="AA113" s="37" t="str">
        <f>IF(COUNTA(G113:P113)=0,"",ROUND(Q113*'Input &amp; Settings'!$C$5+R113*'Input &amp; Settings'!$C$6+S113*'Input &amp; Settings'!$C$7+T113*'Input &amp; Settings'!$C$8+U113*'Input &amp; Settings'!$C$9+V113*'Input &amp; Settings'!$C$10+W113*'Input &amp; Settings'!$C$11+X113*'Input &amp; Settings'!$C$12+Y113*'Input &amp; Settings'!$C$13+Z113*'Input &amp; Settings'!$C$14,1))</f>
        <v/>
      </c>
      <c r="AB113" s="38" t="str">
        <f>IF(OR(AA113="",E113=""),"",IFERROR(IF(AA113&gt;=VLOOKUP(E113,'Input &amp; Settings'!$F$5:$K$10,3,FALSE),"Outstanding",IF(AA113&gt;=VLOOKUP(E113,'Input &amp; Settings'!$F$5:$K$10,4,FALSE),"Exceeds Expectations",IF(AA113&gt;=VLOOKUP(E113,'Input &amp; Settings'!$F$5:$K$10,5,FALSE),"Meets Expectations",IF(AA113&gt;=VLOOKUP(E113,'Input &amp; Settings'!$F$5:$K$10,6,FALSE),"Needs Improvement","Performance Improvement Required")))),""))</f>
        <v/>
      </c>
      <c r="AC113" s="38" t="str">
        <f t="shared" si="4"/>
        <v/>
      </c>
      <c r="AD113" s="39"/>
      <c r="AE113" s="40"/>
      <c r="AF113" s="41" t="str">
        <f t="shared" si="5"/>
        <v/>
      </c>
      <c r="AG113" s="42" t="str">
        <f t="shared" si="6"/>
        <v/>
      </c>
      <c r="AH113" s="42" t="str">
        <f t="shared" si="7"/>
        <v>Sebastian Lopez|March</v>
      </c>
    </row>
    <row r="114" spans="1:34" hidden="1">
      <c r="A114" s="32">
        <v>2026</v>
      </c>
      <c r="B114" s="32" t="s">
        <v>82</v>
      </c>
      <c r="C114" s="32" t="s">
        <v>53</v>
      </c>
      <c r="D114" s="32" t="s">
        <v>65</v>
      </c>
      <c r="E114" s="33"/>
      <c r="F114" s="34" t="str">
        <f>IF(E114="","",IFERROR(VLOOKUP(E114,'Input &amp; Settings'!$F$5:$G$10,2,FALSE),""))</f>
        <v/>
      </c>
      <c r="G114" s="33"/>
      <c r="H114" s="33"/>
      <c r="I114" s="35"/>
      <c r="J114" s="33"/>
      <c r="K114" s="36"/>
      <c r="L114" s="35"/>
      <c r="M114" s="33"/>
      <c r="N114" s="33"/>
      <c r="O114" s="33"/>
      <c r="P114" s="33"/>
      <c r="Q114" s="37" t="str">
        <f>IF(G114="","",IFERROR(MIN(100,G114/'Input &amp; Settings'!$B$5*100),""))</f>
        <v/>
      </c>
      <c r="R114" s="37" t="str">
        <f>IF(H114="","",IFERROR(MIN(100,H114/'Input &amp; Settings'!$B$6*100),""))</f>
        <v/>
      </c>
      <c r="S114" s="37" t="str">
        <f>IF(I114="","",IFERROR(MIN(100,I114/'Input &amp; Settings'!$B$7*100),""))</f>
        <v/>
      </c>
      <c r="T114" s="37" t="str">
        <f>IF(J114="","",IFERROR(MIN(100,J114/'Input &amp; Settings'!$B$8*100),""))</f>
        <v/>
      </c>
      <c r="U114" s="37" t="str">
        <f>IF(K114="","",IFERROR(MIN(100,K114/'Input &amp; Settings'!$B$9*100),""))</f>
        <v/>
      </c>
      <c r="V114" s="37" t="str">
        <f>IF(L114="","",IFERROR(MIN(100,L114/'Input &amp; Settings'!$B$10*100),""))</f>
        <v/>
      </c>
      <c r="W114" s="37" t="str">
        <f>IF(M114="","",IFERROR(IF(M114&lt;='Input &amp; Settings'!$B$11,100,MAX(0,100-(M114-'Input &amp; Settings'!$B$11)*20)),""))</f>
        <v/>
      </c>
      <c r="X114" s="37" t="str">
        <f>IF(N114="","",IFERROR(MIN(100,N114/'Input &amp; Settings'!$B$12*100),""))</f>
        <v/>
      </c>
      <c r="Y114" s="37" t="str">
        <f>IF(O114="","",IFERROR(MIN(100,O114/'Input &amp; Settings'!$B$13*100),""))</f>
        <v/>
      </c>
      <c r="Z114" s="37" t="str">
        <f>IF(P114="","",IFERROR(IF(P114&lt;='Input &amp; Settings'!$B$14,100,MAX(0,100-(P114-'Input &amp; Settings'!$B$14)*20)),""))</f>
        <v/>
      </c>
      <c r="AA114" s="37" t="str">
        <f>IF(COUNTA(G114:P114)=0,"",ROUND(Q114*'Input &amp; Settings'!$C$5+R114*'Input &amp; Settings'!$C$6+S114*'Input &amp; Settings'!$C$7+T114*'Input &amp; Settings'!$C$8+U114*'Input &amp; Settings'!$C$9+V114*'Input &amp; Settings'!$C$10+W114*'Input &amp; Settings'!$C$11+X114*'Input &amp; Settings'!$C$12+Y114*'Input &amp; Settings'!$C$13+Z114*'Input &amp; Settings'!$C$14,1))</f>
        <v/>
      </c>
      <c r="AB114" s="38" t="str">
        <f>IF(OR(AA114="",E114=""),"",IFERROR(IF(AA114&gt;=VLOOKUP(E114,'Input &amp; Settings'!$F$5:$K$10,3,FALSE),"Outstanding",IF(AA114&gt;=VLOOKUP(E114,'Input &amp; Settings'!$F$5:$K$10,4,FALSE),"Exceeds Expectations",IF(AA114&gt;=VLOOKUP(E114,'Input &amp; Settings'!$F$5:$K$10,5,FALSE),"Meets Expectations",IF(AA114&gt;=VLOOKUP(E114,'Input &amp; Settings'!$F$5:$K$10,6,FALSE),"Needs Improvement","Performance Improvement Required")))),""))</f>
        <v/>
      </c>
      <c r="AC114" s="38" t="str">
        <f t="shared" si="4"/>
        <v/>
      </c>
      <c r="AD114" s="39"/>
      <c r="AE114" s="40"/>
      <c r="AF114" s="41" t="str">
        <f t="shared" si="5"/>
        <v/>
      </c>
      <c r="AG114" s="42" t="str">
        <f t="shared" si="6"/>
        <v/>
      </c>
      <c r="AH114" s="42" t="str">
        <f t="shared" si="7"/>
        <v>Lucas Degomme|March</v>
      </c>
    </row>
    <row r="115" spans="1:34" hidden="1">
      <c r="A115" s="32">
        <v>2026</v>
      </c>
      <c r="B115" s="32" t="s">
        <v>82</v>
      </c>
      <c r="C115" s="32" t="s">
        <v>53</v>
      </c>
      <c r="D115" s="32" t="s">
        <v>66</v>
      </c>
      <c r="E115" s="33"/>
      <c r="F115" s="34" t="str">
        <f>IF(E115="","",IFERROR(VLOOKUP(E115,'Input &amp; Settings'!$F$5:$G$10,2,FALSE),""))</f>
        <v/>
      </c>
      <c r="G115" s="33"/>
      <c r="H115" s="33"/>
      <c r="I115" s="35"/>
      <c r="J115" s="33"/>
      <c r="K115" s="36"/>
      <c r="L115" s="35"/>
      <c r="M115" s="33"/>
      <c r="N115" s="33"/>
      <c r="O115" s="33"/>
      <c r="P115" s="33"/>
      <c r="Q115" s="37" t="str">
        <f>IF(G115="","",IFERROR(MIN(100,G115/'Input &amp; Settings'!$B$5*100),""))</f>
        <v/>
      </c>
      <c r="R115" s="37" t="str">
        <f>IF(H115="","",IFERROR(MIN(100,H115/'Input &amp; Settings'!$B$6*100),""))</f>
        <v/>
      </c>
      <c r="S115" s="37" t="str">
        <f>IF(I115="","",IFERROR(MIN(100,I115/'Input &amp; Settings'!$B$7*100),""))</f>
        <v/>
      </c>
      <c r="T115" s="37" t="str">
        <f>IF(J115="","",IFERROR(MIN(100,J115/'Input &amp; Settings'!$B$8*100),""))</f>
        <v/>
      </c>
      <c r="U115" s="37" t="str">
        <f>IF(K115="","",IFERROR(MIN(100,K115/'Input &amp; Settings'!$B$9*100),""))</f>
        <v/>
      </c>
      <c r="V115" s="37" t="str">
        <f>IF(L115="","",IFERROR(MIN(100,L115/'Input &amp; Settings'!$B$10*100),""))</f>
        <v/>
      </c>
      <c r="W115" s="37" t="str">
        <f>IF(M115="","",IFERROR(IF(M115&lt;='Input &amp; Settings'!$B$11,100,MAX(0,100-(M115-'Input &amp; Settings'!$B$11)*20)),""))</f>
        <v/>
      </c>
      <c r="X115" s="37" t="str">
        <f>IF(N115="","",IFERROR(MIN(100,N115/'Input &amp; Settings'!$B$12*100),""))</f>
        <v/>
      </c>
      <c r="Y115" s="37" t="str">
        <f>IF(O115="","",IFERROR(MIN(100,O115/'Input &amp; Settings'!$B$13*100),""))</f>
        <v/>
      </c>
      <c r="Z115" s="37" t="str">
        <f>IF(P115="","",IFERROR(IF(P115&lt;='Input &amp; Settings'!$B$14,100,MAX(0,100-(P115-'Input &amp; Settings'!$B$14)*20)),""))</f>
        <v/>
      </c>
      <c r="AA115" s="37" t="str">
        <f>IF(COUNTA(G115:P115)=0,"",ROUND(Q115*'Input &amp; Settings'!$C$5+R115*'Input &amp; Settings'!$C$6+S115*'Input &amp; Settings'!$C$7+T115*'Input &amp; Settings'!$C$8+U115*'Input &amp; Settings'!$C$9+V115*'Input &amp; Settings'!$C$10+W115*'Input &amp; Settings'!$C$11+X115*'Input &amp; Settings'!$C$12+Y115*'Input &amp; Settings'!$C$13+Z115*'Input &amp; Settings'!$C$14,1))</f>
        <v/>
      </c>
      <c r="AB115" s="38" t="str">
        <f>IF(OR(AA115="",E115=""),"",IFERROR(IF(AA115&gt;=VLOOKUP(E115,'Input &amp; Settings'!$F$5:$K$10,3,FALSE),"Outstanding",IF(AA115&gt;=VLOOKUP(E115,'Input &amp; Settings'!$F$5:$K$10,4,FALSE),"Exceeds Expectations",IF(AA115&gt;=VLOOKUP(E115,'Input &amp; Settings'!$F$5:$K$10,5,FALSE),"Meets Expectations",IF(AA115&gt;=VLOOKUP(E115,'Input &amp; Settings'!$F$5:$K$10,6,FALSE),"Needs Improvement","Performance Improvement Required")))),""))</f>
        <v/>
      </c>
      <c r="AC115" s="38" t="str">
        <f t="shared" si="4"/>
        <v/>
      </c>
      <c r="AD115" s="39"/>
      <c r="AE115" s="40"/>
      <c r="AF115" s="41" t="str">
        <f t="shared" si="5"/>
        <v/>
      </c>
      <c r="AG115" s="42" t="str">
        <f t="shared" si="6"/>
        <v/>
      </c>
      <c r="AH115" s="42" t="str">
        <f t="shared" si="7"/>
        <v>Alexander Chinea|March</v>
      </c>
    </row>
    <row r="116" spans="1:34" hidden="1">
      <c r="A116" s="32">
        <v>2026</v>
      </c>
      <c r="B116" s="32" t="s">
        <v>82</v>
      </c>
      <c r="C116" s="32" t="s">
        <v>53</v>
      </c>
      <c r="D116" s="32" t="s">
        <v>67</v>
      </c>
      <c r="E116" s="33"/>
      <c r="F116" s="34" t="str">
        <f>IF(E116="","",IFERROR(VLOOKUP(E116,'Input &amp; Settings'!$F$5:$G$10,2,FALSE),""))</f>
        <v/>
      </c>
      <c r="G116" s="33"/>
      <c r="H116" s="33"/>
      <c r="I116" s="35"/>
      <c r="J116" s="33"/>
      <c r="K116" s="36"/>
      <c r="L116" s="35"/>
      <c r="M116" s="33"/>
      <c r="N116" s="33"/>
      <c r="O116" s="33"/>
      <c r="P116" s="33"/>
      <c r="Q116" s="37" t="str">
        <f>IF(G116="","",IFERROR(MIN(100,G116/'Input &amp; Settings'!$B$5*100),""))</f>
        <v/>
      </c>
      <c r="R116" s="37" t="str">
        <f>IF(H116="","",IFERROR(MIN(100,H116/'Input &amp; Settings'!$B$6*100),""))</f>
        <v/>
      </c>
      <c r="S116" s="37" t="str">
        <f>IF(I116="","",IFERROR(MIN(100,I116/'Input &amp; Settings'!$B$7*100),""))</f>
        <v/>
      </c>
      <c r="T116" s="37" t="str">
        <f>IF(J116="","",IFERROR(MIN(100,J116/'Input &amp; Settings'!$B$8*100),""))</f>
        <v/>
      </c>
      <c r="U116" s="37" t="str">
        <f>IF(K116="","",IFERROR(MIN(100,K116/'Input &amp; Settings'!$B$9*100),""))</f>
        <v/>
      </c>
      <c r="V116" s="37" t="str">
        <f>IF(L116="","",IFERROR(MIN(100,L116/'Input &amp; Settings'!$B$10*100),""))</f>
        <v/>
      </c>
      <c r="W116" s="37" t="str">
        <f>IF(M116="","",IFERROR(IF(M116&lt;='Input &amp; Settings'!$B$11,100,MAX(0,100-(M116-'Input &amp; Settings'!$B$11)*20)),""))</f>
        <v/>
      </c>
      <c r="X116" s="37" t="str">
        <f>IF(N116="","",IFERROR(MIN(100,N116/'Input &amp; Settings'!$B$12*100),""))</f>
        <v/>
      </c>
      <c r="Y116" s="37" t="str">
        <f>IF(O116="","",IFERROR(MIN(100,O116/'Input &amp; Settings'!$B$13*100),""))</f>
        <v/>
      </c>
      <c r="Z116" s="37" t="str">
        <f>IF(P116="","",IFERROR(IF(P116&lt;='Input &amp; Settings'!$B$14,100,MAX(0,100-(P116-'Input &amp; Settings'!$B$14)*20)),""))</f>
        <v/>
      </c>
      <c r="AA116" s="37" t="str">
        <f>IF(COUNTA(G116:P116)=0,"",ROUND(Q116*'Input &amp; Settings'!$C$5+R116*'Input &amp; Settings'!$C$6+S116*'Input &amp; Settings'!$C$7+T116*'Input &amp; Settings'!$C$8+U116*'Input &amp; Settings'!$C$9+V116*'Input &amp; Settings'!$C$10+W116*'Input &amp; Settings'!$C$11+X116*'Input &amp; Settings'!$C$12+Y116*'Input &amp; Settings'!$C$13+Z116*'Input &amp; Settings'!$C$14,1))</f>
        <v/>
      </c>
      <c r="AB116" s="38" t="str">
        <f>IF(OR(AA116="",E116=""),"",IFERROR(IF(AA116&gt;=VLOOKUP(E116,'Input &amp; Settings'!$F$5:$K$10,3,FALSE),"Outstanding",IF(AA116&gt;=VLOOKUP(E116,'Input &amp; Settings'!$F$5:$K$10,4,FALSE),"Exceeds Expectations",IF(AA116&gt;=VLOOKUP(E116,'Input &amp; Settings'!$F$5:$K$10,5,FALSE),"Meets Expectations",IF(AA116&gt;=VLOOKUP(E116,'Input &amp; Settings'!$F$5:$K$10,6,FALSE),"Needs Improvement","Performance Improvement Required")))),""))</f>
        <v/>
      </c>
      <c r="AC116" s="38" t="str">
        <f t="shared" si="4"/>
        <v/>
      </c>
      <c r="AD116" s="39"/>
      <c r="AE116" s="40"/>
      <c r="AF116" s="41" t="str">
        <f t="shared" si="5"/>
        <v/>
      </c>
      <c r="AG116" s="42" t="str">
        <f t="shared" si="6"/>
        <v/>
      </c>
      <c r="AH116" s="42" t="str">
        <f t="shared" si="7"/>
        <v>Carlos Martinez Monzon|March</v>
      </c>
    </row>
    <row r="117" spans="1:34" hidden="1">
      <c r="A117" s="32">
        <v>2026</v>
      </c>
      <c r="B117" s="32" t="s">
        <v>82</v>
      </c>
      <c r="C117" s="32" t="s">
        <v>53</v>
      </c>
      <c r="D117" s="32" t="s">
        <v>68</v>
      </c>
      <c r="E117" s="33"/>
      <c r="F117" s="34" t="str">
        <f>IF(E117="","",IFERROR(VLOOKUP(E117,'Input &amp; Settings'!$F$5:$G$10,2,FALSE),""))</f>
        <v/>
      </c>
      <c r="G117" s="33"/>
      <c r="H117" s="33"/>
      <c r="I117" s="35"/>
      <c r="J117" s="33"/>
      <c r="K117" s="36"/>
      <c r="L117" s="35"/>
      <c r="M117" s="33"/>
      <c r="N117" s="33"/>
      <c r="O117" s="33"/>
      <c r="P117" s="33"/>
      <c r="Q117" s="37" t="str">
        <f>IF(G117="","",IFERROR(MIN(100,G117/'Input &amp; Settings'!$B$5*100),""))</f>
        <v/>
      </c>
      <c r="R117" s="37" t="str">
        <f>IF(H117="","",IFERROR(MIN(100,H117/'Input &amp; Settings'!$B$6*100),""))</f>
        <v/>
      </c>
      <c r="S117" s="37" t="str">
        <f>IF(I117="","",IFERROR(MIN(100,I117/'Input &amp; Settings'!$B$7*100),""))</f>
        <v/>
      </c>
      <c r="T117" s="37" t="str">
        <f>IF(J117="","",IFERROR(MIN(100,J117/'Input &amp; Settings'!$B$8*100),""))</f>
        <v/>
      </c>
      <c r="U117" s="37" t="str">
        <f>IF(K117="","",IFERROR(MIN(100,K117/'Input &amp; Settings'!$B$9*100),""))</f>
        <v/>
      </c>
      <c r="V117" s="37" t="str">
        <f>IF(L117="","",IFERROR(MIN(100,L117/'Input &amp; Settings'!$B$10*100),""))</f>
        <v/>
      </c>
      <c r="W117" s="37" t="str">
        <f>IF(M117="","",IFERROR(IF(M117&lt;='Input &amp; Settings'!$B$11,100,MAX(0,100-(M117-'Input &amp; Settings'!$B$11)*20)),""))</f>
        <v/>
      </c>
      <c r="X117" s="37" t="str">
        <f>IF(N117="","",IFERROR(MIN(100,N117/'Input &amp; Settings'!$B$12*100),""))</f>
        <v/>
      </c>
      <c r="Y117" s="37" t="str">
        <f>IF(O117="","",IFERROR(MIN(100,O117/'Input &amp; Settings'!$B$13*100),""))</f>
        <v/>
      </c>
      <c r="Z117" s="37" t="str">
        <f>IF(P117="","",IFERROR(IF(P117&lt;='Input &amp; Settings'!$B$14,100,MAX(0,100-(P117-'Input &amp; Settings'!$B$14)*20)),""))</f>
        <v/>
      </c>
      <c r="AA117" s="37" t="str">
        <f>IF(COUNTA(G117:P117)=0,"",ROUND(Q117*'Input &amp; Settings'!$C$5+R117*'Input &amp; Settings'!$C$6+S117*'Input &amp; Settings'!$C$7+T117*'Input &amp; Settings'!$C$8+U117*'Input &amp; Settings'!$C$9+V117*'Input &amp; Settings'!$C$10+W117*'Input &amp; Settings'!$C$11+X117*'Input &amp; Settings'!$C$12+Y117*'Input &amp; Settings'!$C$13+Z117*'Input &amp; Settings'!$C$14,1))</f>
        <v/>
      </c>
      <c r="AB117" s="38" t="str">
        <f>IF(OR(AA117="",E117=""),"",IFERROR(IF(AA117&gt;=VLOOKUP(E117,'Input &amp; Settings'!$F$5:$K$10,3,FALSE),"Outstanding",IF(AA117&gt;=VLOOKUP(E117,'Input &amp; Settings'!$F$5:$K$10,4,FALSE),"Exceeds Expectations",IF(AA117&gt;=VLOOKUP(E117,'Input &amp; Settings'!$F$5:$K$10,5,FALSE),"Meets Expectations",IF(AA117&gt;=VLOOKUP(E117,'Input &amp; Settings'!$F$5:$K$10,6,FALSE),"Needs Improvement","Performance Improvement Required")))),""))</f>
        <v/>
      </c>
      <c r="AC117" s="38" t="str">
        <f t="shared" si="4"/>
        <v/>
      </c>
      <c r="AD117" s="39"/>
      <c r="AE117" s="40"/>
      <c r="AF117" s="41" t="str">
        <f t="shared" si="5"/>
        <v/>
      </c>
      <c r="AG117" s="42" t="str">
        <f t="shared" si="6"/>
        <v/>
      </c>
      <c r="AH117" s="42" t="str">
        <f t="shared" si="7"/>
        <v>Carlos Sanabria|March</v>
      </c>
    </row>
    <row r="118" spans="1:34" hidden="1">
      <c r="A118" s="32">
        <v>2026</v>
      </c>
      <c r="B118" s="32" t="s">
        <v>82</v>
      </c>
      <c r="C118" s="32" t="s">
        <v>53</v>
      </c>
      <c r="D118" s="32" t="s">
        <v>69</v>
      </c>
      <c r="E118" s="33"/>
      <c r="F118" s="34" t="str">
        <f>IF(E118="","",IFERROR(VLOOKUP(E118,'Input &amp; Settings'!$F$5:$G$10,2,FALSE),""))</f>
        <v/>
      </c>
      <c r="G118" s="33"/>
      <c r="H118" s="33"/>
      <c r="I118" s="35"/>
      <c r="J118" s="33"/>
      <c r="K118" s="36"/>
      <c r="L118" s="35"/>
      <c r="M118" s="33"/>
      <c r="N118" s="33"/>
      <c r="O118" s="33"/>
      <c r="P118" s="33"/>
      <c r="Q118" s="37" t="str">
        <f>IF(G118="","",IFERROR(MIN(100,G118/'Input &amp; Settings'!$B$5*100),""))</f>
        <v/>
      </c>
      <c r="R118" s="37" t="str">
        <f>IF(H118="","",IFERROR(MIN(100,H118/'Input &amp; Settings'!$B$6*100),""))</f>
        <v/>
      </c>
      <c r="S118" s="37" t="str">
        <f>IF(I118="","",IFERROR(MIN(100,I118/'Input &amp; Settings'!$B$7*100),""))</f>
        <v/>
      </c>
      <c r="T118" s="37" t="str">
        <f>IF(J118="","",IFERROR(MIN(100,J118/'Input &amp; Settings'!$B$8*100),""))</f>
        <v/>
      </c>
      <c r="U118" s="37" t="str">
        <f>IF(K118="","",IFERROR(MIN(100,K118/'Input &amp; Settings'!$B$9*100),""))</f>
        <v/>
      </c>
      <c r="V118" s="37" t="str">
        <f>IF(L118="","",IFERROR(MIN(100,L118/'Input &amp; Settings'!$B$10*100),""))</f>
        <v/>
      </c>
      <c r="W118" s="37" t="str">
        <f>IF(M118="","",IFERROR(IF(M118&lt;='Input &amp; Settings'!$B$11,100,MAX(0,100-(M118-'Input &amp; Settings'!$B$11)*20)),""))</f>
        <v/>
      </c>
      <c r="X118" s="37" t="str">
        <f>IF(N118="","",IFERROR(MIN(100,N118/'Input &amp; Settings'!$B$12*100),""))</f>
        <v/>
      </c>
      <c r="Y118" s="37" t="str">
        <f>IF(O118="","",IFERROR(MIN(100,O118/'Input &amp; Settings'!$B$13*100),""))</f>
        <v/>
      </c>
      <c r="Z118" s="37" t="str">
        <f>IF(P118="","",IFERROR(IF(P118&lt;='Input &amp; Settings'!$B$14,100,MAX(0,100-(P118-'Input &amp; Settings'!$B$14)*20)),""))</f>
        <v/>
      </c>
      <c r="AA118" s="37" t="str">
        <f>IF(COUNTA(G118:P118)=0,"",ROUND(Q118*'Input &amp; Settings'!$C$5+R118*'Input &amp; Settings'!$C$6+S118*'Input &amp; Settings'!$C$7+T118*'Input &amp; Settings'!$C$8+U118*'Input &amp; Settings'!$C$9+V118*'Input &amp; Settings'!$C$10+W118*'Input &amp; Settings'!$C$11+X118*'Input &amp; Settings'!$C$12+Y118*'Input &amp; Settings'!$C$13+Z118*'Input &amp; Settings'!$C$14,1))</f>
        <v/>
      </c>
      <c r="AB118" s="38" t="str">
        <f>IF(OR(AA118="",E118=""),"",IFERROR(IF(AA118&gt;=VLOOKUP(E118,'Input &amp; Settings'!$F$5:$K$10,3,FALSE),"Outstanding",IF(AA118&gt;=VLOOKUP(E118,'Input &amp; Settings'!$F$5:$K$10,4,FALSE),"Exceeds Expectations",IF(AA118&gt;=VLOOKUP(E118,'Input &amp; Settings'!$F$5:$K$10,5,FALSE),"Meets Expectations",IF(AA118&gt;=VLOOKUP(E118,'Input &amp; Settings'!$F$5:$K$10,6,FALSE),"Needs Improvement","Performance Improvement Required")))),""))</f>
        <v/>
      </c>
      <c r="AC118" s="38" t="str">
        <f t="shared" si="4"/>
        <v/>
      </c>
      <c r="AD118" s="39"/>
      <c r="AE118" s="40"/>
      <c r="AF118" s="41" t="str">
        <f t="shared" si="5"/>
        <v/>
      </c>
      <c r="AG118" s="42" t="str">
        <f t="shared" si="6"/>
        <v/>
      </c>
      <c r="AH118" s="42" t="str">
        <f t="shared" si="7"/>
        <v>Alex Gomes|March</v>
      </c>
    </row>
    <row r="119" spans="1:34" hidden="1">
      <c r="A119" s="32">
        <v>2026</v>
      </c>
      <c r="B119" s="32" t="s">
        <v>82</v>
      </c>
      <c r="C119" s="32" t="s">
        <v>53</v>
      </c>
      <c r="D119" s="32" t="s">
        <v>70</v>
      </c>
      <c r="E119" s="33"/>
      <c r="F119" s="34" t="str">
        <f>IF(E119="","",IFERROR(VLOOKUP(E119,'Input &amp; Settings'!$F$5:$G$10,2,FALSE),""))</f>
        <v/>
      </c>
      <c r="G119" s="33"/>
      <c r="H119" s="33"/>
      <c r="I119" s="35"/>
      <c r="J119" s="33"/>
      <c r="K119" s="36"/>
      <c r="L119" s="35"/>
      <c r="M119" s="33"/>
      <c r="N119" s="33"/>
      <c r="O119" s="33"/>
      <c r="P119" s="33"/>
      <c r="Q119" s="37" t="str">
        <f>IF(G119="","",IFERROR(MIN(100,G119/'Input &amp; Settings'!$B$5*100),""))</f>
        <v/>
      </c>
      <c r="R119" s="37" t="str">
        <f>IF(H119="","",IFERROR(MIN(100,H119/'Input &amp; Settings'!$B$6*100),""))</f>
        <v/>
      </c>
      <c r="S119" s="37" t="str">
        <f>IF(I119="","",IFERROR(MIN(100,I119/'Input &amp; Settings'!$B$7*100),""))</f>
        <v/>
      </c>
      <c r="T119" s="37" t="str">
        <f>IF(J119="","",IFERROR(MIN(100,J119/'Input &amp; Settings'!$B$8*100),""))</f>
        <v/>
      </c>
      <c r="U119" s="37" t="str">
        <f>IF(K119="","",IFERROR(MIN(100,K119/'Input &amp; Settings'!$B$9*100),""))</f>
        <v/>
      </c>
      <c r="V119" s="37" t="str">
        <f>IF(L119="","",IFERROR(MIN(100,L119/'Input &amp; Settings'!$B$10*100),""))</f>
        <v/>
      </c>
      <c r="W119" s="37" t="str">
        <f>IF(M119="","",IFERROR(IF(M119&lt;='Input &amp; Settings'!$B$11,100,MAX(0,100-(M119-'Input &amp; Settings'!$B$11)*20)),""))</f>
        <v/>
      </c>
      <c r="X119" s="37" t="str">
        <f>IF(N119="","",IFERROR(MIN(100,N119/'Input &amp; Settings'!$B$12*100),""))</f>
        <v/>
      </c>
      <c r="Y119" s="37" t="str">
        <f>IF(O119="","",IFERROR(MIN(100,O119/'Input &amp; Settings'!$B$13*100),""))</f>
        <v/>
      </c>
      <c r="Z119" s="37" t="str">
        <f>IF(P119="","",IFERROR(IF(P119&lt;='Input &amp; Settings'!$B$14,100,MAX(0,100-(P119-'Input &amp; Settings'!$B$14)*20)),""))</f>
        <v/>
      </c>
      <c r="AA119" s="37" t="str">
        <f>IF(COUNTA(G119:P119)=0,"",ROUND(Q119*'Input &amp; Settings'!$C$5+R119*'Input &amp; Settings'!$C$6+S119*'Input &amp; Settings'!$C$7+T119*'Input &amp; Settings'!$C$8+U119*'Input &amp; Settings'!$C$9+V119*'Input &amp; Settings'!$C$10+W119*'Input &amp; Settings'!$C$11+X119*'Input &amp; Settings'!$C$12+Y119*'Input &amp; Settings'!$C$13+Z119*'Input &amp; Settings'!$C$14,1))</f>
        <v/>
      </c>
      <c r="AB119" s="38" t="str">
        <f>IF(OR(AA119="",E119=""),"",IFERROR(IF(AA119&gt;=VLOOKUP(E119,'Input &amp; Settings'!$F$5:$K$10,3,FALSE),"Outstanding",IF(AA119&gt;=VLOOKUP(E119,'Input &amp; Settings'!$F$5:$K$10,4,FALSE),"Exceeds Expectations",IF(AA119&gt;=VLOOKUP(E119,'Input &amp; Settings'!$F$5:$K$10,5,FALSE),"Meets Expectations",IF(AA119&gt;=VLOOKUP(E119,'Input &amp; Settings'!$F$5:$K$10,6,FALSE),"Needs Improvement","Performance Improvement Required")))),""))</f>
        <v/>
      </c>
      <c r="AC119" s="38" t="str">
        <f t="shared" si="4"/>
        <v/>
      </c>
      <c r="AD119" s="39"/>
      <c r="AE119" s="40"/>
      <c r="AF119" s="41" t="str">
        <f t="shared" si="5"/>
        <v/>
      </c>
      <c r="AG119" s="42" t="str">
        <f t="shared" si="6"/>
        <v/>
      </c>
      <c r="AH119" s="42" t="str">
        <f t="shared" si="7"/>
        <v>Teddy Joseph|March</v>
      </c>
    </row>
    <row r="120" spans="1:34" hidden="1">
      <c r="A120" s="32">
        <v>2026</v>
      </c>
      <c r="B120" s="32" t="s">
        <v>82</v>
      </c>
      <c r="C120" s="32" t="s">
        <v>53</v>
      </c>
      <c r="D120" s="32" t="s">
        <v>71</v>
      </c>
      <c r="E120" s="33"/>
      <c r="F120" s="34" t="str">
        <f>IF(E120="","",IFERROR(VLOOKUP(E120,'Input &amp; Settings'!$F$5:$G$10,2,FALSE),""))</f>
        <v/>
      </c>
      <c r="G120" s="33"/>
      <c r="H120" s="33"/>
      <c r="I120" s="35"/>
      <c r="J120" s="33"/>
      <c r="K120" s="36"/>
      <c r="L120" s="35"/>
      <c r="M120" s="33"/>
      <c r="N120" s="33"/>
      <c r="O120" s="33"/>
      <c r="P120" s="33"/>
      <c r="Q120" s="37" t="str">
        <f>IF(G120="","",IFERROR(MIN(100,G120/'Input &amp; Settings'!$B$5*100),""))</f>
        <v/>
      </c>
      <c r="R120" s="37" t="str">
        <f>IF(H120="","",IFERROR(MIN(100,H120/'Input &amp; Settings'!$B$6*100),""))</f>
        <v/>
      </c>
      <c r="S120" s="37" t="str">
        <f>IF(I120="","",IFERROR(MIN(100,I120/'Input &amp; Settings'!$B$7*100),""))</f>
        <v/>
      </c>
      <c r="T120" s="37" t="str">
        <f>IF(J120="","",IFERROR(MIN(100,J120/'Input &amp; Settings'!$B$8*100),""))</f>
        <v/>
      </c>
      <c r="U120" s="37" t="str">
        <f>IF(K120="","",IFERROR(MIN(100,K120/'Input &amp; Settings'!$B$9*100),""))</f>
        <v/>
      </c>
      <c r="V120" s="37" t="str">
        <f>IF(L120="","",IFERROR(MIN(100,L120/'Input &amp; Settings'!$B$10*100),""))</f>
        <v/>
      </c>
      <c r="W120" s="37" t="str">
        <f>IF(M120="","",IFERROR(IF(M120&lt;='Input &amp; Settings'!$B$11,100,MAX(0,100-(M120-'Input &amp; Settings'!$B$11)*20)),""))</f>
        <v/>
      </c>
      <c r="X120" s="37" t="str">
        <f>IF(N120="","",IFERROR(MIN(100,N120/'Input &amp; Settings'!$B$12*100),""))</f>
        <v/>
      </c>
      <c r="Y120" s="37" t="str">
        <f>IF(O120="","",IFERROR(MIN(100,O120/'Input &amp; Settings'!$B$13*100),""))</f>
        <v/>
      </c>
      <c r="Z120" s="37" t="str">
        <f>IF(P120="","",IFERROR(IF(P120&lt;='Input &amp; Settings'!$B$14,100,MAX(0,100-(P120-'Input &amp; Settings'!$B$14)*20)),""))</f>
        <v/>
      </c>
      <c r="AA120" s="37" t="str">
        <f>IF(COUNTA(G120:P120)=0,"",ROUND(Q120*'Input &amp; Settings'!$C$5+R120*'Input &amp; Settings'!$C$6+S120*'Input &amp; Settings'!$C$7+T120*'Input &amp; Settings'!$C$8+U120*'Input &amp; Settings'!$C$9+V120*'Input &amp; Settings'!$C$10+W120*'Input &amp; Settings'!$C$11+X120*'Input &amp; Settings'!$C$12+Y120*'Input &amp; Settings'!$C$13+Z120*'Input &amp; Settings'!$C$14,1))</f>
        <v/>
      </c>
      <c r="AB120" s="38" t="str">
        <f>IF(OR(AA120="",E120=""),"",IFERROR(IF(AA120&gt;=VLOOKUP(E120,'Input &amp; Settings'!$F$5:$K$10,3,FALSE),"Outstanding",IF(AA120&gt;=VLOOKUP(E120,'Input &amp; Settings'!$F$5:$K$10,4,FALSE),"Exceeds Expectations",IF(AA120&gt;=VLOOKUP(E120,'Input &amp; Settings'!$F$5:$K$10,5,FALSE),"Meets Expectations",IF(AA120&gt;=VLOOKUP(E120,'Input &amp; Settings'!$F$5:$K$10,6,FALSE),"Needs Improvement","Performance Improvement Required")))),""))</f>
        <v/>
      </c>
      <c r="AC120" s="38" t="str">
        <f t="shared" si="4"/>
        <v/>
      </c>
      <c r="AD120" s="39"/>
      <c r="AE120" s="40"/>
      <c r="AF120" s="41" t="str">
        <f t="shared" si="5"/>
        <v/>
      </c>
      <c r="AG120" s="42" t="str">
        <f t="shared" si="6"/>
        <v/>
      </c>
      <c r="AH120" s="42" t="str">
        <f t="shared" si="7"/>
        <v>Andrew Montgomery|March</v>
      </c>
    </row>
    <row r="121" spans="1:34" hidden="1">
      <c r="A121" s="32">
        <v>2026</v>
      </c>
      <c r="B121" s="32" t="s">
        <v>82</v>
      </c>
      <c r="C121" s="32" t="s">
        <v>53</v>
      </c>
      <c r="D121" s="32" t="s">
        <v>72</v>
      </c>
      <c r="E121" s="33"/>
      <c r="F121" s="34" t="str">
        <f>IF(E121="","",IFERROR(VLOOKUP(E121,'Input &amp; Settings'!$F$5:$G$10,2,FALSE),""))</f>
        <v/>
      </c>
      <c r="G121" s="33"/>
      <c r="H121" s="33"/>
      <c r="I121" s="35"/>
      <c r="J121" s="33"/>
      <c r="K121" s="36"/>
      <c r="L121" s="35"/>
      <c r="M121" s="33"/>
      <c r="N121" s="33"/>
      <c r="O121" s="33"/>
      <c r="P121" s="33"/>
      <c r="Q121" s="37" t="str">
        <f>IF(G121="","",IFERROR(MIN(100,G121/'Input &amp; Settings'!$B$5*100),""))</f>
        <v/>
      </c>
      <c r="R121" s="37" t="str">
        <f>IF(H121="","",IFERROR(MIN(100,H121/'Input &amp; Settings'!$B$6*100),""))</f>
        <v/>
      </c>
      <c r="S121" s="37" t="str">
        <f>IF(I121="","",IFERROR(MIN(100,I121/'Input &amp; Settings'!$B$7*100),""))</f>
        <v/>
      </c>
      <c r="T121" s="37" t="str">
        <f>IF(J121="","",IFERROR(MIN(100,J121/'Input &amp; Settings'!$B$8*100),""))</f>
        <v/>
      </c>
      <c r="U121" s="37" t="str">
        <f>IF(K121="","",IFERROR(MIN(100,K121/'Input &amp; Settings'!$B$9*100),""))</f>
        <v/>
      </c>
      <c r="V121" s="37" t="str">
        <f>IF(L121="","",IFERROR(MIN(100,L121/'Input &amp; Settings'!$B$10*100),""))</f>
        <v/>
      </c>
      <c r="W121" s="37" t="str">
        <f>IF(M121="","",IFERROR(IF(M121&lt;='Input &amp; Settings'!$B$11,100,MAX(0,100-(M121-'Input &amp; Settings'!$B$11)*20)),""))</f>
        <v/>
      </c>
      <c r="X121" s="37" t="str">
        <f>IF(N121="","",IFERROR(MIN(100,N121/'Input &amp; Settings'!$B$12*100),""))</f>
        <v/>
      </c>
      <c r="Y121" s="37" t="str">
        <f>IF(O121="","",IFERROR(MIN(100,O121/'Input &amp; Settings'!$B$13*100),""))</f>
        <v/>
      </c>
      <c r="Z121" s="37" t="str">
        <f>IF(P121="","",IFERROR(IF(P121&lt;='Input &amp; Settings'!$B$14,100,MAX(0,100-(P121-'Input &amp; Settings'!$B$14)*20)),""))</f>
        <v/>
      </c>
      <c r="AA121" s="37" t="str">
        <f>IF(COUNTA(G121:P121)=0,"",ROUND(Q121*'Input &amp; Settings'!$C$5+R121*'Input &amp; Settings'!$C$6+S121*'Input &amp; Settings'!$C$7+T121*'Input &amp; Settings'!$C$8+U121*'Input &amp; Settings'!$C$9+V121*'Input &amp; Settings'!$C$10+W121*'Input &amp; Settings'!$C$11+X121*'Input &amp; Settings'!$C$12+Y121*'Input &amp; Settings'!$C$13+Z121*'Input &amp; Settings'!$C$14,1))</f>
        <v/>
      </c>
      <c r="AB121" s="38" t="str">
        <f>IF(OR(AA121="",E121=""),"",IFERROR(IF(AA121&gt;=VLOOKUP(E121,'Input &amp; Settings'!$F$5:$K$10,3,FALSE),"Outstanding",IF(AA121&gt;=VLOOKUP(E121,'Input &amp; Settings'!$F$5:$K$10,4,FALSE),"Exceeds Expectations",IF(AA121&gt;=VLOOKUP(E121,'Input &amp; Settings'!$F$5:$K$10,5,FALSE),"Meets Expectations",IF(AA121&gt;=VLOOKUP(E121,'Input &amp; Settings'!$F$5:$K$10,6,FALSE),"Needs Improvement","Performance Improvement Required")))),""))</f>
        <v/>
      </c>
      <c r="AC121" s="38" t="str">
        <f t="shared" si="4"/>
        <v/>
      </c>
      <c r="AD121" s="39"/>
      <c r="AE121" s="40"/>
      <c r="AF121" s="41" t="str">
        <f t="shared" si="5"/>
        <v/>
      </c>
      <c r="AG121" s="42" t="str">
        <f t="shared" si="6"/>
        <v/>
      </c>
      <c r="AH121" s="42" t="str">
        <f t="shared" si="7"/>
        <v>Amanda Rodriguez|March</v>
      </c>
    </row>
    <row r="122" spans="1:34" hidden="1">
      <c r="A122" s="32">
        <v>2026</v>
      </c>
      <c r="B122" s="32" t="s">
        <v>82</v>
      </c>
      <c r="C122" s="32" t="s">
        <v>53</v>
      </c>
      <c r="D122" s="32" t="s">
        <v>73</v>
      </c>
      <c r="E122" s="33"/>
      <c r="F122" s="34" t="str">
        <f>IF(E122="","",IFERROR(VLOOKUP(E122,'Input &amp; Settings'!$F$5:$G$10,2,FALSE),""))</f>
        <v/>
      </c>
      <c r="G122" s="33"/>
      <c r="H122" s="33"/>
      <c r="I122" s="35"/>
      <c r="J122" s="33"/>
      <c r="K122" s="36"/>
      <c r="L122" s="35"/>
      <c r="M122" s="33"/>
      <c r="N122" s="33"/>
      <c r="O122" s="33"/>
      <c r="P122" s="33"/>
      <c r="Q122" s="37" t="str">
        <f>IF(G122="","",IFERROR(MIN(100,G122/'Input &amp; Settings'!$B$5*100),""))</f>
        <v/>
      </c>
      <c r="R122" s="37" t="str">
        <f>IF(H122="","",IFERROR(MIN(100,H122/'Input &amp; Settings'!$B$6*100),""))</f>
        <v/>
      </c>
      <c r="S122" s="37" t="str">
        <f>IF(I122="","",IFERROR(MIN(100,I122/'Input &amp; Settings'!$B$7*100),""))</f>
        <v/>
      </c>
      <c r="T122" s="37" t="str">
        <f>IF(J122="","",IFERROR(MIN(100,J122/'Input &amp; Settings'!$B$8*100),""))</f>
        <v/>
      </c>
      <c r="U122" s="37" t="str">
        <f>IF(K122="","",IFERROR(MIN(100,K122/'Input &amp; Settings'!$B$9*100),""))</f>
        <v/>
      </c>
      <c r="V122" s="37" t="str">
        <f>IF(L122="","",IFERROR(MIN(100,L122/'Input &amp; Settings'!$B$10*100),""))</f>
        <v/>
      </c>
      <c r="W122" s="37" t="str">
        <f>IF(M122="","",IFERROR(IF(M122&lt;='Input &amp; Settings'!$B$11,100,MAX(0,100-(M122-'Input &amp; Settings'!$B$11)*20)),""))</f>
        <v/>
      </c>
      <c r="X122" s="37" t="str">
        <f>IF(N122="","",IFERROR(MIN(100,N122/'Input &amp; Settings'!$B$12*100),""))</f>
        <v/>
      </c>
      <c r="Y122" s="37" t="str">
        <f>IF(O122="","",IFERROR(MIN(100,O122/'Input &amp; Settings'!$B$13*100),""))</f>
        <v/>
      </c>
      <c r="Z122" s="37" t="str">
        <f>IF(P122="","",IFERROR(IF(P122&lt;='Input &amp; Settings'!$B$14,100,MAX(0,100-(P122-'Input &amp; Settings'!$B$14)*20)),""))</f>
        <v/>
      </c>
      <c r="AA122" s="37" t="str">
        <f>IF(COUNTA(G122:P122)=0,"",ROUND(Q122*'Input &amp; Settings'!$C$5+R122*'Input &amp; Settings'!$C$6+S122*'Input &amp; Settings'!$C$7+T122*'Input &amp; Settings'!$C$8+U122*'Input &amp; Settings'!$C$9+V122*'Input &amp; Settings'!$C$10+W122*'Input &amp; Settings'!$C$11+X122*'Input &amp; Settings'!$C$12+Y122*'Input &amp; Settings'!$C$13+Z122*'Input &amp; Settings'!$C$14,1))</f>
        <v/>
      </c>
      <c r="AB122" s="38" t="str">
        <f>IF(OR(AA122="",E122=""),"",IFERROR(IF(AA122&gt;=VLOOKUP(E122,'Input &amp; Settings'!$F$5:$K$10,3,FALSE),"Outstanding",IF(AA122&gt;=VLOOKUP(E122,'Input &amp; Settings'!$F$5:$K$10,4,FALSE),"Exceeds Expectations",IF(AA122&gt;=VLOOKUP(E122,'Input &amp; Settings'!$F$5:$K$10,5,FALSE),"Meets Expectations",IF(AA122&gt;=VLOOKUP(E122,'Input &amp; Settings'!$F$5:$K$10,6,FALSE),"Needs Improvement","Performance Improvement Required")))),""))</f>
        <v/>
      </c>
      <c r="AC122" s="38" t="str">
        <f t="shared" si="4"/>
        <v/>
      </c>
      <c r="AD122" s="39"/>
      <c r="AE122" s="40"/>
      <c r="AF122" s="41" t="str">
        <f t="shared" si="5"/>
        <v/>
      </c>
      <c r="AG122" s="42" t="str">
        <f t="shared" si="6"/>
        <v/>
      </c>
      <c r="AH122" s="42" t="str">
        <f t="shared" si="7"/>
        <v>Erick Mojica|March</v>
      </c>
    </row>
    <row r="123" spans="1:34" hidden="1">
      <c r="A123" s="32">
        <v>2026</v>
      </c>
      <c r="B123" s="32" t="s">
        <v>82</v>
      </c>
      <c r="C123" s="32" t="s">
        <v>74</v>
      </c>
      <c r="D123" s="32" t="s">
        <v>75</v>
      </c>
      <c r="E123" s="33"/>
      <c r="F123" s="34" t="str">
        <f>IF(E123="","",IFERROR(VLOOKUP(E123,'Input &amp; Settings'!$F$5:$G$10,2,FALSE),""))</f>
        <v/>
      </c>
      <c r="G123" s="33"/>
      <c r="H123" s="33"/>
      <c r="I123" s="35"/>
      <c r="J123" s="33"/>
      <c r="K123" s="36"/>
      <c r="L123" s="35"/>
      <c r="M123" s="33"/>
      <c r="N123" s="33"/>
      <c r="O123" s="33"/>
      <c r="P123" s="33"/>
      <c r="Q123" s="37" t="str">
        <f>IF(G123="","",IFERROR(MIN(100,G123/'Input &amp; Settings'!$B$5*100),""))</f>
        <v/>
      </c>
      <c r="R123" s="37" t="str">
        <f>IF(H123="","",IFERROR(MIN(100,H123/'Input &amp; Settings'!$B$6*100),""))</f>
        <v/>
      </c>
      <c r="S123" s="37" t="str">
        <f>IF(I123="","",IFERROR(MIN(100,I123/'Input &amp; Settings'!$B$7*100),""))</f>
        <v/>
      </c>
      <c r="T123" s="37" t="str">
        <f>IF(J123="","",IFERROR(MIN(100,J123/'Input &amp; Settings'!$B$8*100),""))</f>
        <v/>
      </c>
      <c r="U123" s="37" t="str">
        <f>IF(K123="","",IFERROR(MIN(100,K123/'Input &amp; Settings'!$B$9*100),""))</f>
        <v/>
      </c>
      <c r="V123" s="37" t="str">
        <f>IF(L123="","",IFERROR(MIN(100,L123/'Input &amp; Settings'!$B$10*100),""))</f>
        <v/>
      </c>
      <c r="W123" s="37" t="str">
        <f>IF(M123="","",IFERROR(IF(M123&lt;='Input &amp; Settings'!$B$11,100,MAX(0,100-(M123-'Input &amp; Settings'!$B$11)*20)),""))</f>
        <v/>
      </c>
      <c r="X123" s="37" t="str">
        <f>IF(N123="","",IFERROR(MIN(100,N123/'Input &amp; Settings'!$B$12*100),""))</f>
        <v/>
      </c>
      <c r="Y123" s="37" t="str">
        <f>IF(O123="","",IFERROR(MIN(100,O123/'Input &amp; Settings'!$B$13*100),""))</f>
        <v/>
      </c>
      <c r="Z123" s="37" t="str">
        <f>IF(P123="","",IFERROR(IF(P123&lt;='Input &amp; Settings'!$B$14,100,MAX(0,100-(P123-'Input &amp; Settings'!$B$14)*20)),""))</f>
        <v/>
      </c>
      <c r="AA123" s="37" t="str">
        <f>IF(COUNTA(G123:P123)=0,"",ROUND(Q123*'Input &amp; Settings'!$C$5+R123*'Input &amp; Settings'!$C$6+S123*'Input &amp; Settings'!$C$7+T123*'Input &amp; Settings'!$C$8+U123*'Input &amp; Settings'!$C$9+V123*'Input &amp; Settings'!$C$10+W123*'Input &amp; Settings'!$C$11+X123*'Input &amp; Settings'!$C$12+Y123*'Input &amp; Settings'!$C$13+Z123*'Input &amp; Settings'!$C$14,1))</f>
        <v/>
      </c>
      <c r="AB123" s="38" t="str">
        <f>IF(OR(AA123="",E123=""),"",IFERROR(IF(AA123&gt;=VLOOKUP(E123,'Input &amp; Settings'!$F$5:$K$10,3,FALSE),"Outstanding",IF(AA123&gt;=VLOOKUP(E123,'Input &amp; Settings'!$F$5:$K$10,4,FALSE),"Exceeds Expectations",IF(AA123&gt;=VLOOKUP(E123,'Input &amp; Settings'!$F$5:$K$10,5,FALSE),"Meets Expectations",IF(AA123&gt;=VLOOKUP(E123,'Input &amp; Settings'!$F$5:$K$10,6,FALSE),"Needs Improvement","Performance Improvement Required")))),""))</f>
        <v/>
      </c>
      <c r="AC123" s="38" t="str">
        <f t="shared" si="4"/>
        <v/>
      </c>
      <c r="AD123" s="39"/>
      <c r="AE123" s="40"/>
      <c r="AF123" s="41" t="str">
        <f t="shared" si="5"/>
        <v/>
      </c>
      <c r="AG123" s="42" t="str">
        <f t="shared" si="6"/>
        <v/>
      </c>
      <c r="AH123" s="42" t="str">
        <f t="shared" si="7"/>
        <v>Raul Rama|March</v>
      </c>
    </row>
    <row r="124" spans="1:34" hidden="1">
      <c r="A124" s="32">
        <v>2026</v>
      </c>
      <c r="B124" s="32" t="s">
        <v>82</v>
      </c>
      <c r="C124" s="32" t="s">
        <v>74</v>
      </c>
      <c r="D124" s="32" t="s">
        <v>76</v>
      </c>
      <c r="E124" s="33"/>
      <c r="F124" s="34" t="str">
        <f>IF(E124="","",IFERROR(VLOOKUP(E124,'Input &amp; Settings'!$F$5:$G$10,2,FALSE),""))</f>
        <v/>
      </c>
      <c r="G124" s="33"/>
      <c r="H124" s="33"/>
      <c r="I124" s="35"/>
      <c r="J124" s="33"/>
      <c r="K124" s="36"/>
      <c r="L124" s="35"/>
      <c r="M124" s="33"/>
      <c r="N124" s="33"/>
      <c r="O124" s="33"/>
      <c r="P124" s="33"/>
      <c r="Q124" s="37" t="str">
        <f>IF(G124="","",IFERROR(MIN(100,G124/'Input &amp; Settings'!$B$5*100),""))</f>
        <v/>
      </c>
      <c r="R124" s="37" t="str">
        <f>IF(H124="","",IFERROR(MIN(100,H124/'Input &amp; Settings'!$B$6*100),""))</f>
        <v/>
      </c>
      <c r="S124" s="37" t="str">
        <f>IF(I124="","",IFERROR(MIN(100,I124/'Input &amp; Settings'!$B$7*100),""))</f>
        <v/>
      </c>
      <c r="T124" s="37" t="str">
        <f>IF(J124="","",IFERROR(MIN(100,J124/'Input &amp; Settings'!$B$8*100),""))</f>
        <v/>
      </c>
      <c r="U124" s="37" t="str">
        <f>IF(K124="","",IFERROR(MIN(100,K124/'Input &amp; Settings'!$B$9*100),""))</f>
        <v/>
      </c>
      <c r="V124" s="37" t="str">
        <f>IF(L124="","",IFERROR(MIN(100,L124/'Input &amp; Settings'!$B$10*100),""))</f>
        <v/>
      </c>
      <c r="W124" s="37" t="str">
        <f>IF(M124="","",IFERROR(IF(M124&lt;='Input &amp; Settings'!$B$11,100,MAX(0,100-(M124-'Input &amp; Settings'!$B$11)*20)),""))</f>
        <v/>
      </c>
      <c r="X124" s="37" t="str">
        <f>IF(N124="","",IFERROR(MIN(100,N124/'Input &amp; Settings'!$B$12*100),""))</f>
        <v/>
      </c>
      <c r="Y124" s="37" t="str">
        <f>IF(O124="","",IFERROR(MIN(100,O124/'Input &amp; Settings'!$B$13*100),""))</f>
        <v/>
      </c>
      <c r="Z124" s="37" t="str">
        <f>IF(P124="","",IFERROR(IF(P124&lt;='Input &amp; Settings'!$B$14,100,MAX(0,100-(P124-'Input &amp; Settings'!$B$14)*20)),""))</f>
        <v/>
      </c>
      <c r="AA124" s="37" t="str">
        <f>IF(COUNTA(G124:P124)=0,"",ROUND(Q124*'Input &amp; Settings'!$C$5+R124*'Input &amp; Settings'!$C$6+S124*'Input &amp; Settings'!$C$7+T124*'Input &amp; Settings'!$C$8+U124*'Input &amp; Settings'!$C$9+V124*'Input &amp; Settings'!$C$10+W124*'Input &amp; Settings'!$C$11+X124*'Input &amp; Settings'!$C$12+Y124*'Input &amp; Settings'!$C$13+Z124*'Input &amp; Settings'!$C$14,1))</f>
        <v/>
      </c>
      <c r="AB124" s="38" t="str">
        <f>IF(OR(AA124="",E124=""),"",IFERROR(IF(AA124&gt;=VLOOKUP(E124,'Input &amp; Settings'!$F$5:$K$10,3,FALSE),"Outstanding",IF(AA124&gt;=VLOOKUP(E124,'Input &amp; Settings'!$F$5:$K$10,4,FALSE),"Exceeds Expectations",IF(AA124&gt;=VLOOKUP(E124,'Input &amp; Settings'!$F$5:$K$10,5,FALSE),"Meets Expectations",IF(AA124&gt;=VLOOKUP(E124,'Input &amp; Settings'!$F$5:$K$10,6,FALSE),"Needs Improvement","Performance Improvement Required")))),""))</f>
        <v/>
      </c>
      <c r="AC124" s="38" t="str">
        <f t="shared" si="4"/>
        <v/>
      </c>
      <c r="AD124" s="39"/>
      <c r="AE124" s="40"/>
      <c r="AF124" s="41" t="str">
        <f t="shared" si="5"/>
        <v/>
      </c>
      <c r="AG124" s="42" t="str">
        <f t="shared" si="6"/>
        <v/>
      </c>
      <c r="AH124" s="42" t="str">
        <f t="shared" si="7"/>
        <v>Kaevon Tyler|March</v>
      </c>
    </row>
    <row r="125" spans="1:34" hidden="1">
      <c r="A125" s="32">
        <v>2026</v>
      </c>
      <c r="B125" s="32" t="s">
        <v>82</v>
      </c>
      <c r="C125" s="32" t="s">
        <v>74</v>
      </c>
      <c r="D125" s="32" t="s">
        <v>77</v>
      </c>
      <c r="E125" s="33"/>
      <c r="F125" s="34" t="str">
        <f>IF(E125="","",IFERROR(VLOOKUP(E125,'Input &amp; Settings'!$F$5:$G$10,2,FALSE),""))</f>
        <v/>
      </c>
      <c r="G125" s="33"/>
      <c r="H125" s="33"/>
      <c r="I125" s="35"/>
      <c r="J125" s="33"/>
      <c r="K125" s="36"/>
      <c r="L125" s="35"/>
      <c r="M125" s="33"/>
      <c r="N125" s="33"/>
      <c r="O125" s="33"/>
      <c r="P125" s="33"/>
      <c r="Q125" s="37" t="str">
        <f>IF(G125="","",IFERROR(MIN(100,G125/'Input &amp; Settings'!$B$5*100),""))</f>
        <v/>
      </c>
      <c r="R125" s="37" t="str">
        <f>IF(H125="","",IFERROR(MIN(100,H125/'Input &amp; Settings'!$B$6*100),""))</f>
        <v/>
      </c>
      <c r="S125" s="37" t="str">
        <f>IF(I125="","",IFERROR(MIN(100,I125/'Input &amp; Settings'!$B$7*100),""))</f>
        <v/>
      </c>
      <c r="T125" s="37" t="str">
        <f>IF(J125="","",IFERROR(MIN(100,J125/'Input &amp; Settings'!$B$8*100),""))</f>
        <v/>
      </c>
      <c r="U125" s="37" t="str">
        <f>IF(K125="","",IFERROR(MIN(100,K125/'Input &amp; Settings'!$B$9*100),""))</f>
        <v/>
      </c>
      <c r="V125" s="37" t="str">
        <f>IF(L125="","",IFERROR(MIN(100,L125/'Input &amp; Settings'!$B$10*100),""))</f>
        <v/>
      </c>
      <c r="W125" s="37" t="str">
        <f>IF(M125="","",IFERROR(IF(M125&lt;='Input &amp; Settings'!$B$11,100,MAX(0,100-(M125-'Input &amp; Settings'!$B$11)*20)),""))</f>
        <v/>
      </c>
      <c r="X125" s="37" t="str">
        <f>IF(N125="","",IFERROR(MIN(100,N125/'Input &amp; Settings'!$B$12*100),""))</f>
        <v/>
      </c>
      <c r="Y125" s="37" t="str">
        <f>IF(O125="","",IFERROR(MIN(100,O125/'Input &amp; Settings'!$B$13*100),""))</f>
        <v/>
      </c>
      <c r="Z125" s="37" t="str">
        <f>IF(P125="","",IFERROR(IF(P125&lt;='Input &amp; Settings'!$B$14,100,MAX(0,100-(P125-'Input &amp; Settings'!$B$14)*20)),""))</f>
        <v/>
      </c>
      <c r="AA125" s="37" t="str">
        <f>IF(COUNTA(G125:P125)=0,"",ROUND(Q125*'Input &amp; Settings'!$C$5+R125*'Input &amp; Settings'!$C$6+S125*'Input &amp; Settings'!$C$7+T125*'Input &amp; Settings'!$C$8+U125*'Input &amp; Settings'!$C$9+V125*'Input &amp; Settings'!$C$10+W125*'Input &amp; Settings'!$C$11+X125*'Input &amp; Settings'!$C$12+Y125*'Input &amp; Settings'!$C$13+Z125*'Input &amp; Settings'!$C$14,1))</f>
        <v/>
      </c>
      <c r="AB125" s="38" t="str">
        <f>IF(OR(AA125="",E125=""),"",IFERROR(IF(AA125&gt;=VLOOKUP(E125,'Input &amp; Settings'!$F$5:$K$10,3,FALSE),"Outstanding",IF(AA125&gt;=VLOOKUP(E125,'Input &amp; Settings'!$F$5:$K$10,4,FALSE),"Exceeds Expectations",IF(AA125&gt;=VLOOKUP(E125,'Input &amp; Settings'!$F$5:$K$10,5,FALSE),"Meets Expectations",IF(AA125&gt;=VLOOKUP(E125,'Input &amp; Settings'!$F$5:$K$10,6,FALSE),"Needs Improvement","Performance Improvement Required")))),""))</f>
        <v/>
      </c>
      <c r="AC125" s="38" t="str">
        <f t="shared" si="4"/>
        <v/>
      </c>
      <c r="AD125" s="39"/>
      <c r="AE125" s="40"/>
      <c r="AF125" s="41" t="str">
        <f t="shared" si="5"/>
        <v/>
      </c>
      <c r="AG125" s="42" t="str">
        <f t="shared" si="6"/>
        <v/>
      </c>
      <c r="AH125" s="42" t="str">
        <f t="shared" si="7"/>
        <v>Christopher Dorta|March</v>
      </c>
    </row>
    <row r="126" spans="1:34" hidden="1">
      <c r="A126" s="32">
        <v>2026</v>
      </c>
      <c r="B126" s="32" t="s">
        <v>82</v>
      </c>
      <c r="C126" s="32" t="s">
        <v>74</v>
      </c>
      <c r="D126" s="32" t="s">
        <v>78</v>
      </c>
      <c r="E126" s="33"/>
      <c r="F126" s="34" t="str">
        <f>IF(E126="","",IFERROR(VLOOKUP(E126,'Input &amp; Settings'!$F$5:$G$10,2,FALSE),""))</f>
        <v/>
      </c>
      <c r="G126" s="33"/>
      <c r="H126" s="33"/>
      <c r="I126" s="35"/>
      <c r="J126" s="33"/>
      <c r="K126" s="36"/>
      <c r="L126" s="35"/>
      <c r="M126" s="33"/>
      <c r="N126" s="33"/>
      <c r="O126" s="33"/>
      <c r="P126" s="33"/>
      <c r="Q126" s="37" t="str">
        <f>IF(G126="","",IFERROR(MIN(100,G126/'Input &amp; Settings'!$B$5*100),""))</f>
        <v/>
      </c>
      <c r="R126" s="37" t="str">
        <f>IF(H126="","",IFERROR(MIN(100,H126/'Input &amp; Settings'!$B$6*100),""))</f>
        <v/>
      </c>
      <c r="S126" s="37" t="str">
        <f>IF(I126="","",IFERROR(MIN(100,I126/'Input &amp; Settings'!$B$7*100),""))</f>
        <v/>
      </c>
      <c r="T126" s="37" t="str">
        <f>IF(J126="","",IFERROR(MIN(100,J126/'Input &amp; Settings'!$B$8*100),""))</f>
        <v/>
      </c>
      <c r="U126" s="37" t="str">
        <f>IF(K126="","",IFERROR(MIN(100,K126/'Input &amp; Settings'!$B$9*100),""))</f>
        <v/>
      </c>
      <c r="V126" s="37" t="str">
        <f>IF(L126="","",IFERROR(MIN(100,L126/'Input &amp; Settings'!$B$10*100),""))</f>
        <v/>
      </c>
      <c r="W126" s="37" t="str">
        <f>IF(M126="","",IFERROR(IF(M126&lt;='Input &amp; Settings'!$B$11,100,MAX(0,100-(M126-'Input &amp; Settings'!$B$11)*20)),""))</f>
        <v/>
      </c>
      <c r="X126" s="37" t="str">
        <f>IF(N126="","",IFERROR(MIN(100,N126/'Input &amp; Settings'!$B$12*100),""))</f>
        <v/>
      </c>
      <c r="Y126" s="37" t="str">
        <f>IF(O126="","",IFERROR(MIN(100,O126/'Input &amp; Settings'!$B$13*100),""))</f>
        <v/>
      </c>
      <c r="Z126" s="37" t="str">
        <f>IF(P126="","",IFERROR(IF(P126&lt;='Input &amp; Settings'!$B$14,100,MAX(0,100-(P126-'Input &amp; Settings'!$B$14)*20)),""))</f>
        <v/>
      </c>
      <c r="AA126" s="37" t="str">
        <f>IF(COUNTA(G126:P126)=0,"",ROUND(Q126*'Input &amp; Settings'!$C$5+R126*'Input &amp; Settings'!$C$6+S126*'Input &amp; Settings'!$C$7+T126*'Input &amp; Settings'!$C$8+U126*'Input &amp; Settings'!$C$9+V126*'Input &amp; Settings'!$C$10+W126*'Input &amp; Settings'!$C$11+X126*'Input &amp; Settings'!$C$12+Y126*'Input &amp; Settings'!$C$13+Z126*'Input &amp; Settings'!$C$14,1))</f>
        <v/>
      </c>
      <c r="AB126" s="38" t="str">
        <f>IF(OR(AA126="",E126=""),"",IFERROR(IF(AA126&gt;=VLOOKUP(E126,'Input &amp; Settings'!$F$5:$K$10,3,FALSE),"Outstanding",IF(AA126&gt;=VLOOKUP(E126,'Input &amp; Settings'!$F$5:$K$10,4,FALSE),"Exceeds Expectations",IF(AA126&gt;=VLOOKUP(E126,'Input &amp; Settings'!$F$5:$K$10,5,FALSE),"Meets Expectations",IF(AA126&gt;=VLOOKUP(E126,'Input &amp; Settings'!$F$5:$K$10,6,FALSE),"Needs Improvement","Performance Improvement Required")))),""))</f>
        <v/>
      </c>
      <c r="AC126" s="38" t="str">
        <f t="shared" si="4"/>
        <v/>
      </c>
      <c r="AD126" s="39"/>
      <c r="AE126" s="40"/>
      <c r="AF126" s="41" t="str">
        <f t="shared" si="5"/>
        <v/>
      </c>
      <c r="AG126" s="42" t="str">
        <f t="shared" si="6"/>
        <v/>
      </c>
      <c r="AH126" s="42" t="str">
        <f t="shared" si="7"/>
        <v>Andres Galvis|March</v>
      </c>
    </row>
    <row r="127" spans="1:34" hidden="1">
      <c r="A127" s="32">
        <v>2026</v>
      </c>
      <c r="B127" s="32" t="s">
        <v>82</v>
      </c>
      <c r="C127" s="32" t="s">
        <v>74</v>
      </c>
      <c r="D127" s="32" t="s">
        <v>79</v>
      </c>
      <c r="E127" s="33"/>
      <c r="F127" s="34" t="str">
        <f>IF(E127="","",IFERROR(VLOOKUP(E127,'Input &amp; Settings'!$F$5:$G$10,2,FALSE),""))</f>
        <v/>
      </c>
      <c r="G127" s="33"/>
      <c r="H127" s="33"/>
      <c r="I127" s="35"/>
      <c r="J127" s="33"/>
      <c r="K127" s="36"/>
      <c r="L127" s="35"/>
      <c r="M127" s="33"/>
      <c r="N127" s="33"/>
      <c r="O127" s="33"/>
      <c r="P127" s="33"/>
      <c r="Q127" s="37" t="str">
        <f>IF(G127="","",IFERROR(MIN(100,G127/'Input &amp; Settings'!$B$5*100),""))</f>
        <v/>
      </c>
      <c r="R127" s="37" t="str">
        <f>IF(H127="","",IFERROR(MIN(100,H127/'Input &amp; Settings'!$B$6*100),""))</f>
        <v/>
      </c>
      <c r="S127" s="37" t="str">
        <f>IF(I127="","",IFERROR(MIN(100,I127/'Input &amp; Settings'!$B$7*100),""))</f>
        <v/>
      </c>
      <c r="T127" s="37" t="str">
        <f>IF(J127="","",IFERROR(MIN(100,J127/'Input &amp; Settings'!$B$8*100),""))</f>
        <v/>
      </c>
      <c r="U127" s="37" t="str">
        <f>IF(K127="","",IFERROR(MIN(100,K127/'Input &amp; Settings'!$B$9*100),""))</f>
        <v/>
      </c>
      <c r="V127" s="37" t="str">
        <f>IF(L127="","",IFERROR(MIN(100,L127/'Input &amp; Settings'!$B$10*100),""))</f>
        <v/>
      </c>
      <c r="W127" s="37" t="str">
        <f>IF(M127="","",IFERROR(IF(M127&lt;='Input &amp; Settings'!$B$11,100,MAX(0,100-(M127-'Input &amp; Settings'!$B$11)*20)),""))</f>
        <v/>
      </c>
      <c r="X127" s="37" t="str">
        <f>IF(N127="","",IFERROR(MIN(100,N127/'Input &amp; Settings'!$B$12*100),""))</f>
        <v/>
      </c>
      <c r="Y127" s="37" t="str">
        <f>IF(O127="","",IFERROR(MIN(100,O127/'Input &amp; Settings'!$B$13*100),""))</f>
        <v/>
      </c>
      <c r="Z127" s="37" t="str">
        <f>IF(P127="","",IFERROR(IF(P127&lt;='Input &amp; Settings'!$B$14,100,MAX(0,100-(P127-'Input &amp; Settings'!$B$14)*20)),""))</f>
        <v/>
      </c>
      <c r="AA127" s="37" t="str">
        <f>IF(COUNTA(G127:P127)=0,"",ROUND(Q127*'Input &amp; Settings'!$C$5+R127*'Input &amp; Settings'!$C$6+S127*'Input &amp; Settings'!$C$7+T127*'Input &amp; Settings'!$C$8+U127*'Input &amp; Settings'!$C$9+V127*'Input &amp; Settings'!$C$10+W127*'Input &amp; Settings'!$C$11+X127*'Input &amp; Settings'!$C$12+Y127*'Input &amp; Settings'!$C$13+Z127*'Input &amp; Settings'!$C$14,1))</f>
        <v/>
      </c>
      <c r="AB127" s="38" t="str">
        <f>IF(OR(AA127="",E127=""),"",IFERROR(IF(AA127&gt;=VLOOKUP(E127,'Input &amp; Settings'!$F$5:$K$10,3,FALSE),"Outstanding",IF(AA127&gt;=VLOOKUP(E127,'Input &amp; Settings'!$F$5:$K$10,4,FALSE),"Exceeds Expectations",IF(AA127&gt;=VLOOKUP(E127,'Input &amp; Settings'!$F$5:$K$10,5,FALSE),"Meets Expectations",IF(AA127&gt;=VLOOKUP(E127,'Input &amp; Settings'!$F$5:$K$10,6,FALSE),"Needs Improvement","Performance Improvement Required")))),""))</f>
        <v/>
      </c>
      <c r="AC127" s="38" t="str">
        <f t="shared" si="4"/>
        <v/>
      </c>
      <c r="AD127" s="39"/>
      <c r="AE127" s="40"/>
      <c r="AF127" s="41" t="str">
        <f t="shared" si="5"/>
        <v/>
      </c>
      <c r="AG127" s="42" t="str">
        <f t="shared" si="6"/>
        <v/>
      </c>
      <c r="AH127" s="42" t="str">
        <f t="shared" si="7"/>
        <v>Roberto Eckardt|March</v>
      </c>
    </row>
    <row r="128" spans="1:34" hidden="1">
      <c r="A128" s="32">
        <v>2026</v>
      </c>
      <c r="B128" s="32" t="s">
        <v>82</v>
      </c>
      <c r="C128" s="32" t="s">
        <v>74</v>
      </c>
      <c r="D128" s="32" t="s">
        <v>80</v>
      </c>
      <c r="E128" s="33"/>
      <c r="F128" s="34" t="str">
        <f>IF(E128="","",IFERROR(VLOOKUP(E128,'Input &amp; Settings'!$F$5:$G$10,2,FALSE),""))</f>
        <v/>
      </c>
      <c r="G128" s="33"/>
      <c r="H128" s="33"/>
      <c r="I128" s="35"/>
      <c r="J128" s="33"/>
      <c r="K128" s="36"/>
      <c r="L128" s="35"/>
      <c r="M128" s="33"/>
      <c r="N128" s="33"/>
      <c r="O128" s="33"/>
      <c r="P128" s="33"/>
      <c r="Q128" s="37" t="str">
        <f>IF(G128="","",IFERROR(MIN(100,G128/'Input &amp; Settings'!$B$5*100),""))</f>
        <v/>
      </c>
      <c r="R128" s="37" t="str">
        <f>IF(H128="","",IFERROR(MIN(100,H128/'Input &amp; Settings'!$B$6*100),""))</f>
        <v/>
      </c>
      <c r="S128" s="37" t="str">
        <f>IF(I128="","",IFERROR(MIN(100,I128/'Input &amp; Settings'!$B$7*100),""))</f>
        <v/>
      </c>
      <c r="T128" s="37" t="str">
        <f>IF(J128="","",IFERROR(MIN(100,J128/'Input &amp; Settings'!$B$8*100),""))</f>
        <v/>
      </c>
      <c r="U128" s="37" t="str">
        <f>IF(K128="","",IFERROR(MIN(100,K128/'Input &amp; Settings'!$B$9*100),""))</f>
        <v/>
      </c>
      <c r="V128" s="37" t="str">
        <f>IF(L128="","",IFERROR(MIN(100,L128/'Input &amp; Settings'!$B$10*100),""))</f>
        <v/>
      </c>
      <c r="W128" s="37" t="str">
        <f>IF(M128="","",IFERROR(IF(M128&lt;='Input &amp; Settings'!$B$11,100,MAX(0,100-(M128-'Input &amp; Settings'!$B$11)*20)),""))</f>
        <v/>
      </c>
      <c r="X128" s="37" t="str">
        <f>IF(N128="","",IFERROR(MIN(100,N128/'Input &amp; Settings'!$B$12*100),""))</f>
        <v/>
      </c>
      <c r="Y128" s="37" t="str">
        <f>IF(O128="","",IFERROR(MIN(100,O128/'Input &amp; Settings'!$B$13*100),""))</f>
        <v/>
      </c>
      <c r="Z128" s="37" t="str">
        <f>IF(P128="","",IFERROR(IF(P128&lt;='Input &amp; Settings'!$B$14,100,MAX(0,100-(P128-'Input &amp; Settings'!$B$14)*20)),""))</f>
        <v/>
      </c>
      <c r="AA128" s="37" t="str">
        <f>IF(COUNTA(G128:P128)=0,"",ROUND(Q128*'Input &amp; Settings'!$C$5+R128*'Input &amp; Settings'!$C$6+S128*'Input &amp; Settings'!$C$7+T128*'Input &amp; Settings'!$C$8+U128*'Input &amp; Settings'!$C$9+V128*'Input &amp; Settings'!$C$10+W128*'Input &amp; Settings'!$C$11+X128*'Input &amp; Settings'!$C$12+Y128*'Input &amp; Settings'!$C$13+Z128*'Input &amp; Settings'!$C$14,1))</f>
        <v/>
      </c>
      <c r="AB128" s="38" t="str">
        <f>IF(OR(AA128="",E128=""),"",IFERROR(IF(AA128&gt;=VLOOKUP(E128,'Input &amp; Settings'!$F$5:$K$10,3,FALSE),"Outstanding",IF(AA128&gt;=VLOOKUP(E128,'Input &amp; Settings'!$F$5:$K$10,4,FALSE),"Exceeds Expectations",IF(AA128&gt;=VLOOKUP(E128,'Input &amp; Settings'!$F$5:$K$10,5,FALSE),"Meets Expectations",IF(AA128&gt;=VLOOKUP(E128,'Input &amp; Settings'!$F$5:$K$10,6,FALSE),"Needs Improvement","Performance Improvement Required")))),""))</f>
        <v/>
      </c>
      <c r="AC128" s="38" t="str">
        <f t="shared" si="4"/>
        <v/>
      </c>
      <c r="AD128" s="39"/>
      <c r="AE128" s="40"/>
      <c r="AF128" s="41" t="str">
        <f t="shared" si="5"/>
        <v/>
      </c>
      <c r="AG128" s="42" t="str">
        <f t="shared" si="6"/>
        <v/>
      </c>
      <c r="AH128" s="42" t="str">
        <f t="shared" si="7"/>
        <v>Angel Perez Martinez|March</v>
      </c>
    </row>
    <row r="129" spans="1:34" hidden="1">
      <c r="A129" s="32">
        <v>2026</v>
      </c>
      <c r="B129" s="32" t="s">
        <v>83</v>
      </c>
      <c r="C129" s="32" t="s">
        <v>36</v>
      </c>
      <c r="D129" s="32" t="s">
        <v>37</v>
      </c>
      <c r="E129" s="33"/>
      <c r="F129" s="34" t="str">
        <f>IF(E129="","",IFERROR(VLOOKUP(E129,'Input &amp; Settings'!$F$5:$G$10,2,FALSE),""))</f>
        <v/>
      </c>
      <c r="G129" s="33"/>
      <c r="H129" s="33"/>
      <c r="I129" s="35"/>
      <c r="J129" s="33"/>
      <c r="K129" s="36"/>
      <c r="L129" s="35"/>
      <c r="M129" s="33"/>
      <c r="N129" s="33"/>
      <c r="O129" s="33"/>
      <c r="P129" s="33"/>
      <c r="Q129" s="37" t="str">
        <f>IF(G129="","",IFERROR(MIN(100,G129/'Input &amp; Settings'!$B$5*100),""))</f>
        <v/>
      </c>
      <c r="R129" s="37" t="str">
        <f>IF(H129="","",IFERROR(MIN(100,H129/'Input &amp; Settings'!$B$6*100),""))</f>
        <v/>
      </c>
      <c r="S129" s="37" t="str">
        <f>IF(I129="","",IFERROR(MIN(100,I129/'Input &amp; Settings'!$B$7*100),""))</f>
        <v/>
      </c>
      <c r="T129" s="37" t="str">
        <f>IF(J129="","",IFERROR(MIN(100,J129/'Input &amp; Settings'!$B$8*100),""))</f>
        <v/>
      </c>
      <c r="U129" s="37" t="str">
        <f>IF(K129="","",IFERROR(MIN(100,K129/'Input &amp; Settings'!$B$9*100),""))</f>
        <v/>
      </c>
      <c r="V129" s="37" t="str">
        <f>IF(L129="","",IFERROR(MIN(100,L129/'Input &amp; Settings'!$B$10*100),""))</f>
        <v/>
      </c>
      <c r="W129" s="37" t="str">
        <f>IF(M129="","",IFERROR(IF(M129&lt;='Input &amp; Settings'!$B$11,100,MAX(0,100-(M129-'Input &amp; Settings'!$B$11)*20)),""))</f>
        <v/>
      </c>
      <c r="X129" s="37" t="str">
        <f>IF(N129="","",IFERROR(MIN(100,N129/'Input &amp; Settings'!$B$12*100),""))</f>
        <v/>
      </c>
      <c r="Y129" s="37" t="str">
        <f>IF(O129="","",IFERROR(MIN(100,O129/'Input &amp; Settings'!$B$13*100),""))</f>
        <v/>
      </c>
      <c r="Z129" s="37" t="str">
        <f>IF(P129="","",IFERROR(IF(P129&lt;='Input &amp; Settings'!$B$14,100,MAX(0,100-(P129-'Input &amp; Settings'!$B$14)*20)),""))</f>
        <v/>
      </c>
      <c r="AA129" s="37" t="str">
        <f>IF(COUNTA(G129:P129)=0,"",ROUND(Q129*'Input &amp; Settings'!$C$5+R129*'Input &amp; Settings'!$C$6+S129*'Input &amp; Settings'!$C$7+T129*'Input &amp; Settings'!$C$8+U129*'Input &amp; Settings'!$C$9+V129*'Input &amp; Settings'!$C$10+W129*'Input &amp; Settings'!$C$11+X129*'Input &amp; Settings'!$C$12+Y129*'Input &amp; Settings'!$C$13+Z129*'Input &amp; Settings'!$C$14,1))</f>
        <v/>
      </c>
      <c r="AB129" s="38" t="str">
        <f>IF(OR(AA129="",E129=""),"",IFERROR(IF(AA129&gt;=VLOOKUP(E129,'Input &amp; Settings'!$F$5:$K$10,3,FALSE),"Outstanding",IF(AA129&gt;=VLOOKUP(E129,'Input &amp; Settings'!$F$5:$K$10,4,FALSE),"Exceeds Expectations",IF(AA129&gt;=VLOOKUP(E129,'Input &amp; Settings'!$F$5:$K$10,5,FALSE),"Meets Expectations",IF(AA129&gt;=VLOOKUP(E129,'Input &amp; Settings'!$F$5:$K$10,6,FALSE),"Needs Improvement","Performance Improvement Required")))),""))</f>
        <v/>
      </c>
      <c r="AC129" s="38" t="str">
        <f t="shared" si="4"/>
        <v/>
      </c>
      <c r="AD129" s="39"/>
      <c r="AE129" s="40"/>
      <c r="AF129" s="41" t="str">
        <f t="shared" si="5"/>
        <v/>
      </c>
      <c r="AG129" s="42" t="str">
        <f t="shared" si="6"/>
        <v/>
      </c>
      <c r="AH129" s="42" t="str">
        <f t="shared" si="7"/>
        <v>Carly Huber|April</v>
      </c>
    </row>
    <row r="130" spans="1:34" hidden="1">
      <c r="A130" s="32">
        <v>2026</v>
      </c>
      <c r="B130" s="32" t="s">
        <v>83</v>
      </c>
      <c r="C130" s="32" t="s">
        <v>36</v>
      </c>
      <c r="D130" s="32" t="s">
        <v>38</v>
      </c>
      <c r="E130" s="33"/>
      <c r="F130" s="34" t="str">
        <f>IF(E130="","",IFERROR(VLOOKUP(E130,'Input &amp; Settings'!$F$5:$G$10,2,FALSE),""))</f>
        <v/>
      </c>
      <c r="G130" s="33"/>
      <c r="H130" s="33"/>
      <c r="I130" s="35"/>
      <c r="J130" s="33"/>
      <c r="K130" s="36"/>
      <c r="L130" s="35"/>
      <c r="M130" s="33"/>
      <c r="N130" s="33"/>
      <c r="O130" s="33"/>
      <c r="P130" s="33"/>
      <c r="Q130" s="37" t="str">
        <f>IF(G130="","",IFERROR(MIN(100,G130/'Input &amp; Settings'!$B$5*100),""))</f>
        <v/>
      </c>
      <c r="R130" s="37" t="str">
        <f>IF(H130="","",IFERROR(MIN(100,H130/'Input &amp; Settings'!$B$6*100),""))</f>
        <v/>
      </c>
      <c r="S130" s="37" t="str">
        <f>IF(I130="","",IFERROR(MIN(100,I130/'Input &amp; Settings'!$B$7*100),""))</f>
        <v/>
      </c>
      <c r="T130" s="37" t="str">
        <f>IF(J130="","",IFERROR(MIN(100,J130/'Input &amp; Settings'!$B$8*100),""))</f>
        <v/>
      </c>
      <c r="U130" s="37" t="str">
        <f>IF(K130="","",IFERROR(MIN(100,K130/'Input &amp; Settings'!$B$9*100),""))</f>
        <v/>
      </c>
      <c r="V130" s="37" t="str">
        <f>IF(L130="","",IFERROR(MIN(100,L130/'Input &amp; Settings'!$B$10*100),""))</f>
        <v/>
      </c>
      <c r="W130" s="37" t="str">
        <f>IF(M130="","",IFERROR(IF(M130&lt;='Input &amp; Settings'!$B$11,100,MAX(0,100-(M130-'Input &amp; Settings'!$B$11)*20)),""))</f>
        <v/>
      </c>
      <c r="X130" s="37" t="str">
        <f>IF(N130="","",IFERROR(MIN(100,N130/'Input &amp; Settings'!$B$12*100),""))</f>
        <v/>
      </c>
      <c r="Y130" s="37" t="str">
        <f>IF(O130="","",IFERROR(MIN(100,O130/'Input &amp; Settings'!$B$13*100),""))</f>
        <v/>
      </c>
      <c r="Z130" s="37" t="str">
        <f>IF(P130="","",IFERROR(IF(P130&lt;='Input &amp; Settings'!$B$14,100,MAX(0,100-(P130-'Input &amp; Settings'!$B$14)*20)),""))</f>
        <v/>
      </c>
      <c r="AA130" s="37" t="str">
        <f>IF(COUNTA(G130:P130)=0,"",ROUND(Q130*'Input &amp; Settings'!$C$5+R130*'Input &amp; Settings'!$C$6+S130*'Input &amp; Settings'!$C$7+T130*'Input &amp; Settings'!$C$8+U130*'Input &amp; Settings'!$C$9+V130*'Input &amp; Settings'!$C$10+W130*'Input &amp; Settings'!$C$11+X130*'Input &amp; Settings'!$C$12+Y130*'Input &amp; Settings'!$C$13+Z130*'Input &amp; Settings'!$C$14,1))</f>
        <v/>
      </c>
      <c r="AB130" s="38" t="str">
        <f>IF(OR(AA130="",E130=""),"",IFERROR(IF(AA130&gt;=VLOOKUP(E130,'Input &amp; Settings'!$F$5:$K$10,3,FALSE),"Outstanding",IF(AA130&gt;=VLOOKUP(E130,'Input &amp; Settings'!$F$5:$K$10,4,FALSE),"Exceeds Expectations",IF(AA130&gt;=VLOOKUP(E130,'Input &amp; Settings'!$F$5:$K$10,5,FALSE),"Meets Expectations",IF(AA130&gt;=VLOOKUP(E130,'Input &amp; Settings'!$F$5:$K$10,6,FALSE),"Needs Improvement","Performance Improvement Required")))),""))</f>
        <v/>
      </c>
      <c r="AC130" s="38" t="str">
        <f t="shared" si="4"/>
        <v/>
      </c>
      <c r="AD130" s="39"/>
      <c r="AE130" s="40"/>
      <c r="AF130" s="41" t="str">
        <f t="shared" si="5"/>
        <v/>
      </c>
      <c r="AG130" s="42" t="str">
        <f t="shared" si="6"/>
        <v/>
      </c>
      <c r="AH130" s="42" t="str">
        <f t="shared" si="7"/>
        <v>Julian Grier|April</v>
      </c>
    </row>
    <row r="131" spans="1:34" hidden="1">
      <c r="A131" s="32">
        <v>2026</v>
      </c>
      <c r="B131" s="32" t="s">
        <v>83</v>
      </c>
      <c r="C131" s="32" t="s">
        <v>36</v>
      </c>
      <c r="D131" s="32" t="s">
        <v>39</v>
      </c>
      <c r="E131" s="33"/>
      <c r="F131" s="34" t="str">
        <f>IF(E131="","",IFERROR(VLOOKUP(E131,'Input &amp; Settings'!$F$5:$G$10,2,FALSE),""))</f>
        <v/>
      </c>
      <c r="G131" s="33"/>
      <c r="H131" s="33"/>
      <c r="I131" s="35"/>
      <c r="J131" s="33"/>
      <c r="K131" s="36"/>
      <c r="L131" s="35"/>
      <c r="M131" s="33"/>
      <c r="N131" s="33"/>
      <c r="O131" s="33"/>
      <c r="P131" s="33"/>
      <c r="Q131" s="37" t="str">
        <f>IF(G131="","",IFERROR(MIN(100,G131/'Input &amp; Settings'!$B$5*100),""))</f>
        <v/>
      </c>
      <c r="R131" s="37" t="str">
        <f>IF(H131="","",IFERROR(MIN(100,H131/'Input &amp; Settings'!$B$6*100),""))</f>
        <v/>
      </c>
      <c r="S131" s="37" t="str">
        <f>IF(I131="","",IFERROR(MIN(100,I131/'Input &amp; Settings'!$B$7*100),""))</f>
        <v/>
      </c>
      <c r="T131" s="37" t="str">
        <f>IF(J131="","",IFERROR(MIN(100,J131/'Input &amp; Settings'!$B$8*100),""))</f>
        <v/>
      </c>
      <c r="U131" s="37" t="str">
        <f>IF(K131="","",IFERROR(MIN(100,K131/'Input &amp; Settings'!$B$9*100),""))</f>
        <v/>
      </c>
      <c r="V131" s="37" t="str">
        <f>IF(L131="","",IFERROR(MIN(100,L131/'Input &amp; Settings'!$B$10*100),""))</f>
        <v/>
      </c>
      <c r="W131" s="37" t="str">
        <f>IF(M131="","",IFERROR(IF(M131&lt;='Input &amp; Settings'!$B$11,100,MAX(0,100-(M131-'Input &amp; Settings'!$B$11)*20)),""))</f>
        <v/>
      </c>
      <c r="X131" s="37" t="str">
        <f>IF(N131="","",IFERROR(MIN(100,N131/'Input &amp; Settings'!$B$12*100),""))</f>
        <v/>
      </c>
      <c r="Y131" s="37" t="str">
        <f>IF(O131="","",IFERROR(MIN(100,O131/'Input &amp; Settings'!$B$13*100),""))</f>
        <v/>
      </c>
      <c r="Z131" s="37" t="str">
        <f>IF(P131="","",IFERROR(IF(P131&lt;='Input &amp; Settings'!$B$14,100,MAX(0,100-(P131-'Input &amp; Settings'!$B$14)*20)),""))</f>
        <v/>
      </c>
      <c r="AA131" s="37" t="str">
        <f>IF(COUNTA(G131:P131)=0,"",ROUND(Q131*'Input &amp; Settings'!$C$5+R131*'Input &amp; Settings'!$C$6+S131*'Input &amp; Settings'!$C$7+T131*'Input &amp; Settings'!$C$8+U131*'Input &amp; Settings'!$C$9+V131*'Input &amp; Settings'!$C$10+W131*'Input &amp; Settings'!$C$11+X131*'Input &amp; Settings'!$C$12+Y131*'Input &amp; Settings'!$C$13+Z131*'Input &amp; Settings'!$C$14,1))</f>
        <v/>
      </c>
      <c r="AB131" s="38" t="str">
        <f>IF(OR(AA131="",E131=""),"",IFERROR(IF(AA131&gt;=VLOOKUP(E131,'Input &amp; Settings'!$F$5:$K$10,3,FALSE),"Outstanding",IF(AA131&gt;=VLOOKUP(E131,'Input &amp; Settings'!$F$5:$K$10,4,FALSE),"Exceeds Expectations",IF(AA131&gt;=VLOOKUP(E131,'Input &amp; Settings'!$F$5:$K$10,5,FALSE),"Meets Expectations",IF(AA131&gt;=VLOOKUP(E131,'Input &amp; Settings'!$F$5:$K$10,6,FALSE),"Needs Improvement","Performance Improvement Required")))),""))</f>
        <v/>
      </c>
      <c r="AC131" s="38" t="str">
        <f t="shared" ref="AC131:AC194" si="8">IF(COUNTA(G131:P131)+COUNTA(AD131:AE131)&gt;0,"Entered","")</f>
        <v/>
      </c>
      <c r="AD131" s="39"/>
      <c r="AE131" s="40"/>
      <c r="AF131" s="41" t="str">
        <f t="shared" ref="AF131:AF194" si="9">IF(AD131&lt;&gt;"",AD131,AA131)</f>
        <v/>
      </c>
      <c r="AG131" s="42" t="str">
        <f t="shared" ref="AG131:AG194" si="10">IF(AE131&lt;&gt;"",AE131,AB131)</f>
        <v/>
      </c>
      <c r="AH131" s="42" t="str">
        <f t="shared" ref="AH131:AH194" si="11">D131&amp;"|"&amp;B131</f>
        <v>Jorge Lopez|April</v>
      </c>
    </row>
    <row r="132" spans="1:34" hidden="1">
      <c r="A132" s="32">
        <v>2026</v>
      </c>
      <c r="B132" s="32" t="s">
        <v>83</v>
      </c>
      <c r="C132" s="32" t="s">
        <v>36</v>
      </c>
      <c r="D132" s="32" t="s">
        <v>40</v>
      </c>
      <c r="E132" s="33"/>
      <c r="F132" s="34" t="str">
        <f>IF(E132="","",IFERROR(VLOOKUP(E132,'Input &amp; Settings'!$F$5:$G$10,2,FALSE),""))</f>
        <v/>
      </c>
      <c r="G132" s="33"/>
      <c r="H132" s="33"/>
      <c r="I132" s="35"/>
      <c r="J132" s="33"/>
      <c r="K132" s="36"/>
      <c r="L132" s="35"/>
      <c r="M132" s="33"/>
      <c r="N132" s="33"/>
      <c r="O132" s="33"/>
      <c r="P132" s="33"/>
      <c r="Q132" s="37" t="str">
        <f>IF(G132="","",IFERROR(MIN(100,G132/'Input &amp; Settings'!$B$5*100),""))</f>
        <v/>
      </c>
      <c r="R132" s="37" t="str">
        <f>IF(H132="","",IFERROR(MIN(100,H132/'Input &amp; Settings'!$B$6*100),""))</f>
        <v/>
      </c>
      <c r="S132" s="37" t="str">
        <f>IF(I132="","",IFERROR(MIN(100,I132/'Input &amp; Settings'!$B$7*100),""))</f>
        <v/>
      </c>
      <c r="T132" s="37" t="str">
        <f>IF(J132="","",IFERROR(MIN(100,J132/'Input &amp; Settings'!$B$8*100),""))</f>
        <v/>
      </c>
      <c r="U132" s="37" t="str">
        <f>IF(K132="","",IFERROR(MIN(100,K132/'Input &amp; Settings'!$B$9*100),""))</f>
        <v/>
      </c>
      <c r="V132" s="37" t="str">
        <f>IF(L132="","",IFERROR(MIN(100,L132/'Input &amp; Settings'!$B$10*100),""))</f>
        <v/>
      </c>
      <c r="W132" s="37" t="str">
        <f>IF(M132="","",IFERROR(IF(M132&lt;='Input &amp; Settings'!$B$11,100,MAX(0,100-(M132-'Input &amp; Settings'!$B$11)*20)),""))</f>
        <v/>
      </c>
      <c r="X132" s="37" t="str">
        <f>IF(N132="","",IFERROR(MIN(100,N132/'Input &amp; Settings'!$B$12*100),""))</f>
        <v/>
      </c>
      <c r="Y132" s="37" t="str">
        <f>IF(O132="","",IFERROR(MIN(100,O132/'Input &amp; Settings'!$B$13*100),""))</f>
        <v/>
      </c>
      <c r="Z132" s="37" t="str">
        <f>IF(P132="","",IFERROR(IF(P132&lt;='Input &amp; Settings'!$B$14,100,MAX(0,100-(P132-'Input &amp; Settings'!$B$14)*20)),""))</f>
        <v/>
      </c>
      <c r="AA132" s="37" t="str">
        <f>IF(COUNTA(G132:P132)=0,"",ROUND(Q132*'Input &amp; Settings'!$C$5+R132*'Input &amp; Settings'!$C$6+S132*'Input &amp; Settings'!$C$7+T132*'Input &amp; Settings'!$C$8+U132*'Input &amp; Settings'!$C$9+V132*'Input &amp; Settings'!$C$10+W132*'Input &amp; Settings'!$C$11+X132*'Input &amp; Settings'!$C$12+Y132*'Input &amp; Settings'!$C$13+Z132*'Input &amp; Settings'!$C$14,1))</f>
        <v/>
      </c>
      <c r="AB132" s="38" t="str">
        <f>IF(OR(AA132="",E132=""),"",IFERROR(IF(AA132&gt;=VLOOKUP(E132,'Input &amp; Settings'!$F$5:$K$10,3,FALSE),"Outstanding",IF(AA132&gt;=VLOOKUP(E132,'Input &amp; Settings'!$F$5:$K$10,4,FALSE),"Exceeds Expectations",IF(AA132&gt;=VLOOKUP(E132,'Input &amp; Settings'!$F$5:$K$10,5,FALSE),"Meets Expectations",IF(AA132&gt;=VLOOKUP(E132,'Input &amp; Settings'!$F$5:$K$10,6,FALSE),"Needs Improvement","Performance Improvement Required")))),""))</f>
        <v/>
      </c>
      <c r="AC132" s="38" t="str">
        <f t="shared" si="8"/>
        <v/>
      </c>
      <c r="AD132" s="39"/>
      <c r="AE132" s="40"/>
      <c r="AF132" s="41" t="str">
        <f t="shared" si="9"/>
        <v/>
      </c>
      <c r="AG132" s="42" t="str">
        <f t="shared" si="10"/>
        <v/>
      </c>
      <c r="AH132" s="42" t="str">
        <f t="shared" si="11"/>
        <v>Juan Pablo Pique Buil (JP)|April</v>
      </c>
    </row>
    <row r="133" spans="1:34" hidden="1">
      <c r="A133" s="32">
        <v>2026</v>
      </c>
      <c r="B133" s="32" t="s">
        <v>83</v>
      </c>
      <c r="C133" s="32" t="s">
        <v>36</v>
      </c>
      <c r="D133" s="32" t="s">
        <v>41</v>
      </c>
      <c r="E133" s="33"/>
      <c r="F133" s="34" t="str">
        <f>IF(E133="","",IFERROR(VLOOKUP(E133,'Input &amp; Settings'!$F$5:$G$10,2,FALSE),""))</f>
        <v/>
      </c>
      <c r="G133" s="33"/>
      <c r="H133" s="33"/>
      <c r="I133" s="35"/>
      <c r="J133" s="33"/>
      <c r="K133" s="36"/>
      <c r="L133" s="35"/>
      <c r="M133" s="33"/>
      <c r="N133" s="33"/>
      <c r="O133" s="33"/>
      <c r="P133" s="33"/>
      <c r="Q133" s="37" t="str">
        <f>IF(G133="","",IFERROR(MIN(100,G133/'Input &amp; Settings'!$B$5*100),""))</f>
        <v/>
      </c>
      <c r="R133" s="37" t="str">
        <f>IF(H133="","",IFERROR(MIN(100,H133/'Input &amp; Settings'!$B$6*100),""))</f>
        <v/>
      </c>
      <c r="S133" s="37" t="str">
        <f>IF(I133="","",IFERROR(MIN(100,I133/'Input &amp; Settings'!$B$7*100),""))</f>
        <v/>
      </c>
      <c r="T133" s="37" t="str">
        <f>IF(J133="","",IFERROR(MIN(100,J133/'Input &amp; Settings'!$B$8*100),""))</f>
        <v/>
      </c>
      <c r="U133" s="37" t="str">
        <f>IF(K133="","",IFERROR(MIN(100,K133/'Input &amp; Settings'!$B$9*100),""))</f>
        <v/>
      </c>
      <c r="V133" s="37" t="str">
        <f>IF(L133="","",IFERROR(MIN(100,L133/'Input &amp; Settings'!$B$10*100),""))</f>
        <v/>
      </c>
      <c r="W133" s="37" t="str">
        <f>IF(M133="","",IFERROR(IF(M133&lt;='Input &amp; Settings'!$B$11,100,MAX(0,100-(M133-'Input &amp; Settings'!$B$11)*20)),""))</f>
        <v/>
      </c>
      <c r="X133" s="37" t="str">
        <f>IF(N133="","",IFERROR(MIN(100,N133/'Input &amp; Settings'!$B$12*100),""))</f>
        <v/>
      </c>
      <c r="Y133" s="37" t="str">
        <f>IF(O133="","",IFERROR(MIN(100,O133/'Input &amp; Settings'!$B$13*100),""))</f>
        <v/>
      </c>
      <c r="Z133" s="37" t="str">
        <f>IF(P133="","",IFERROR(IF(P133&lt;='Input &amp; Settings'!$B$14,100,MAX(0,100-(P133-'Input &amp; Settings'!$B$14)*20)),""))</f>
        <v/>
      </c>
      <c r="AA133" s="37" t="str">
        <f>IF(COUNTA(G133:P133)=0,"",ROUND(Q133*'Input &amp; Settings'!$C$5+R133*'Input &amp; Settings'!$C$6+S133*'Input &amp; Settings'!$C$7+T133*'Input &amp; Settings'!$C$8+U133*'Input &amp; Settings'!$C$9+V133*'Input &amp; Settings'!$C$10+W133*'Input &amp; Settings'!$C$11+X133*'Input &amp; Settings'!$C$12+Y133*'Input &amp; Settings'!$C$13+Z133*'Input &amp; Settings'!$C$14,1))</f>
        <v/>
      </c>
      <c r="AB133" s="38" t="str">
        <f>IF(OR(AA133="",E133=""),"",IFERROR(IF(AA133&gt;=VLOOKUP(E133,'Input &amp; Settings'!$F$5:$K$10,3,FALSE),"Outstanding",IF(AA133&gt;=VLOOKUP(E133,'Input &amp; Settings'!$F$5:$K$10,4,FALSE),"Exceeds Expectations",IF(AA133&gt;=VLOOKUP(E133,'Input &amp; Settings'!$F$5:$K$10,5,FALSE),"Meets Expectations",IF(AA133&gt;=VLOOKUP(E133,'Input &amp; Settings'!$F$5:$K$10,6,FALSE),"Needs Improvement","Performance Improvement Required")))),""))</f>
        <v/>
      </c>
      <c r="AC133" s="38" t="str">
        <f t="shared" si="8"/>
        <v/>
      </c>
      <c r="AD133" s="39"/>
      <c r="AE133" s="40"/>
      <c r="AF133" s="41" t="str">
        <f t="shared" si="9"/>
        <v/>
      </c>
      <c r="AG133" s="42" t="str">
        <f t="shared" si="10"/>
        <v/>
      </c>
      <c r="AH133" s="42" t="str">
        <f t="shared" si="11"/>
        <v>Peter Gonzalez|April</v>
      </c>
    </row>
    <row r="134" spans="1:34" hidden="1">
      <c r="A134" s="32">
        <v>2026</v>
      </c>
      <c r="B134" s="32" t="s">
        <v>83</v>
      </c>
      <c r="C134" s="32" t="s">
        <v>36</v>
      </c>
      <c r="D134" s="32" t="s">
        <v>42</v>
      </c>
      <c r="E134" s="33"/>
      <c r="F134" s="34" t="str">
        <f>IF(E134="","",IFERROR(VLOOKUP(E134,'Input &amp; Settings'!$F$5:$G$10,2,FALSE),""))</f>
        <v/>
      </c>
      <c r="G134" s="33"/>
      <c r="H134" s="33"/>
      <c r="I134" s="35"/>
      <c r="J134" s="33"/>
      <c r="K134" s="36"/>
      <c r="L134" s="35"/>
      <c r="M134" s="33"/>
      <c r="N134" s="33"/>
      <c r="O134" s="33"/>
      <c r="P134" s="33"/>
      <c r="Q134" s="37" t="str">
        <f>IF(G134="","",IFERROR(MIN(100,G134/'Input &amp; Settings'!$B$5*100),""))</f>
        <v/>
      </c>
      <c r="R134" s="37" t="str">
        <f>IF(H134="","",IFERROR(MIN(100,H134/'Input &amp; Settings'!$B$6*100),""))</f>
        <v/>
      </c>
      <c r="S134" s="37" t="str">
        <f>IF(I134="","",IFERROR(MIN(100,I134/'Input &amp; Settings'!$B$7*100),""))</f>
        <v/>
      </c>
      <c r="T134" s="37" t="str">
        <f>IF(J134="","",IFERROR(MIN(100,J134/'Input &amp; Settings'!$B$8*100),""))</f>
        <v/>
      </c>
      <c r="U134" s="37" t="str">
        <f>IF(K134="","",IFERROR(MIN(100,K134/'Input &amp; Settings'!$B$9*100),""))</f>
        <v/>
      </c>
      <c r="V134" s="37" t="str">
        <f>IF(L134="","",IFERROR(MIN(100,L134/'Input &amp; Settings'!$B$10*100),""))</f>
        <v/>
      </c>
      <c r="W134" s="37" t="str">
        <f>IF(M134="","",IFERROR(IF(M134&lt;='Input &amp; Settings'!$B$11,100,MAX(0,100-(M134-'Input &amp; Settings'!$B$11)*20)),""))</f>
        <v/>
      </c>
      <c r="X134" s="37" t="str">
        <f>IF(N134="","",IFERROR(MIN(100,N134/'Input &amp; Settings'!$B$12*100),""))</f>
        <v/>
      </c>
      <c r="Y134" s="37" t="str">
        <f>IF(O134="","",IFERROR(MIN(100,O134/'Input &amp; Settings'!$B$13*100),""))</f>
        <v/>
      </c>
      <c r="Z134" s="37" t="str">
        <f>IF(P134="","",IFERROR(IF(P134&lt;='Input &amp; Settings'!$B$14,100,MAX(0,100-(P134-'Input &amp; Settings'!$B$14)*20)),""))</f>
        <v/>
      </c>
      <c r="AA134" s="37" t="str">
        <f>IF(COUNTA(G134:P134)=0,"",ROUND(Q134*'Input &amp; Settings'!$C$5+R134*'Input &amp; Settings'!$C$6+S134*'Input &amp; Settings'!$C$7+T134*'Input &amp; Settings'!$C$8+U134*'Input &amp; Settings'!$C$9+V134*'Input &amp; Settings'!$C$10+W134*'Input &amp; Settings'!$C$11+X134*'Input &amp; Settings'!$C$12+Y134*'Input &amp; Settings'!$C$13+Z134*'Input &amp; Settings'!$C$14,1))</f>
        <v/>
      </c>
      <c r="AB134" s="38" t="str">
        <f>IF(OR(AA134="",E134=""),"",IFERROR(IF(AA134&gt;=VLOOKUP(E134,'Input &amp; Settings'!$F$5:$K$10,3,FALSE),"Outstanding",IF(AA134&gt;=VLOOKUP(E134,'Input &amp; Settings'!$F$5:$K$10,4,FALSE),"Exceeds Expectations",IF(AA134&gt;=VLOOKUP(E134,'Input &amp; Settings'!$F$5:$K$10,5,FALSE),"Meets Expectations",IF(AA134&gt;=VLOOKUP(E134,'Input &amp; Settings'!$F$5:$K$10,6,FALSE),"Needs Improvement","Performance Improvement Required")))),""))</f>
        <v/>
      </c>
      <c r="AC134" s="38" t="str">
        <f t="shared" si="8"/>
        <v/>
      </c>
      <c r="AD134" s="39"/>
      <c r="AE134" s="40"/>
      <c r="AF134" s="41" t="str">
        <f t="shared" si="9"/>
        <v/>
      </c>
      <c r="AG134" s="42" t="str">
        <f t="shared" si="10"/>
        <v/>
      </c>
      <c r="AH134" s="42" t="str">
        <f t="shared" si="11"/>
        <v>Dennis Hartling|April</v>
      </c>
    </row>
    <row r="135" spans="1:34" hidden="1">
      <c r="A135" s="32">
        <v>2026</v>
      </c>
      <c r="B135" s="32" t="s">
        <v>83</v>
      </c>
      <c r="C135" s="32" t="s">
        <v>36</v>
      </c>
      <c r="D135" s="32" t="s">
        <v>43</v>
      </c>
      <c r="E135" s="33"/>
      <c r="F135" s="34" t="str">
        <f>IF(E135="","",IFERROR(VLOOKUP(E135,'Input &amp; Settings'!$F$5:$G$10,2,FALSE),""))</f>
        <v/>
      </c>
      <c r="G135" s="33"/>
      <c r="H135" s="33"/>
      <c r="I135" s="35"/>
      <c r="J135" s="33"/>
      <c r="K135" s="36"/>
      <c r="L135" s="35"/>
      <c r="M135" s="33"/>
      <c r="N135" s="33"/>
      <c r="O135" s="33"/>
      <c r="P135" s="33"/>
      <c r="Q135" s="37" t="str">
        <f>IF(G135="","",IFERROR(MIN(100,G135/'Input &amp; Settings'!$B$5*100),""))</f>
        <v/>
      </c>
      <c r="R135" s="37" t="str">
        <f>IF(H135="","",IFERROR(MIN(100,H135/'Input &amp; Settings'!$B$6*100),""))</f>
        <v/>
      </c>
      <c r="S135" s="37" t="str">
        <f>IF(I135="","",IFERROR(MIN(100,I135/'Input &amp; Settings'!$B$7*100),""))</f>
        <v/>
      </c>
      <c r="T135" s="37" t="str">
        <f>IF(J135="","",IFERROR(MIN(100,J135/'Input &amp; Settings'!$B$8*100),""))</f>
        <v/>
      </c>
      <c r="U135" s="37" t="str">
        <f>IF(K135="","",IFERROR(MIN(100,K135/'Input &amp; Settings'!$B$9*100),""))</f>
        <v/>
      </c>
      <c r="V135" s="37" t="str">
        <f>IF(L135="","",IFERROR(MIN(100,L135/'Input &amp; Settings'!$B$10*100),""))</f>
        <v/>
      </c>
      <c r="W135" s="37" t="str">
        <f>IF(M135="","",IFERROR(IF(M135&lt;='Input &amp; Settings'!$B$11,100,MAX(0,100-(M135-'Input &amp; Settings'!$B$11)*20)),""))</f>
        <v/>
      </c>
      <c r="X135" s="37" t="str">
        <f>IF(N135="","",IFERROR(MIN(100,N135/'Input &amp; Settings'!$B$12*100),""))</f>
        <v/>
      </c>
      <c r="Y135" s="37" t="str">
        <f>IF(O135="","",IFERROR(MIN(100,O135/'Input &amp; Settings'!$B$13*100),""))</f>
        <v/>
      </c>
      <c r="Z135" s="37" t="str">
        <f>IF(P135="","",IFERROR(IF(P135&lt;='Input &amp; Settings'!$B$14,100,MAX(0,100-(P135-'Input &amp; Settings'!$B$14)*20)),""))</f>
        <v/>
      </c>
      <c r="AA135" s="37" t="str">
        <f>IF(COUNTA(G135:P135)=0,"",ROUND(Q135*'Input &amp; Settings'!$C$5+R135*'Input &amp; Settings'!$C$6+S135*'Input &amp; Settings'!$C$7+T135*'Input &amp; Settings'!$C$8+U135*'Input &amp; Settings'!$C$9+V135*'Input &amp; Settings'!$C$10+W135*'Input &amp; Settings'!$C$11+X135*'Input &amp; Settings'!$C$12+Y135*'Input &amp; Settings'!$C$13+Z135*'Input &amp; Settings'!$C$14,1))</f>
        <v/>
      </c>
      <c r="AB135" s="38" t="str">
        <f>IF(OR(AA135="",E135=""),"",IFERROR(IF(AA135&gt;=VLOOKUP(E135,'Input &amp; Settings'!$F$5:$K$10,3,FALSE),"Outstanding",IF(AA135&gt;=VLOOKUP(E135,'Input &amp; Settings'!$F$5:$K$10,4,FALSE),"Exceeds Expectations",IF(AA135&gt;=VLOOKUP(E135,'Input &amp; Settings'!$F$5:$K$10,5,FALSE),"Meets Expectations",IF(AA135&gt;=VLOOKUP(E135,'Input &amp; Settings'!$F$5:$K$10,6,FALSE),"Needs Improvement","Performance Improvement Required")))),""))</f>
        <v/>
      </c>
      <c r="AC135" s="38" t="str">
        <f t="shared" si="8"/>
        <v/>
      </c>
      <c r="AD135" s="39"/>
      <c r="AE135" s="40"/>
      <c r="AF135" s="41" t="str">
        <f t="shared" si="9"/>
        <v/>
      </c>
      <c r="AG135" s="42" t="str">
        <f t="shared" si="10"/>
        <v/>
      </c>
      <c r="AH135" s="42" t="str">
        <f t="shared" si="11"/>
        <v>Gilbert Eugene|April</v>
      </c>
    </row>
    <row r="136" spans="1:34" hidden="1">
      <c r="A136" s="32">
        <v>2026</v>
      </c>
      <c r="B136" s="32" t="s">
        <v>83</v>
      </c>
      <c r="C136" s="32" t="s">
        <v>36</v>
      </c>
      <c r="D136" s="32" t="s">
        <v>44</v>
      </c>
      <c r="E136" s="33"/>
      <c r="F136" s="34" t="str">
        <f>IF(E136="","",IFERROR(VLOOKUP(E136,'Input &amp; Settings'!$F$5:$G$10,2,FALSE),""))</f>
        <v/>
      </c>
      <c r="G136" s="33"/>
      <c r="H136" s="33"/>
      <c r="I136" s="35"/>
      <c r="J136" s="33"/>
      <c r="K136" s="36"/>
      <c r="L136" s="35"/>
      <c r="M136" s="33"/>
      <c r="N136" s="33"/>
      <c r="O136" s="33"/>
      <c r="P136" s="33"/>
      <c r="Q136" s="37" t="str">
        <f>IF(G136="","",IFERROR(MIN(100,G136/'Input &amp; Settings'!$B$5*100),""))</f>
        <v/>
      </c>
      <c r="R136" s="37" t="str">
        <f>IF(H136="","",IFERROR(MIN(100,H136/'Input &amp; Settings'!$B$6*100),""))</f>
        <v/>
      </c>
      <c r="S136" s="37" t="str">
        <f>IF(I136="","",IFERROR(MIN(100,I136/'Input &amp; Settings'!$B$7*100),""))</f>
        <v/>
      </c>
      <c r="T136" s="37" t="str">
        <f>IF(J136="","",IFERROR(MIN(100,J136/'Input &amp; Settings'!$B$8*100),""))</f>
        <v/>
      </c>
      <c r="U136" s="37" t="str">
        <f>IF(K136="","",IFERROR(MIN(100,K136/'Input &amp; Settings'!$B$9*100),""))</f>
        <v/>
      </c>
      <c r="V136" s="37" t="str">
        <f>IF(L136="","",IFERROR(MIN(100,L136/'Input &amp; Settings'!$B$10*100),""))</f>
        <v/>
      </c>
      <c r="W136" s="37" t="str">
        <f>IF(M136="","",IFERROR(IF(M136&lt;='Input &amp; Settings'!$B$11,100,MAX(0,100-(M136-'Input &amp; Settings'!$B$11)*20)),""))</f>
        <v/>
      </c>
      <c r="X136" s="37" t="str">
        <f>IF(N136="","",IFERROR(MIN(100,N136/'Input &amp; Settings'!$B$12*100),""))</f>
        <v/>
      </c>
      <c r="Y136" s="37" t="str">
        <f>IF(O136="","",IFERROR(MIN(100,O136/'Input &amp; Settings'!$B$13*100),""))</f>
        <v/>
      </c>
      <c r="Z136" s="37" t="str">
        <f>IF(P136="","",IFERROR(IF(P136&lt;='Input &amp; Settings'!$B$14,100,MAX(0,100-(P136-'Input &amp; Settings'!$B$14)*20)),""))</f>
        <v/>
      </c>
      <c r="AA136" s="37" t="str">
        <f>IF(COUNTA(G136:P136)=0,"",ROUND(Q136*'Input &amp; Settings'!$C$5+R136*'Input &amp; Settings'!$C$6+S136*'Input &amp; Settings'!$C$7+T136*'Input &amp; Settings'!$C$8+U136*'Input &amp; Settings'!$C$9+V136*'Input &amp; Settings'!$C$10+W136*'Input &amp; Settings'!$C$11+X136*'Input &amp; Settings'!$C$12+Y136*'Input &amp; Settings'!$C$13+Z136*'Input &amp; Settings'!$C$14,1))</f>
        <v/>
      </c>
      <c r="AB136" s="38" t="str">
        <f>IF(OR(AA136="",E136=""),"",IFERROR(IF(AA136&gt;=VLOOKUP(E136,'Input &amp; Settings'!$F$5:$K$10,3,FALSE),"Outstanding",IF(AA136&gt;=VLOOKUP(E136,'Input &amp; Settings'!$F$5:$K$10,4,FALSE),"Exceeds Expectations",IF(AA136&gt;=VLOOKUP(E136,'Input &amp; Settings'!$F$5:$K$10,5,FALSE),"Meets Expectations",IF(AA136&gt;=VLOOKUP(E136,'Input &amp; Settings'!$F$5:$K$10,6,FALSE),"Needs Improvement","Performance Improvement Required")))),""))</f>
        <v/>
      </c>
      <c r="AC136" s="38" t="str">
        <f t="shared" si="8"/>
        <v/>
      </c>
      <c r="AD136" s="39"/>
      <c r="AE136" s="40"/>
      <c r="AF136" s="41" t="str">
        <f t="shared" si="9"/>
        <v/>
      </c>
      <c r="AG136" s="42" t="str">
        <f t="shared" si="10"/>
        <v/>
      </c>
      <c r="AH136" s="42" t="str">
        <f t="shared" si="11"/>
        <v>Cory Colstock|April</v>
      </c>
    </row>
    <row r="137" spans="1:34" hidden="1">
      <c r="A137" s="32">
        <v>2026</v>
      </c>
      <c r="B137" s="32" t="s">
        <v>83</v>
      </c>
      <c r="C137" s="32" t="s">
        <v>36</v>
      </c>
      <c r="D137" s="32" t="s">
        <v>45</v>
      </c>
      <c r="E137" s="33"/>
      <c r="F137" s="34" t="str">
        <f>IF(E137="","",IFERROR(VLOOKUP(E137,'Input &amp; Settings'!$F$5:$G$10,2,FALSE),""))</f>
        <v/>
      </c>
      <c r="G137" s="33"/>
      <c r="H137" s="33"/>
      <c r="I137" s="35"/>
      <c r="J137" s="33"/>
      <c r="K137" s="36"/>
      <c r="L137" s="35"/>
      <c r="M137" s="33"/>
      <c r="N137" s="33"/>
      <c r="O137" s="33"/>
      <c r="P137" s="33"/>
      <c r="Q137" s="37" t="str">
        <f>IF(G137="","",IFERROR(MIN(100,G137/'Input &amp; Settings'!$B$5*100),""))</f>
        <v/>
      </c>
      <c r="R137" s="37" t="str">
        <f>IF(H137="","",IFERROR(MIN(100,H137/'Input &amp; Settings'!$B$6*100),""))</f>
        <v/>
      </c>
      <c r="S137" s="37" t="str">
        <f>IF(I137="","",IFERROR(MIN(100,I137/'Input &amp; Settings'!$B$7*100),""))</f>
        <v/>
      </c>
      <c r="T137" s="37" t="str">
        <f>IF(J137="","",IFERROR(MIN(100,J137/'Input &amp; Settings'!$B$8*100),""))</f>
        <v/>
      </c>
      <c r="U137" s="37" t="str">
        <f>IF(K137="","",IFERROR(MIN(100,K137/'Input &amp; Settings'!$B$9*100),""))</f>
        <v/>
      </c>
      <c r="V137" s="37" t="str">
        <f>IF(L137="","",IFERROR(MIN(100,L137/'Input &amp; Settings'!$B$10*100),""))</f>
        <v/>
      </c>
      <c r="W137" s="37" t="str">
        <f>IF(M137="","",IFERROR(IF(M137&lt;='Input &amp; Settings'!$B$11,100,MAX(0,100-(M137-'Input &amp; Settings'!$B$11)*20)),""))</f>
        <v/>
      </c>
      <c r="X137" s="37" t="str">
        <f>IF(N137="","",IFERROR(MIN(100,N137/'Input &amp; Settings'!$B$12*100),""))</f>
        <v/>
      </c>
      <c r="Y137" s="37" t="str">
        <f>IF(O137="","",IFERROR(MIN(100,O137/'Input &amp; Settings'!$B$13*100),""))</f>
        <v/>
      </c>
      <c r="Z137" s="37" t="str">
        <f>IF(P137="","",IFERROR(IF(P137&lt;='Input &amp; Settings'!$B$14,100,MAX(0,100-(P137-'Input &amp; Settings'!$B$14)*20)),""))</f>
        <v/>
      </c>
      <c r="AA137" s="37" t="str">
        <f>IF(COUNTA(G137:P137)=0,"",ROUND(Q137*'Input &amp; Settings'!$C$5+R137*'Input &amp; Settings'!$C$6+S137*'Input &amp; Settings'!$C$7+T137*'Input &amp; Settings'!$C$8+U137*'Input &amp; Settings'!$C$9+V137*'Input &amp; Settings'!$C$10+W137*'Input &amp; Settings'!$C$11+X137*'Input &amp; Settings'!$C$12+Y137*'Input &amp; Settings'!$C$13+Z137*'Input &amp; Settings'!$C$14,1))</f>
        <v/>
      </c>
      <c r="AB137" s="38" t="str">
        <f>IF(OR(AA137="",E137=""),"",IFERROR(IF(AA137&gt;=VLOOKUP(E137,'Input &amp; Settings'!$F$5:$K$10,3,FALSE),"Outstanding",IF(AA137&gt;=VLOOKUP(E137,'Input &amp; Settings'!$F$5:$K$10,4,FALSE),"Exceeds Expectations",IF(AA137&gt;=VLOOKUP(E137,'Input &amp; Settings'!$F$5:$K$10,5,FALSE),"Meets Expectations",IF(AA137&gt;=VLOOKUP(E137,'Input &amp; Settings'!$F$5:$K$10,6,FALSE),"Needs Improvement","Performance Improvement Required")))),""))</f>
        <v/>
      </c>
      <c r="AC137" s="38" t="str">
        <f t="shared" si="8"/>
        <v/>
      </c>
      <c r="AD137" s="39"/>
      <c r="AE137" s="40"/>
      <c r="AF137" s="41" t="str">
        <f t="shared" si="9"/>
        <v/>
      </c>
      <c r="AG137" s="42" t="str">
        <f t="shared" si="10"/>
        <v/>
      </c>
      <c r="AH137" s="42" t="str">
        <f t="shared" si="11"/>
        <v>Jerald Woodward (Jerry)|April</v>
      </c>
    </row>
    <row r="138" spans="1:34" hidden="1">
      <c r="A138" s="32">
        <v>2026</v>
      </c>
      <c r="B138" s="32" t="s">
        <v>83</v>
      </c>
      <c r="C138" s="32" t="s">
        <v>36</v>
      </c>
      <c r="D138" s="32" t="s">
        <v>46</v>
      </c>
      <c r="E138" s="33"/>
      <c r="F138" s="34" t="str">
        <f>IF(E138="","",IFERROR(VLOOKUP(E138,'Input &amp; Settings'!$F$5:$G$10,2,FALSE),""))</f>
        <v/>
      </c>
      <c r="G138" s="33"/>
      <c r="H138" s="33"/>
      <c r="I138" s="35"/>
      <c r="J138" s="33"/>
      <c r="K138" s="36"/>
      <c r="L138" s="35"/>
      <c r="M138" s="33"/>
      <c r="N138" s="33"/>
      <c r="O138" s="33"/>
      <c r="P138" s="33"/>
      <c r="Q138" s="37" t="str">
        <f>IF(G138="","",IFERROR(MIN(100,G138/'Input &amp; Settings'!$B$5*100),""))</f>
        <v/>
      </c>
      <c r="R138" s="37" t="str">
        <f>IF(H138="","",IFERROR(MIN(100,H138/'Input &amp; Settings'!$B$6*100),""))</f>
        <v/>
      </c>
      <c r="S138" s="37" t="str">
        <f>IF(I138="","",IFERROR(MIN(100,I138/'Input &amp; Settings'!$B$7*100),""))</f>
        <v/>
      </c>
      <c r="T138" s="37" t="str">
        <f>IF(J138="","",IFERROR(MIN(100,J138/'Input &amp; Settings'!$B$8*100),""))</f>
        <v/>
      </c>
      <c r="U138" s="37" t="str">
        <f>IF(K138="","",IFERROR(MIN(100,K138/'Input &amp; Settings'!$B$9*100),""))</f>
        <v/>
      </c>
      <c r="V138" s="37" t="str">
        <f>IF(L138="","",IFERROR(MIN(100,L138/'Input &amp; Settings'!$B$10*100),""))</f>
        <v/>
      </c>
      <c r="W138" s="37" t="str">
        <f>IF(M138="","",IFERROR(IF(M138&lt;='Input &amp; Settings'!$B$11,100,MAX(0,100-(M138-'Input &amp; Settings'!$B$11)*20)),""))</f>
        <v/>
      </c>
      <c r="X138" s="37" t="str">
        <f>IF(N138="","",IFERROR(MIN(100,N138/'Input &amp; Settings'!$B$12*100),""))</f>
        <v/>
      </c>
      <c r="Y138" s="37" t="str">
        <f>IF(O138="","",IFERROR(MIN(100,O138/'Input &amp; Settings'!$B$13*100),""))</f>
        <v/>
      </c>
      <c r="Z138" s="37" t="str">
        <f>IF(P138="","",IFERROR(IF(P138&lt;='Input &amp; Settings'!$B$14,100,MAX(0,100-(P138-'Input &amp; Settings'!$B$14)*20)),""))</f>
        <v/>
      </c>
      <c r="AA138" s="37" t="str">
        <f>IF(COUNTA(G138:P138)=0,"",ROUND(Q138*'Input &amp; Settings'!$C$5+R138*'Input &amp; Settings'!$C$6+S138*'Input &amp; Settings'!$C$7+T138*'Input &amp; Settings'!$C$8+U138*'Input &amp; Settings'!$C$9+V138*'Input &amp; Settings'!$C$10+W138*'Input &amp; Settings'!$C$11+X138*'Input &amp; Settings'!$C$12+Y138*'Input &amp; Settings'!$C$13+Z138*'Input &amp; Settings'!$C$14,1))</f>
        <v/>
      </c>
      <c r="AB138" s="38" t="str">
        <f>IF(OR(AA138="",E138=""),"",IFERROR(IF(AA138&gt;=VLOOKUP(E138,'Input &amp; Settings'!$F$5:$K$10,3,FALSE),"Outstanding",IF(AA138&gt;=VLOOKUP(E138,'Input &amp; Settings'!$F$5:$K$10,4,FALSE),"Exceeds Expectations",IF(AA138&gt;=VLOOKUP(E138,'Input &amp; Settings'!$F$5:$K$10,5,FALSE),"Meets Expectations",IF(AA138&gt;=VLOOKUP(E138,'Input &amp; Settings'!$F$5:$K$10,6,FALSE),"Needs Improvement","Performance Improvement Required")))),""))</f>
        <v/>
      </c>
      <c r="AC138" s="38" t="str">
        <f t="shared" si="8"/>
        <v/>
      </c>
      <c r="AD138" s="39"/>
      <c r="AE138" s="40"/>
      <c r="AF138" s="41" t="str">
        <f t="shared" si="9"/>
        <v/>
      </c>
      <c r="AG138" s="42" t="str">
        <f t="shared" si="10"/>
        <v/>
      </c>
      <c r="AH138" s="42" t="str">
        <f t="shared" si="11"/>
        <v>Alvaro Hernandez|April</v>
      </c>
    </row>
    <row r="139" spans="1:34" hidden="1">
      <c r="A139" s="32">
        <v>2026</v>
      </c>
      <c r="B139" s="32" t="s">
        <v>83</v>
      </c>
      <c r="C139" s="32" t="s">
        <v>36</v>
      </c>
      <c r="D139" s="32" t="s">
        <v>47</v>
      </c>
      <c r="E139" s="33"/>
      <c r="F139" s="34" t="str">
        <f>IF(E139="","",IFERROR(VLOOKUP(E139,'Input &amp; Settings'!$F$5:$G$10,2,FALSE),""))</f>
        <v/>
      </c>
      <c r="G139" s="33"/>
      <c r="H139" s="33"/>
      <c r="I139" s="35"/>
      <c r="J139" s="33"/>
      <c r="K139" s="36"/>
      <c r="L139" s="35"/>
      <c r="M139" s="33"/>
      <c r="N139" s="33"/>
      <c r="O139" s="33"/>
      <c r="P139" s="33"/>
      <c r="Q139" s="37" t="str">
        <f>IF(G139="","",IFERROR(MIN(100,G139/'Input &amp; Settings'!$B$5*100),""))</f>
        <v/>
      </c>
      <c r="R139" s="37" t="str">
        <f>IF(H139="","",IFERROR(MIN(100,H139/'Input &amp; Settings'!$B$6*100),""))</f>
        <v/>
      </c>
      <c r="S139" s="37" t="str">
        <f>IF(I139="","",IFERROR(MIN(100,I139/'Input &amp; Settings'!$B$7*100),""))</f>
        <v/>
      </c>
      <c r="T139" s="37" t="str">
        <f>IF(J139="","",IFERROR(MIN(100,J139/'Input &amp; Settings'!$B$8*100),""))</f>
        <v/>
      </c>
      <c r="U139" s="37" t="str">
        <f>IF(K139="","",IFERROR(MIN(100,K139/'Input &amp; Settings'!$B$9*100),""))</f>
        <v/>
      </c>
      <c r="V139" s="37" t="str">
        <f>IF(L139="","",IFERROR(MIN(100,L139/'Input &amp; Settings'!$B$10*100),""))</f>
        <v/>
      </c>
      <c r="W139" s="37" t="str">
        <f>IF(M139="","",IFERROR(IF(M139&lt;='Input &amp; Settings'!$B$11,100,MAX(0,100-(M139-'Input &amp; Settings'!$B$11)*20)),""))</f>
        <v/>
      </c>
      <c r="X139" s="37" t="str">
        <f>IF(N139="","",IFERROR(MIN(100,N139/'Input &amp; Settings'!$B$12*100),""))</f>
        <v/>
      </c>
      <c r="Y139" s="37" t="str">
        <f>IF(O139="","",IFERROR(MIN(100,O139/'Input &amp; Settings'!$B$13*100),""))</f>
        <v/>
      </c>
      <c r="Z139" s="37" t="str">
        <f>IF(P139="","",IFERROR(IF(P139&lt;='Input &amp; Settings'!$B$14,100,MAX(0,100-(P139-'Input &amp; Settings'!$B$14)*20)),""))</f>
        <v/>
      </c>
      <c r="AA139" s="37" t="str">
        <f>IF(COUNTA(G139:P139)=0,"",ROUND(Q139*'Input &amp; Settings'!$C$5+R139*'Input &amp; Settings'!$C$6+S139*'Input &amp; Settings'!$C$7+T139*'Input &amp; Settings'!$C$8+U139*'Input &amp; Settings'!$C$9+V139*'Input &amp; Settings'!$C$10+W139*'Input &amp; Settings'!$C$11+X139*'Input &amp; Settings'!$C$12+Y139*'Input &amp; Settings'!$C$13+Z139*'Input &amp; Settings'!$C$14,1))</f>
        <v/>
      </c>
      <c r="AB139" s="38" t="str">
        <f>IF(OR(AA139="",E139=""),"",IFERROR(IF(AA139&gt;=VLOOKUP(E139,'Input &amp; Settings'!$F$5:$K$10,3,FALSE),"Outstanding",IF(AA139&gt;=VLOOKUP(E139,'Input &amp; Settings'!$F$5:$K$10,4,FALSE),"Exceeds Expectations",IF(AA139&gt;=VLOOKUP(E139,'Input &amp; Settings'!$F$5:$K$10,5,FALSE),"Meets Expectations",IF(AA139&gt;=VLOOKUP(E139,'Input &amp; Settings'!$F$5:$K$10,6,FALSE),"Needs Improvement","Performance Improvement Required")))),""))</f>
        <v/>
      </c>
      <c r="AC139" s="38" t="str">
        <f t="shared" si="8"/>
        <v/>
      </c>
      <c r="AD139" s="39"/>
      <c r="AE139" s="40"/>
      <c r="AF139" s="41" t="str">
        <f t="shared" si="9"/>
        <v/>
      </c>
      <c r="AG139" s="42" t="str">
        <f t="shared" si="10"/>
        <v/>
      </c>
      <c r="AH139" s="42" t="str">
        <f t="shared" si="11"/>
        <v>Sarah Clervil|April</v>
      </c>
    </row>
    <row r="140" spans="1:34" hidden="1">
      <c r="A140" s="32">
        <v>2026</v>
      </c>
      <c r="B140" s="32" t="s">
        <v>83</v>
      </c>
      <c r="C140" s="32" t="s">
        <v>36</v>
      </c>
      <c r="D140" s="32" t="s">
        <v>48</v>
      </c>
      <c r="E140" s="33"/>
      <c r="F140" s="34" t="str">
        <f>IF(E140="","",IFERROR(VLOOKUP(E140,'Input &amp; Settings'!$F$5:$G$10,2,FALSE),""))</f>
        <v/>
      </c>
      <c r="G140" s="33"/>
      <c r="H140" s="33"/>
      <c r="I140" s="35"/>
      <c r="J140" s="33"/>
      <c r="K140" s="36"/>
      <c r="L140" s="35"/>
      <c r="M140" s="33"/>
      <c r="N140" s="33"/>
      <c r="O140" s="33"/>
      <c r="P140" s="33"/>
      <c r="Q140" s="37" t="str">
        <f>IF(G140="","",IFERROR(MIN(100,G140/'Input &amp; Settings'!$B$5*100),""))</f>
        <v/>
      </c>
      <c r="R140" s="37" t="str">
        <f>IF(H140="","",IFERROR(MIN(100,H140/'Input &amp; Settings'!$B$6*100),""))</f>
        <v/>
      </c>
      <c r="S140" s="37" t="str">
        <f>IF(I140="","",IFERROR(MIN(100,I140/'Input &amp; Settings'!$B$7*100),""))</f>
        <v/>
      </c>
      <c r="T140" s="37" t="str">
        <f>IF(J140="","",IFERROR(MIN(100,J140/'Input &amp; Settings'!$B$8*100),""))</f>
        <v/>
      </c>
      <c r="U140" s="37" t="str">
        <f>IF(K140="","",IFERROR(MIN(100,K140/'Input &amp; Settings'!$B$9*100),""))</f>
        <v/>
      </c>
      <c r="V140" s="37" t="str">
        <f>IF(L140="","",IFERROR(MIN(100,L140/'Input &amp; Settings'!$B$10*100),""))</f>
        <v/>
      </c>
      <c r="W140" s="37" t="str">
        <f>IF(M140="","",IFERROR(IF(M140&lt;='Input &amp; Settings'!$B$11,100,MAX(0,100-(M140-'Input &amp; Settings'!$B$11)*20)),""))</f>
        <v/>
      </c>
      <c r="X140" s="37" t="str">
        <f>IF(N140="","",IFERROR(MIN(100,N140/'Input &amp; Settings'!$B$12*100),""))</f>
        <v/>
      </c>
      <c r="Y140" s="37" t="str">
        <f>IF(O140="","",IFERROR(MIN(100,O140/'Input &amp; Settings'!$B$13*100),""))</f>
        <v/>
      </c>
      <c r="Z140" s="37" t="str">
        <f>IF(P140="","",IFERROR(IF(P140&lt;='Input &amp; Settings'!$B$14,100,MAX(0,100-(P140-'Input &amp; Settings'!$B$14)*20)),""))</f>
        <v/>
      </c>
      <c r="AA140" s="37" t="str">
        <f>IF(COUNTA(G140:P140)=0,"",ROUND(Q140*'Input &amp; Settings'!$C$5+R140*'Input &amp; Settings'!$C$6+S140*'Input &amp; Settings'!$C$7+T140*'Input &amp; Settings'!$C$8+U140*'Input &amp; Settings'!$C$9+V140*'Input &amp; Settings'!$C$10+W140*'Input &amp; Settings'!$C$11+X140*'Input &amp; Settings'!$C$12+Y140*'Input &amp; Settings'!$C$13+Z140*'Input &amp; Settings'!$C$14,1))</f>
        <v/>
      </c>
      <c r="AB140" s="38" t="str">
        <f>IF(OR(AA140="",E140=""),"",IFERROR(IF(AA140&gt;=VLOOKUP(E140,'Input &amp; Settings'!$F$5:$K$10,3,FALSE),"Outstanding",IF(AA140&gt;=VLOOKUP(E140,'Input &amp; Settings'!$F$5:$K$10,4,FALSE),"Exceeds Expectations",IF(AA140&gt;=VLOOKUP(E140,'Input &amp; Settings'!$F$5:$K$10,5,FALSE),"Meets Expectations",IF(AA140&gt;=VLOOKUP(E140,'Input &amp; Settings'!$F$5:$K$10,6,FALSE),"Needs Improvement","Performance Improvement Required")))),""))</f>
        <v/>
      </c>
      <c r="AC140" s="38" t="str">
        <f t="shared" si="8"/>
        <v/>
      </c>
      <c r="AD140" s="39"/>
      <c r="AE140" s="40"/>
      <c r="AF140" s="41" t="str">
        <f t="shared" si="9"/>
        <v/>
      </c>
      <c r="AG140" s="42" t="str">
        <f t="shared" si="10"/>
        <v/>
      </c>
      <c r="AH140" s="42" t="str">
        <f t="shared" si="11"/>
        <v>Christopher Ovid|April</v>
      </c>
    </row>
    <row r="141" spans="1:34" hidden="1">
      <c r="A141" s="32">
        <v>2026</v>
      </c>
      <c r="B141" s="32" t="s">
        <v>83</v>
      </c>
      <c r="C141" s="32" t="s">
        <v>36</v>
      </c>
      <c r="D141" s="32" t="s">
        <v>49</v>
      </c>
      <c r="E141" s="33"/>
      <c r="F141" s="34" t="str">
        <f>IF(E141="","",IFERROR(VLOOKUP(E141,'Input &amp; Settings'!$F$5:$G$10,2,FALSE),""))</f>
        <v/>
      </c>
      <c r="G141" s="33"/>
      <c r="H141" s="33"/>
      <c r="I141" s="35"/>
      <c r="J141" s="33"/>
      <c r="K141" s="36"/>
      <c r="L141" s="35"/>
      <c r="M141" s="33"/>
      <c r="N141" s="33"/>
      <c r="O141" s="33"/>
      <c r="P141" s="33"/>
      <c r="Q141" s="37" t="str">
        <f>IF(G141="","",IFERROR(MIN(100,G141/'Input &amp; Settings'!$B$5*100),""))</f>
        <v/>
      </c>
      <c r="R141" s="37" t="str">
        <f>IF(H141="","",IFERROR(MIN(100,H141/'Input &amp; Settings'!$B$6*100),""))</f>
        <v/>
      </c>
      <c r="S141" s="37" t="str">
        <f>IF(I141="","",IFERROR(MIN(100,I141/'Input &amp; Settings'!$B$7*100),""))</f>
        <v/>
      </c>
      <c r="T141" s="37" t="str">
        <f>IF(J141="","",IFERROR(MIN(100,J141/'Input &amp; Settings'!$B$8*100),""))</f>
        <v/>
      </c>
      <c r="U141" s="37" t="str">
        <f>IF(K141="","",IFERROR(MIN(100,K141/'Input &amp; Settings'!$B$9*100),""))</f>
        <v/>
      </c>
      <c r="V141" s="37" t="str">
        <f>IF(L141="","",IFERROR(MIN(100,L141/'Input &amp; Settings'!$B$10*100),""))</f>
        <v/>
      </c>
      <c r="W141" s="37" t="str">
        <f>IF(M141="","",IFERROR(IF(M141&lt;='Input &amp; Settings'!$B$11,100,MAX(0,100-(M141-'Input &amp; Settings'!$B$11)*20)),""))</f>
        <v/>
      </c>
      <c r="X141" s="37" t="str">
        <f>IF(N141="","",IFERROR(MIN(100,N141/'Input &amp; Settings'!$B$12*100),""))</f>
        <v/>
      </c>
      <c r="Y141" s="37" t="str">
        <f>IF(O141="","",IFERROR(MIN(100,O141/'Input &amp; Settings'!$B$13*100),""))</f>
        <v/>
      </c>
      <c r="Z141" s="37" t="str">
        <f>IF(P141="","",IFERROR(IF(P141&lt;='Input &amp; Settings'!$B$14,100,MAX(0,100-(P141-'Input &amp; Settings'!$B$14)*20)),""))</f>
        <v/>
      </c>
      <c r="AA141" s="37" t="str">
        <f>IF(COUNTA(G141:P141)=0,"",ROUND(Q141*'Input &amp; Settings'!$C$5+R141*'Input &amp; Settings'!$C$6+S141*'Input &amp; Settings'!$C$7+T141*'Input &amp; Settings'!$C$8+U141*'Input &amp; Settings'!$C$9+V141*'Input &amp; Settings'!$C$10+W141*'Input &amp; Settings'!$C$11+X141*'Input &amp; Settings'!$C$12+Y141*'Input &amp; Settings'!$C$13+Z141*'Input &amp; Settings'!$C$14,1))</f>
        <v/>
      </c>
      <c r="AB141" s="38" t="str">
        <f>IF(OR(AA141="",E141=""),"",IFERROR(IF(AA141&gt;=VLOOKUP(E141,'Input &amp; Settings'!$F$5:$K$10,3,FALSE),"Outstanding",IF(AA141&gt;=VLOOKUP(E141,'Input &amp; Settings'!$F$5:$K$10,4,FALSE),"Exceeds Expectations",IF(AA141&gt;=VLOOKUP(E141,'Input &amp; Settings'!$F$5:$K$10,5,FALSE),"Meets Expectations",IF(AA141&gt;=VLOOKUP(E141,'Input &amp; Settings'!$F$5:$K$10,6,FALSE),"Needs Improvement","Performance Improvement Required")))),""))</f>
        <v/>
      </c>
      <c r="AC141" s="38" t="str">
        <f t="shared" si="8"/>
        <v/>
      </c>
      <c r="AD141" s="39"/>
      <c r="AE141" s="40"/>
      <c r="AF141" s="41" t="str">
        <f t="shared" si="9"/>
        <v/>
      </c>
      <c r="AG141" s="42" t="str">
        <f t="shared" si="10"/>
        <v/>
      </c>
      <c r="AH141" s="42" t="str">
        <f t="shared" si="11"/>
        <v>Rafael Godinez|April</v>
      </c>
    </row>
    <row r="142" spans="1:34" hidden="1">
      <c r="A142" s="32">
        <v>2026</v>
      </c>
      <c r="B142" s="32" t="s">
        <v>83</v>
      </c>
      <c r="C142" s="32" t="s">
        <v>36</v>
      </c>
      <c r="D142" s="32" t="s">
        <v>50</v>
      </c>
      <c r="E142" s="33"/>
      <c r="F142" s="34" t="str">
        <f>IF(E142="","",IFERROR(VLOOKUP(E142,'Input &amp; Settings'!$F$5:$G$10,2,FALSE),""))</f>
        <v/>
      </c>
      <c r="G142" s="33"/>
      <c r="H142" s="33"/>
      <c r="I142" s="35"/>
      <c r="J142" s="33"/>
      <c r="K142" s="36"/>
      <c r="L142" s="35"/>
      <c r="M142" s="33"/>
      <c r="N142" s="33"/>
      <c r="O142" s="33"/>
      <c r="P142" s="33"/>
      <c r="Q142" s="37" t="str">
        <f>IF(G142="","",IFERROR(MIN(100,G142/'Input &amp; Settings'!$B$5*100),""))</f>
        <v/>
      </c>
      <c r="R142" s="37" t="str">
        <f>IF(H142="","",IFERROR(MIN(100,H142/'Input &amp; Settings'!$B$6*100),""))</f>
        <v/>
      </c>
      <c r="S142" s="37" t="str">
        <f>IF(I142="","",IFERROR(MIN(100,I142/'Input &amp; Settings'!$B$7*100),""))</f>
        <v/>
      </c>
      <c r="T142" s="37" t="str">
        <f>IF(J142="","",IFERROR(MIN(100,J142/'Input &amp; Settings'!$B$8*100),""))</f>
        <v/>
      </c>
      <c r="U142" s="37" t="str">
        <f>IF(K142="","",IFERROR(MIN(100,K142/'Input &amp; Settings'!$B$9*100),""))</f>
        <v/>
      </c>
      <c r="V142" s="37" t="str">
        <f>IF(L142="","",IFERROR(MIN(100,L142/'Input &amp; Settings'!$B$10*100),""))</f>
        <v/>
      </c>
      <c r="W142" s="37" t="str">
        <f>IF(M142="","",IFERROR(IF(M142&lt;='Input &amp; Settings'!$B$11,100,MAX(0,100-(M142-'Input &amp; Settings'!$B$11)*20)),""))</f>
        <v/>
      </c>
      <c r="X142" s="37" t="str">
        <f>IF(N142="","",IFERROR(MIN(100,N142/'Input &amp; Settings'!$B$12*100),""))</f>
        <v/>
      </c>
      <c r="Y142" s="37" t="str">
        <f>IF(O142="","",IFERROR(MIN(100,O142/'Input &amp; Settings'!$B$13*100),""))</f>
        <v/>
      </c>
      <c r="Z142" s="37" t="str">
        <f>IF(P142="","",IFERROR(IF(P142&lt;='Input &amp; Settings'!$B$14,100,MAX(0,100-(P142-'Input &amp; Settings'!$B$14)*20)),""))</f>
        <v/>
      </c>
      <c r="AA142" s="37" t="str">
        <f>IF(COUNTA(G142:P142)=0,"",ROUND(Q142*'Input &amp; Settings'!$C$5+R142*'Input &amp; Settings'!$C$6+S142*'Input &amp; Settings'!$C$7+T142*'Input &amp; Settings'!$C$8+U142*'Input &amp; Settings'!$C$9+V142*'Input &amp; Settings'!$C$10+W142*'Input &amp; Settings'!$C$11+X142*'Input &amp; Settings'!$C$12+Y142*'Input &amp; Settings'!$C$13+Z142*'Input &amp; Settings'!$C$14,1))</f>
        <v/>
      </c>
      <c r="AB142" s="38" t="str">
        <f>IF(OR(AA142="",E142=""),"",IFERROR(IF(AA142&gt;=VLOOKUP(E142,'Input &amp; Settings'!$F$5:$K$10,3,FALSE),"Outstanding",IF(AA142&gt;=VLOOKUP(E142,'Input &amp; Settings'!$F$5:$K$10,4,FALSE),"Exceeds Expectations",IF(AA142&gt;=VLOOKUP(E142,'Input &amp; Settings'!$F$5:$K$10,5,FALSE),"Meets Expectations",IF(AA142&gt;=VLOOKUP(E142,'Input &amp; Settings'!$F$5:$K$10,6,FALSE),"Needs Improvement","Performance Improvement Required")))),""))</f>
        <v/>
      </c>
      <c r="AC142" s="38" t="str">
        <f t="shared" si="8"/>
        <v/>
      </c>
      <c r="AD142" s="39"/>
      <c r="AE142" s="40"/>
      <c r="AF142" s="41" t="str">
        <f t="shared" si="9"/>
        <v/>
      </c>
      <c r="AG142" s="42" t="str">
        <f t="shared" si="10"/>
        <v/>
      </c>
      <c r="AH142" s="42" t="str">
        <f t="shared" si="11"/>
        <v>Dennis Mayorga|April</v>
      </c>
    </row>
    <row r="143" spans="1:34" hidden="1">
      <c r="A143" s="32">
        <v>2026</v>
      </c>
      <c r="B143" s="32" t="s">
        <v>83</v>
      </c>
      <c r="C143" s="32" t="s">
        <v>36</v>
      </c>
      <c r="D143" s="32" t="s">
        <v>51</v>
      </c>
      <c r="E143" s="33"/>
      <c r="F143" s="34" t="str">
        <f>IF(E143="","",IFERROR(VLOOKUP(E143,'Input &amp; Settings'!$F$5:$G$10,2,FALSE),""))</f>
        <v/>
      </c>
      <c r="G143" s="33"/>
      <c r="H143" s="33"/>
      <c r="I143" s="35"/>
      <c r="J143" s="33"/>
      <c r="K143" s="36"/>
      <c r="L143" s="35"/>
      <c r="M143" s="33"/>
      <c r="N143" s="33"/>
      <c r="O143" s="33"/>
      <c r="P143" s="33"/>
      <c r="Q143" s="37" t="str">
        <f>IF(G143="","",IFERROR(MIN(100,G143/'Input &amp; Settings'!$B$5*100),""))</f>
        <v/>
      </c>
      <c r="R143" s="37" t="str">
        <f>IF(H143="","",IFERROR(MIN(100,H143/'Input &amp; Settings'!$B$6*100),""))</f>
        <v/>
      </c>
      <c r="S143" s="37" t="str">
        <f>IF(I143="","",IFERROR(MIN(100,I143/'Input &amp; Settings'!$B$7*100),""))</f>
        <v/>
      </c>
      <c r="T143" s="37" t="str">
        <f>IF(J143="","",IFERROR(MIN(100,J143/'Input &amp; Settings'!$B$8*100),""))</f>
        <v/>
      </c>
      <c r="U143" s="37" t="str">
        <f>IF(K143="","",IFERROR(MIN(100,K143/'Input &amp; Settings'!$B$9*100),""))</f>
        <v/>
      </c>
      <c r="V143" s="37" t="str">
        <f>IF(L143="","",IFERROR(MIN(100,L143/'Input &amp; Settings'!$B$10*100),""))</f>
        <v/>
      </c>
      <c r="W143" s="37" t="str">
        <f>IF(M143="","",IFERROR(IF(M143&lt;='Input &amp; Settings'!$B$11,100,MAX(0,100-(M143-'Input &amp; Settings'!$B$11)*20)),""))</f>
        <v/>
      </c>
      <c r="X143" s="37" t="str">
        <f>IF(N143="","",IFERROR(MIN(100,N143/'Input &amp; Settings'!$B$12*100),""))</f>
        <v/>
      </c>
      <c r="Y143" s="37" t="str">
        <f>IF(O143="","",IFERROR(MIN(100,O143/'Input &amp; Settings'!$B$13*100),""))</f>
        <v/>
      </c>
      <c r="Z143" s="37" t="str">
        <f>IF(P143="","",IFERROR(IF(P143&lt;='Input &amp; Settings'!$B$14,100,MAX(0,100-(P143-'Input &amp; Settings'!$B$14)*20)),""))</f>
        <v/>
      </c>
      <c r="AA143" s="37" t="str">
        <f>IF(COUNTA(G143:P143)=0,"",ROUND(Q143*'Input &amp; Settings'!$C$5+R143*'Input &amp; Settings'!$C$6+S143*'Input &amp; Settings'!$C$7+T143*'Input &amp; Settings'!$C$8+U143*'Input &amp; Settings'!$C$9+V143*'Input &amp; Settings'!$C$10+W143*'Input &amp; Settings'!$C$11+X143*'Input &amp; Settings'!$C$12+Y143*'Input &amp; Settings'!$C$13+Z143*'Input &amp; Settings'!$C$14,1))</f>
        <v/>
      </c>
      <c r="AB143" s="38" t="str">
        <f>IF(OR(AA143="",E143=""),"",IFERROR(IF(AA143&gt;=VLOOKUP(E143,'Input &amp; Settings'!$F$5:$K$10,3,FALSE),"Outstanding",IF(AA143&gt;=VLOOKUP(E143,'Input &amp; Settings'!$F$5:$K$10,4,FALSE),"Exceeds Expectations",IF(AA143&gt;=VLOOKUP(E143,'Input &amp; Settings'!$F$5:$K$10,5,FALSE),"Meets Expectations",IF(AA143&gt;=VLOOKUP(E143,'Input &amp; Settings'!$F$5:$K$10,6,FALSE),"Needs Improvement","Performance Improvement Required")))),""))</f>
        <v/>
      </c>
      <c r="AC143" s="38" t="str">
        <f t="shared" si="8"/>
        <v/>
      </c>
      <c r="AD143" s="39"/>
      <c r="AE143" s="40"/>
      <c r="AF143" s="41" t="str">
        <f t="shared" si="9"/>
        <v/>
      </c>
      <c r="AG143" s="42" t="str">
        <f t="shared" si="10"/>
        <v/>
      </c>
      <c r="AH143" s="42" t="str">
        <f t="shared" si="11"/>
        <v>Jose Reyes-Navolskyi (Ivan)|April</v>
      </c>
    </row>
    <row r="144" spans="1:34" hidden="1">
      <c r="A144" s="32">
        <v>2026</v>
      </c>
      <c r="B144" s="32" t="s">
        <v>83</v>
      </c>
      <c r="C144" s="32" t="s">
        <v>36</v>
      </c>
      <c r="D144" s="32" t="s">
        <v>52</v>
      </c>
      <c r="E144" s="33"/>
      <c r="F144" s="34" t="str">
        <f>IF(E144="","",IFERROR(VLOOKUP(E144,'Input &amp; Settings'!$F$5:$G$10,2,FALSE),""))</f>
        <v/>
      </c>
      <c r="G144" s="33"/>
      <c r="H144" s="33"/>
      <c r="I144" s="35"/>
      <c r="J144" s="33"/>
      <c r="K144" s="36"/>
      <c r="L144" s="35"/>
      <c r="M144" s="33"/>
      <c r="N144" s="33"/>
      <c r="O144" s="33"/>
      <c r="P144" s="33"/>
      <c r="Q144" s="37" t="str">
        <f>IF(G144="","",IFERROR(MIN(100,G144/'Input &amp; Settings'!$B$5*100),""))</f>
        <v/>
      </c>
      <c r="R144" s="37" t="str">
        <f>IF(H144="","",IFERROR(MIN(100,H144/'Input &amp; Settings'!$B$6*100),""))</f>
        <v/>
      </c>
      <c r="S144" s="37" t="str">
        <f>IF(I144="","",IFERROR(MIN(100,I144/'Input &amp; Settings'!$B$7*100),""))</f>
        <v/>
      </c>
      <c r="T144" s="37" t="str">
        <f>IF(J144="","",IFERROR(MIN(100,J144/'Input &amp; Settings'!$B$8*100),""))</f>
        <v/>
      </c>
      <c r="U144" s="37" t="str">
        <f>IF(K144="","",IFERROR(MIN(100,K144/'Input &amp; Settings'!$B$9*100),""))</f>
        <v/>
      </c>
      <c r="V144" s="37" t="str">
        <f>IF(L144="","",IFERROR(MIN(100,L144/'Input &amp; Settings'!$B$10*100),""))</f>
        <v/>
      </c>
      <c r="W144" s="37" t="str">
        <f>IF(M144="","",IFERROR(IF(M144&lt;='Input &amp; Settings'!$B$11,100,MAX(0,100-(M144-'Input &amp; Settings'!$B$11)*20)),""))</f>
        <v/>
      </c>
      <c r="X144" s="37" t="str">
        <f>IF(N144="","",IFERROR(MIN(100,N144/'Input &amp; Settings'!$B$12*100),""))</f>
        <v/>
      </c>
      <c r="Y144" s="37" t="str">
        <f>IF(O144="","",IFERROR(MIN(100,O144/'Input &amp; Settings'!$B$13*100),""))</f>
        <v/>
      </c>
      <c r="Z144" s="37" t="str">
        <f>IF(P144="","",IFERROR(IF(P144&lt;='Input &amp; Settings'!$B$14,100,MAX(0,100-(P144-'Input &amp; Settings'!$B$14)*20)),""))</f>
        <v/>
      </c>
      <c r="AA144" s="37" t="str">
        <f>IF(COUNTA(G144:P144)=0,"",ROUND(Q144*'Input &amp; Settings'!$C$5+R144*'Input &amp; Settings'!$C$6+S144*'Input &amp; Settings'!$C$7+T144*'Input &amp; Settings'!$C$8+U144*'Input &amp; Settings'!$C$9+V144*'Input &amp; Settings'!$C$10+W144*'Input &amp; Settings'!$C$11+X144*'Input &amp; Settings'!$C$12+Y144*'Input &amp; Settings'!$C$13+Z144*'Input &amp; Settings'!$C$14,1))</f>
        <v/>
      </c>
      <c r="AB144" s="38" t="str">
        <f>IF(OR(AA144="",E144=""),"",IFERROR(IF(AA144&gt;=VLOOKUP(E144,'Input &amp; Settings'!$F$5:$K$10,3,FALSE),"Outstanding",IF(AA144&gt;=VLOOKUP(E144,'Input &amp; Settings'!$F$5:$K$10,4,FALSE),"Exceeds Expectations",IF(AA144&gt;=VLOOKUP(E144,'Input &amp; Settings'!$F$5:$K$10,5,FALSE),"Meets Expectations",IF(AA144&gt;=VLOOKUP(E144,'Input &amp; Settings'!$F$5:$K$10,6,FALSE),"Needs Improvement","Performance Improvement Required")))),""))</f>
        <v/>
      </c>
      <c r="AC144" s="38" t="str">
        <f t="shared" si="8"/>
        <v/>
      </c>
      <c r="AD144" s="39"/>
      <c r="AE144" s="40"/>
      <c r="AF144" s="41" t="str">
        <f t="shared" si="9"/>
        <v/>
      </c>
      <c r="AG144" s="42" t="str">
        <f t="shared" si="10"/>
        <v/>
      </c>
      <c r="AH144" s="42" t="str">
        <f t="shared" si="11"/>
        <v>Jonathan Davila|April</v>
      </c>
    </row>
    <row r="145" spans="1:34" hidden="1">
      <c r="A145" s="32">
        <v>2026</v>
      </c>
      <c r="B145" s="32" t="s">
        <v>83</v>
      </c>
      <c r="C145" s="32" t="s">
        <v>53</v>
      </c>
      <c r="D145" s="32" t="s">
        <v>54</v>
      </c>
      <c r="E145" s="33"/>
      <c r="F145" s="34" t="str">
        <f>IF(E145="","",IFERROR(VLOOKUP(E145,'Input &amp; Settings'!$F$5:$G$10,2,FALSE),""))</f>
        <v/>
      </c>
      <c r="G145" s="33"/>
      <c r="H145" s="33"/>
      <c r="I145" s="35"/>
      <c r="J145" s="33"/>
      <c r="K145" s="36"/>
      <c r="L145" s="35"/>
      <c r="M145" s="33"/>
      <c r="N145" s="33"/>
      <c r="O145" s="33"/>
      <c r="P145" s="33"/>
      <c r="Q145" s="37" t="str">
        <f>IF(G145="","",IFERROR(MIN(100,G145/'Input &amp; Settings'!$B$5*100),""))</f>
        <v/>
      </c>
      <c r="R145" s="37" t="str">
        <f>IF(H145="","",IFERROR(MIN(100,H145/'Input &amp; Settings'!$B$6*100),""))</f>
        <v/>
      </c>
      <c r="S145" s="37" t="str">
        <f>IF(I145="","",IFERROR(MIN(100,I145/'Input &amp; Settings'!$B$7*100),""))</f>
        <v/>
      </c>
      <c r="T145" s="37" t="str">
        <f>IF(J145="","",IFERROR(MIN(100,J145/'Input &amp; Settings'!$B$8*100),""))</f>
        <v/>
      </c>
      <c r="U145" s="37" t="str">
        <f>IF(K145="","",IFERROR(MIN(100,K145/'Input &amp; Settings'!$B$9*100),""))</f>
        <v/>
      </c>
      <c r="V145" s="37" t="str">
        <f>IF(L145="","",IFERROR(MIN(100,L145/'Input &amp; Settings'!$B$10*100),""))</f>
        <v/>
      </c>
      <c r="W145" s="37" t="str">
        <f>IF(M145="","",IFERROR(IF(M145&lt;='Input &amp; Settings'!$B$11,100,MAX(0,100-(M145-'Input &amp; Settings'!$B$11)*20)),""))</f>
        <v/>
      </c>
      <c r="X145" s="37" t="str">
        <f>IF(N145="","",IFERROR(MIN(100,N145/'Input &amp; Settings'!$B$12*100),""))</f>
        <v/>
      </c>
      <c r="Y145" s="37" t="str">
        <f>IF(O145="","",IFERROR(MIN(100,O145/'Input &amp; Settings'!$B$13*100),""))</f>
        <v/>
      </c>
      <c r="Z145" s="37" t="str">
        <f>IF(P145="","",IFERROR(IF(P145&lt;='Input &amp; Settings'!$B$14,100,MAX(0,100-(P145-'Input &amp; Settings'!$B$14)*20)),""))</f>
        <v/>
      </c>
      <c r="AA145" s="37" t="str">
        <f>IF(COUNTA(G145:P145)=0,"",ROUND(Q145*'Input &amp; Settings'!$C$5+R145*'Input &amp; Settings'!$C$6+S145*'Input &amp; Settings'!$C$7+T145*'Input &amp; Settings'!$C$8+U145*'Input &amp; Settings'!$C$9+V145*'Input &amp; Settings'!$C$10+W145*'Input &amp; Settings'!$C$11+X145*'Input &amp; Settings'!$C$12+Y145*'Input &amp; Settings'!$C$13+Z145*'Input &amp; Settings'!$C$14,1))</f>
        <v/>
      </c>
      <c r="AB145" s="38" t="str">
        <f>IF(OR(AA145="",E145=""),"",IFERROR(IF(AA145&gt;=VLOOKUP(E145,'Input &amp; Settings'!$F$5:$K$10,3,FALSE),"Outstanding",IF(AA145&gt;=VLOOKUP(E145,'Input &amp; Settings'!$F$5:$K$10,4,FALSE),"Exceeds Expectations",IF(AA145&gt;=VLOOKUP(E145,'Input &amp; Settings'!$F$5:$K$10,5,FALSE),"Meets Expectations",IF(AA145&gt;=VLOOKUP(E145,'Input &amp; Settings'!$F$5:$K$10,6,FALSE),"Needs Improvement","Performance Improvement Required")))),""))</f>
        <v/>
      </c>
      <c r="AC145" s="38" t="str">
        <f t="shared" si="8"/>
        <v/>
      </c>
      <c r="AD145" s="39"/>
      <c r="AE145" s="40"/>
      <c r="AF145" s="41" t="str">
        <f t="shared" si="9"/>
        <v/>
      </c>
      <c r="AG145" s="42" t="str">
        <f t="shared" si="10"/>
        <v/>
      </c>
      <c r="AH145" s="42" t="str">
        <f t="shared" si="11"/>
        <v>Kevin Luburd|April</v>
      </c>
    </row>
    <row r="146" spans="1:34" hidden="1">
      <c r="A146" s="32">
        <v>2026</v>
      </c>
      <c r="B146" s="32" t="s">
        <v>83</v>
      </c>
      <c r="C146" s="32" t="s">
        <v>53</v>
      </c>
      <c r="D146" s="32" t="s">
        <v>55</v>
      </c>
      <c r="E146" s="33"/>
      <c r="F146" s="34" t="str">
        <f>IF(E146="","",IFERROR(VLOOKUP(E146,'Input &amp; Settings'!$F$5:$G$10,2,FALSE),""))</f>
        <v/>
      </c>
      <c r="G146" s="33"/>
      <c r="H146" s="33"/>
      <c r="I146" s="35"/>
      <c r="J146" s="33"/>
      <c r="K146" s="36"/>
      <c r="L146" s="35"/>
      <c r="M146" s="33"/>
      <c r="N146" s="33"/>
      <c r="O146" s="33"/>
      <c r="P146" s="33"/>
      <c r="Q146" s="37" t="str">
        <f>IF(G146="","",IFERROR(MIN(100,G146/'Input &amp; Settings'!$B$5*100),""))</f>
        <v/>
      </c>
      <c r="R146" s="37" t="str">
        <f>IF(H146="","",IFERROR(MIN(100,H146/'Input &amp; Settings'!$B$6*100),""))</f>
        <v/>
      </c>
      <c r="S146" s="37" t="str">
        <f>IF(I146="","",IFERROR(MIN(100,I146/'Input &amp; Settings'!$B$7*100),""))</f>
        <v/>
      </c>
      <c r="T146" s="37" t="str">
        <f>IF(J146="","",IFERROR(MIN(100,J146/'Input &amp; Settings'!$B$8*100),""))</f>
        <v/>
      </c>
      <c r="U146" s="37" t="str">
        <f>IF(K146="","",IFERROR(MIN(100,K146/'Input &amp; Settings'!$B$9*100),""))</f>
        <v/>
      </c>
      <c r="V146" s="37" t="str">
        <f>IF(L146="","",IFERROR(MIN(100,L146/'Input &amp; Settings'!$B$10*100),""))</f>
        <v/>
      </c>
      <c r="W146" s="37" t="str">
        <f>IF(M146="","",IFERROR(IF(M146&lt;='Input &amp; Settings'!$B$11,100,MAX(0,100-(M146-'Input &amp; Settings'!$B$11)*20)),""))</f>
        <v/>
      </c>
      <c r="X146" s="37" t="str">
        <f>IF(N146="","",IFERROR(MIN(100,N146/'Input &amp; Settings'!$B$12*100),""))</f>
        <v/>
      </c>
      <c r="Y146" s="37" t="str">
        <f>IF(O146="","",IFERROR(MIN(100,O146/'Input &amp; Settings'!$B$13*100),""))</f>
        <v/>
      </c>
      <c r="Z146" s="37" t="str">
        <f>IF(P146="","",IFERROR(IF(P146&lt;='Input &amp; Settings'!$B$14,100,MAX(0,100-(P146-'Input &amp; Settings'!$B$14)*20)),""))</f>
        <v/>
      </c>
      <c r="AA146" s="37" t="str">
        <f>IF(COUNTA(G146:P146)=0,"",ROUND(Q146*'Input &amp; Settings'!$C$5+R146*'Input &amp; Settings'!$C$6+S146*'Input &amp; Settings'!$C$7+T146*'Input &amp; Settings'!$C$8+U146*'Input &amp; Settings'!$C$9+V146*'Input &amp; Settings'!$C$10+W146*'Input &amp; Settings'!$C$11+X146*'Input &amp; Settings'!$C$12+Y146*'Input &amp; Settings'!$C$13+Z146*'Input &amp; Settings'!$C$14,1))</f>
        <v/>
      </c>
      <c r="AB146" s="38" t="str">
        <f>IF(OR(AA146="",E146=""),"",IFERROR(IF(AA146&gt;=VLOOKUP(E146,'Input &amp; Settings'!$F$5:$K$10,3,FALSE),"Outstanding",IF(AA146&gt;=VLOOKUP(E146,'Input &amp; Settings'!$F$5:$K$10,4,FALSE),"Exceeds Expectations",IF(AA146&gt;=VLOOKUP(E146,'Input &amp; Settings'!$F$5:$K$10,5,FALSE),"Meets Expectations",IF(AA146&gt;=VLOOKUP(E146,'Input &amp; Settings'!$F$5:$K$10,6,FALSE),"Needs Improvement","Performance Improvement Required")))),""))</f>
        <v/>
      </c>
      <c r="AC146" s="38" t="str">
        <f t="shared" si="8"/>
        <v/>
      </c>
      <c r="AD146" s="39"/>
      <c r="AE146" s="40"/>
      <c r="AF146" s="41" t="str">
        <f t="shared" si="9"/>
        <v/>
      </c>
      <c r="AG146" s="42" t="str">
        <f t="shared" si="10"/>
        <v/>
      </c>
      <c r="AH146" s="42" t="str">
        <f t="shared" si="11"/>
        <v>Anthony Thompson|April</v>
      </c>
    </row>
    <row r="147" spans="1:34" hidden="1">
      <c r="A147" s="32">
        <v>2026</v>
      </c>
      <c r="B147" s="32" t="s">
        <v>83</v>
      </c>
      <c r="C147" s="32" t="s">
        <v>53</v>
      </c>
      <c r="D147" s="32" t="s">
        <v>56</v>
      </c>
      <c r="E147" s="33"/>
      <c r="F147" s="34" t="str">
        <f>IF(E147="","",IFERROR(VLOOKUP(E147,'Input &amp; Settings'!$F$5:$G$10,2,FALSE),""))</f>
        <v/>
      </c>
      <c r="G147" s="33"/>
      <c r="H147" s="33"/>
      <c r="I147" s="35"/>
      <c r="J147" s="33"/>
      <c r="K147" s="36"/>
      <c r="L147" s="35"/>
      <c r="M147" s="33"/>
      <c r="N147" s="33"/>
      <c r="O147" s="33"/>
      <c r="P147" s="33"/>
      <c r="Q147" s="37" t="str">
        <f>IF(G147="","",IFERROR(MIN(100,G147/'Input &amp; Settings'!$B$5*100),""))</f>
        <v/>
      </c>
      <c r="R147" s="37" t="str">
        <f>IF(H147="","",IFERROR(MIN(100,H147/'Input &amp; Settings'!$B$6*100),""))</f>
        <v/>
      </c>
      <c r="S147" s="37" t="str">
        <f>IF(I147="","",IFERROR(MIN(100,I147/'Input &amp; Settings'!$B$7*100),""))</f>
        <v/>
      </c>
      <c r="T147" s="37" t="str">
        <f>IF(J147="","",IFERROR(MIN(100,J147/'Input &amp; Settings'!$B$8*100),""))</f>
        <v/>
      </c>
      <c r="U147" s="37" t="str">
        <f>IF(K147="","",IFERROR(MIN(100,K147/'Input &amp; Settings'!$B$9*100),""))</f>
        <v/>
      </c>
      <c r="V147" s="37" t="str">
        <f>IF(L147="","",IFERROR(MIN(100,L147/'Input &amp; Settings'!$B$10*100),""))</f>
        <v/>
      </c>
      <c r="W147" s="37" t="str">
        <f>IF(M147="","",IFERROR(IF(M147&lt;='Input &amp; Settings'!$B$11,100,MAX(0,100-(M147-'Input &amp; Settings'!$B$11)*20)),""))</f>
        <v/>
      </c>
      <c r="X147" s="37" t="str">
        <f>IF(N147="","",IFERROR(MIN(100,N147/'Input &amp; Settings'!$B$12*100),""))</f>
        <v/>
      </c>
      <c r="Y147" s="37" t="str">
        <f>IF(O147="","",IFERROR(MIN(100,O147/'Input &amp; Settings'!$B$13*100),""))</f>
        <v/>
      </c>
      <c r="Z147" s="37" t="str">
        <f>IF(P147="","",IFERROR(IF(P147&lt;='Input &amp; Settings'!$B$14,100,MAX(0,100-(P147-'Input &amp; Settings'!$B$14)*20)),""))</f>
        <v/>
      </c>
      <c r="AA147" s="37" t="str">
        <f>IF(COUNTA(G147:P147)=0,"",ROUND(Q147*'Input &amp; Settings'!$C$5+R147*'Input &amp; Settings'!$C$6+S147*'Input &amp; Settings'!$C$7+T147*'Input &amp; Settings'!$C$8+U147*'Input &amp; Settings'!$C$9+V147*'Input &amp; Settings'!$C$10+W147*'Input &amp; Settings'!$C$11+X147*'Input &amp; Settings'!$C$12+Y147*'Input &amp; Settings'!$C$13+Z147*'Input &amp; Settings'!$C$14,1))</f>
        <v/>
      </c>
      <c r="AB147" s="38" t="str">
        <f>IF(OR(AA147="",E147=""),"",IFERROR(IF(AA147&gt;=VLOOKUP(E147,'Input &amp; Settings'!$F$5:$K$10,3,FALSE),"Outstanding",IF(AA147&gt;=VLOOKUP(E147,'Input &amp; Settings'!$F$5:$K$10,4,FALSE),"Exceeds Expectations",IF(AA147&gt;=VLOOKUP(E147,'Input &amp; Settings'!$F$5:$K$10,5,FALSE),"Meets Expectations",IF(AA147&gt;=VLOOKUP(E147,'Input &amp; Settings'!$F$5:$K$10,6,FALSE),"Needs Improvement","Performance Improvement Required")))),""))</f>
        <v/>
      </c>
      <c r="AC147" s="38" t="str">
        <f t="shared" si="8"/>
        <v/>
      </c>
      <c r="AD147" s="39"/>
      <c r="AE147" s="40"/>
      <c r="AF147" s="41" t="str">
        <f t="shared" si="9"/>
        <v/>
      </c>
      <c r="AG147" s="42" t="str">
        <f t="shared" si="10"/>
        <v/>
      </c>
      <c r="AH147" s="42" t="str">
        <f t="shared" si="11"/>
        <v>Shamar Modeste|April</v>
      </c>
    </row>
    <row r="148" spans="1:34" hidden="1">
      <c r="A148" s="32">
        <v>2026</v>
      </c>
      <c r="B148" s="32" t="s">
        <v>83</v>
      </c>
      <c r="C148" s="32" t="s">
        <v>53</v>
      </c>
      <c r="D148" s="32" t="s">
        <v>57</v>
      </c>
      <c r="E148" s="33"/>
      <c r="F148" s="34" t="str">
        <f>IF(E148="","",IFERROR(VLOOKUP(E148,'Input &amp; Settings'!$F$5:$G$10,2,FALSE),""))</f>
        <v/>
      </c>
      <c r="G148" s="33"/>
      <c r="H148" s="33"/>
      <c r="I148" s="35"/>
      <c r="J148" s="33"/>
      <c r="K148" s="36"/>
      <c r="L148" s="35"/>
      <c r="M148" s="33"/>
      <c r="N148" s="33"/>
      <c r="O148" s="33"/>
      <c r="P148" s="33"/>
      <c r="Q148" s="37" t="str">
        <f>IF(G148="","",IFERROR(MIN(100,G148/'Input &amp; Settings'!$B$5*100),""))</f>
        <v/>
      </c>
      <c r="R148" s="37" t="str">
        <f>IF(H148="","",IFERROR(MIN(100,H148/'Input &amp; Settings'!$B$6*100),""))</f>
        <v/>
      </c>
      <c r="S148" s="37" t="str">
        <f>IF(I148="","",IFERROR(MIN(100,I148/'Input &amp; Settings'!$B$7*100),""))</f>
        <v/>
      </c>
      <c r="T148" s="37" t="str">
        <f>IF(J148="","",IFERROR(MIN(100,J148/'Input &amp; Settings'!$B$8*100),""))</f>
        <v/>
      </c>
      <c r="U148" s="37" t="str">
        <f>IF(K148="","",IFERROR(MIN(100,K148/'Input &amp; Settings'!$B$9*100),""))</f>
        <v/>
      </c>
      <c r="V148" s="37" t="str">
        <f>IF(L148="","",IFERROR(MIN(100,L148/'Input &amp; Settings'!$B$10*100),""))</f>
        <v/>
      </c>
      <c r="W148" s="37" t="str">
        <f>IF(M148="","",IFERROR(IF(M148&lt;='Input &amp; Settings'!$B$11,100,MAX(0,100-(M148-'Input &amp; Settings'!$B$11)*20)),""))</f>
        <v/>
      </c>
      <c r="X148" s="37" t="str">
        <f>IF(N148="","",IFERROR(MIN(100,N148/'Input &amp; Settings'!$B$12*100),""))</f>
        <v/>
      </c>
      <c r="Y148" s="37" t="str">
        <f>IF(O148="","",IFERROR(MIN(100,O148/'Input &amp; Settings'!$B$13*100),""))</f>
        <v/>
      </c>
      <c r="Z148" s="37" t="str">
        <f>IF(P148="","",IFERROR(IF(P148&lt;='Input &amp; Settings'!$B$14,100,MAX(0,100-(P148-'Input &amp; Settings'!$B$14)*20)),""))</f>
        <v/>
      </c>
      <c r="AA148" s="37" t="str">
        <f>IF(COUNTA(G148:P148)=0,"",ROUND(Q148*'Input &amp; Settings'!$C$5+R148*'Input &amp; Settings'!$C$6+S148*'Input &amp; Settings'!$C$7+T148*'Input &amp; Settings'!$C$8+U148*'Input &amp; Settings'!$C$9+V148*'Input &amp; Settings'!$C$10+W148*'Input &amp; Settings'!$C$11+X148*'Input &amp; Settings'!$C$12+Y148*'Input &amp; Settings'!$C$13+Z148*'Input &amp; Settings'!$C$14,1))</f>
        <v/>
      </c>
      <c r="AB148" s="38" t="str">
        <f>IF(OR(AA148="",E148=""),"",IFERROR(IF(AA148&gt;=VLOOKUP(E148,'Input &amp; Settings'!$F$5:$K$10,3,FALSE),"Outstanding",IF(AA148&gt;=VLOOKUP(E148,'Input &amp; Settings'!$F$5:$K$10,4,FALSE),"Exceeds Expectations",IF(AA148&gt;=VLOOKUP(E148,'Input &amp; Settings'!$F$5:$K$10,5,FALSE),"Meets Expectations",IF(AA148&gt;=VLOOKUP(E148,'Input &amp; Settings'!$F$5:$K$10,6,FALSE),"Needs Improvement","Performance Improvement Required")))),""))</f>
        <v/>
      </c>
      <c r="AC148" s="38" t="str">
        <f t="shared" si="8"/>
        <v/>
      </c>
      <c r="AD148" s="39"/>
      <c r="AE148" s="40"/>
      <c r="AF148" s="41" t="str">
        <f t="shared" si="9"/>
        <v/>
      </c>
      <c r="AG148" s="42" t="str">
        <f t="shared" si="10"/>
        <v/>
      </c>
      <c r="AH148" s="42" t="str">
        <f t="shared" si="11"/>
        <v>Steven Morejon|April</v>
      </c>
    </row>
    <row r="149" spans="1:34" hidden="1">
      <c r="A149" s="32">
        <v>2026</v>
      </c>
      <c r="B149" s="32" t="s">
        <v>83</v>
      </c>
      <c r="C149" s="32" t="s">
        <v>53</v>
      </c>
      <c r="D149" s="32" t="s">
        <v>58</v>
      </c>
      <c r="E149" s="33"/>
      <c r="F149" s="34" t="str">
        <f>IF(E149="","",IFERROR(VLOOKUP(E149,'Input &amp; Settings'!$F$5:$G$10,2,FALSE),""))</f>
        <v/>
      </c>
      <c r="G149" s="33"/>
      <c r="H149" s="33"/>
      <c r="I149" s="35"/>
      <c r="J149" s="33"/>
      <c r="K149" s="36"/>
      <c r="L149" s="35"/>
      <c r="M149" s="33"/>
      <c r="N149" s="33"/>
      <c r="O149" s="33"/>
      <c r="P149" s="33"/>
      <c r="Q149" s="37" t="str">
        <f>IF(G149="","",IFERROR(MIN(100,G149/'Input &amp; Settings'!$B$5*100),""))</f>
        <v/>
      </c>
      <c r="R149" s="37" t="str">
        <f>IF(H149="","",IFERROR(MIN(100,H149/'Input &amp; Settings'!$B$6*100),""))</f>
        <v/>
      </c>
      <c r="S149" s="37" t="str">
        <f>IF(I149="","",IFERROR(MIN(100,I149/'Input &amp; Settings'!$B$7*100),""))</f>
        <v/>
      </c>
      <c r="T149" s="37" t="str">
        <f>IF(J149="","",IFERROR(MIN(100,J149/'Input &amp; Settings'!$B$8*100),""))</f>
        <v/>
      </c>
      <c r="U149" s="37" t="str">
        <f>IF(K149="","",IFERROR(MIN(100,K149/'Input &amp; Settings'!$B$9*100),""))</f>
        <v/>
      </c>
      <c r="V149" s="37" t="str">
        <f>IF(L149="","",IFERROR(MIN(100,L149/'Input &amp; Settings'!$B$10*100),""))</f>
        <v/>
      </c>
      <c r="W149" s="37" t="str">
        <f>IF(M149="","",IFERROR(IF(M149&lt;='Input &amp; Settings'!$B$11,100,MAX(0,100-(M149-'Input &amp; Settings'!$B$11)*20)),""))</f>
        <v/>
      </c>
      <c r="X149" s="37" t="str">
        <f>IF(N149="","",IFERROR(MIN(100,N149/'Input &amp; Settings'!$B$12*100),""))</f>
        <v/>
      </c>
      <c r="Y149" s="37" t="str">
        <f>IF(O149="","",IFERROR(MIN(100,O149/'Input &amp; Settings'!$B$13*100),""))</f>
        <v/>
      </c>
      <c r="Z149" s="37" t="str">
        <f>IF(P149="","",IFERROR(IF(P149&lt;='Input &amp; Settings'!$B$14,100,MAX(0,100-(P149-'Input &amp; Settings'!$B$14)*20)),""))</f>
        <v/>
      </c>
      <c r="AA149" s="37" t="str">
        <f>IF(COUNTA(G149:P149)=0,"",ROUND(Q149*'Input &amp; Settings'!$C$5+R149*'Input &amp; Settings'!$C$6+S149*'Input &amp; Settings'!$C$7+T149*'Input &amp; Settings'!$C$8+U149*'Input &amp; Settings'!$C$9+V149*'Input &amp; Settings'!$C$10+W149*'Input &amp; Settings'!$C$11+X149*'Input &amp; Settings'!$C$12+Y149*'Input &amp; Settings'!$C$13+Z149*'Input &amp; Settings'!$C$14,1))</f>
        <v/>
      </c>
      <c r="AB149" s="38" t="str">
        <f>IF(OR(AA149="",E149=""),"",IFERROR(IF(AA149&gt;=VLOOKUP(E149,'Input &amp; Settings'!$F$5:$K$10,3,FALSE),"Outstanding",IF(AA149&gt;=VLOOKUP(E149,'Input &amp; Settings'!$F$5:$K$10,4,FALSE),"Exceeds Expectations",IF(AA149&gt;=VLOOKUP(E149,'Input &amp; Settings'!$F$5:$K$10,5,FALSE),"Meets Expectations",IF(AA149&gt;=VLOOKUP(E149,'Input &amp; Settings'!$F$5:$K$10,6,FALSE),"Needs Improvement","Performance Improvement Required")))),""))</f>
        <v/>
      </c>
      <c r="AC149" s="38" t="str">
        <f t="shared" si="8"/>
        <v/>
      </c>
      <c r="AD149" s="39"/>
      <c r="AE149" s="40"/>
      <c r="AF149" s="41" t="str">
        <f t="shared" si="9"/>
        <v/>
      </c>
      <c r="AG149" s="42" t="str">
        <f t="shared" si="10"/>
        <v/>
      </c>
      <c r="AH149" s="42" t="str">
        <f t="shared" si="11"/>
        <v>Nicolas Abello|April</v>
      </c>
    </row>
    <row r="150" spans="1:34" hidden="1">
      <c r="A150" s="32">
        <v>2026</v>
      </c>
      <c r="B150" s="32" t="s">
        <v>83</v>
      </c>
      <c r="C150" s="32" t="s">
        <v>53</v>
      </c>
      <c r="D150" s="32" t="s">
        <v>59</v>
      </c>
      <c r="E150" s="33"/>
      <c r="F150" s="34" t="str">
        <f>IF(E150="","",IFERROR(VLOOKUP(E150,'Input &amp; Settings'!$F$5:$G$10,2,FALSE),""))</f>
        <v/>
      </c>
      <c r="G150" s="33"/>
      <c r="H150" s="33"/>
      <c r="I150" s="35"/>
      <c r="J150" s="33"/>
      <c r="K150" s="36"/>
      <c r="L150" s="35"/>
      <c r="M150" s="33"/>
      <c r="N150" s="33"/>
      <c r="O150" s="33"/>
      <c r="P150" s="33"/>
      <c r="Q150" s="37" t="str">
        <f>IF(G150="","",IFERROR(MIN(100,G150/'Input &amp; Settings'!$B$5*100),""))</f>
        <v/>
      </c>
      <c r="R150" s="37" t="str">
        <f>IF(H150="","",IFERROR(MIN(100,H150/'Input &amp; Settings'!$B$6*100),""))</f>
        <v/>
      </c>
      <c r="S150" s="37" t="str">
        <f>IF(I150="","",IFERROR(MIN(100,I150/'Input &amp; Settings'!$B$7*100),""))</f>
        <v/>
      </c>
      <c r="T150" s="37" t="str">
        <f>IF(J150="","",IFERROR(MIN(100,J150/'Input &amp; Settings'!$B$8*100),""))</f>
        <v/>
      </c>
      <c r="U150" s="37" t="str">
        <f>IF(K150="","",IFERROR(MIN(100,K150/'Input &amp; Settings'!$B$9*100),""))</f>
        <v/>
      </c>
      <c r="V150" s="37" t="str">
        <f>IF(L150="","",IFERROR(MIN(100,L150/'Input &amp; Settings'!$B$10*100),""))</f>
        <v/>
      </c>
      <c r="W150" s="37" t="str">
        <f>IF(M150="","",IFERROR(IF(M150&lt;='Input &amp; Settings'!$B$11,100,MAX(0,100-(M150-'Input &amp; Settings'!$B$11)*20)),""))</f>
        <v/>
      </c>
      <c r="X150" s="37" t="str">
        <f>IF(N150="","",IFERROR(MIN(100,N150/'Input &amp; Settings'!$B$12*100),""))</f>
        <v/>
      </c>
      <c r="Y150" s="37" t="str">
        <f>IF(O150="","",IFERROR(MIN(100,O150/'Input &amp; Settings'!$B$13*100),""))</f>
        <v/>
      </c>
      <c r="Z150" s="37" t="str">
        <f>IF(P150="","",IFERROR(IF(P150&lt;='Input &amp; Settings'!$B$14,100,MAX(0,100-(P150-'Input &amp; Settings'!$B$14)*20)),""))</f>
        <v/>
      </c>
      <c r="AA150" s="37" t="str">
        <f>IF(COUNTA(G150:P150)=0,"",ROUND(Q150*'Input &amp; Settings'!$C$5+R150*'Input &amp; Settings'!$C$6+S150*'Input &amp; Settings'!$C$7+T150*'Input &amp; Settings'!$C$8+U150*'Input &amp; Settings'!$C$9+V150*'Input &amp; Settings'!$C$10+W150*'Input &amp; Settings'!$C$11+X150*'Input &amp; Settings'!$C$12+Y150*'Input &amp; Settings'!$C$13+Z150*'Input &amp; Settings'!$C$14,1))</f>
        <v/>
      </c>
      <c r="AB150" s="38" t="str">
        <f>IF(OR(AA150="",E150=""),"",IFERROR(IF(AA150&gt;=VLOOKUP(E150,'Input &amp; Settings'!$F$5:$K$10,3,FALSE),"Outstanding",IF(AA150&gt;=VLOOKUP(E150,'Input &amp; Settings'!$F$5:$K$10,4,FALSE),"Exceeds Expectations",IF(AA150&gt;=VLOOKUP(E150,'Input &amp; Settings'!$F$5:$K$10,5,FALSE),"Meets Expectations",IF(AA150&gt;=VLOOKUP(E150,'Input &amp; Settings'!$F$5:$K$10,6,FALSE),"Needs Improvement","Performance Improvement Required")))),""))</f>
        <v/>
      </c>
      <c r="AC150" s="38" t="str">
        <f t="shared" si="8"/>
        <v/>
      </c>
      <c r="AD150" s="39"/>
      <c r="AE150" s="40"/>
      <c r="AF150" s="41" t="str">
        <f t="shared" si="9"/>
        <v/>
      </c>
      <c r="AG150" s="42" t="str">
        <f t="shared" si="10"/>
        <v/>
      </c>
      <c r="AH150" s="42" t="str">
        <f t="shared" si="11"/>
        <v>Carlos Espinosa|April</v>
      </c>
    </row>
    <row r="151" spans="1:34" hidden="1">
      <c r="A151" s="32">
        <v>2026</v>
      </c>
      <c r="B151" s="32" t="s">
        <v>83</v>
      </c>
      <c r="C151" s="32" t="s">
        <v>53</v>
      </c>
      <c r="D151" s="32" t="s">
        <v>60</v>
      </c>
      <c r="E151" s="33"/>
      <c r="F151" s="34" t="str">
        <f>IF(E151="","",IFERROR(VLOOKUP(E151,'Input &amp; Settings'!$F$5:$G$10,2,FALSE),""))</f>
        <v/>
      </c>
      <c r="G151" s="33"/>
      <c r="H151" s="33"/>
      <c r="I151" s="35"/>
      <c r="J151" s="33"/>
      <c r="K151" s="36"/>
      <c r="L151" s="35"/>
      <c r="M151" s="33"/>
      <c r="N151" s="33"/>
      <c r="O151" s="33"/>
      <c r="P151" s="33"/>
      <c r="Q151" s="37" t="str">
        <f>IF(G151="","",IFERROR(MIN(100,G151/'Input &amp; Settings'!$B$5*100),""))</f>
        <v/>
      </c>
      <c r="R151" s="37" t="str">
        <f>IF(H151="","",IFERROR(MIN(100,H151/'Input &amp; Settings'!$B$6*100),""))</f>
        <v/>
      </c>
      <c r="S151" s="37" t="str">
        <f>IF(I151="","",IFERROR(MIN(100,I151/'Input &amp; Settings'!$B$7*100),""))</f>
        <v/>
      </c>
      <c r="T151" s="37" t="str">
        <f>IF(J151="","",IFERROR(MIN(100,J151/'Input &amp; Settings'!$B$8*100),""))</f>
        <v/>
      </c>
      <c r="U151" s="37" t="str">
        <f>IF(K151="","",IFERROR(MIN(100,K151/'Input &amp; Settings'!$B$9*100),""))</f>
        <v/>
      </c>
      <c r="V151" s="37" t="str">
        <f>IF(L151="","",IFERROR(MIN(100,L151/'Input &amp; Settings'!$B$10*100),""))</f>
        <v/>
      </c>
      <c r="W151" s="37" t="str">
        <f>IF(M151="","",IFERROR(IF(M151&lt;='Input &amp; Settings'!$B$11,100,MAX(0,100-(M151-'Input &amp; Settings'!$B$11)*20)),""))</f>
        <v/>
      </c>
      <c r="X151" s="37" t="str">
        <f>IF(N151="","",IFERROR(MIN(100,N151/'Input &amp; Settings'!$B$12*100),""))</f>
        <v/>
      </c>
      <c r="Y151" s="37" t="str">
        <f>IF(O151="","",IFERROR(MIN(100,O151/'Input &amp; Settings'!$B$13*100),""))</f>
        <v/>
      </c>
      <c r="Z151" s="37" t="str">
        <f>IF(P151="","",IFERROR(IF(P151&lt;='Input &amp; Settings'!$B$14,100,MAX(0,100-(P151-'Input &amp; Settings'!$B$14)*20)),""))</f>
        <v/>
      </c>
      <c r="AA151" s="37" t="str">
        <f>IF(COUNTA(G151:P151)=0,"",ROUND(Q151*'Input &amp; Settings'!$C$5+R151*'Input &amp; Settings'!$C$6+S151*'Input &amp; Settings'!$C$7+T151*'Input &amp; Settings'!$C$8+U151*'Input &amp; Settings'!$C$9+V151*'Input &amp; Settings'!$C$10+W151*'Input &amp; Settings'!$C$11+X151*'Input &amp; Settings'!$C$12+Y151*'Input &amp; Settings'!$C$13+Z151*'Input &amp; Settings'!$C$14,1))</f>
        <v/>
      </c>
      <c r="AB151" s="38" t="str">
        <f>IF(OR(AA151="",E151=""),"",IFERROR(IF(AA151&gt;=VLOOKUP(E151,'Input &amp; Settings'!$F$5:$K$10,3,FALSE),"Outstanding",IF(AA151&gt;=VLOOKUP(E151,'Input &amp; Settings'!$F$5:$K$10,4,FALSE),"Exceeds Expectations",IF(AA151&gt;=VLOOKUP(E151,'Input &amp; Settings'!$F$5:$K$10,5,FALSE),"Meets Expectations",IF(AA151&gt;=VLOOKUP(E151,'Input &amp; Settings'!$F$5:$K$10,6,FALSE),"Needs Improvement","Performance Improvement Required")))),""))</f>
        <v/>
      </c>
      <c r="AC151" s="38" t="str">
        <f t="shared" si="8"/>
        <v/>
      </c>
      <c r="AD151" s="39"/>
      <c r="AE151" s="40"/>
      <c r="AF151" s="41" t="str">
        <f t="shared" si="9"/>
        <v/>
      </c>
      <c r="AG151" s="42" t="str">
        <f t="shared" si="10"/>
        <v/>
      </c>
      <c r="AH151" s="42" t="str">
        <f t="shared" si="11"/>
        <v>Fernando Barbera - Boyer|April</v>
      </c>
    </row>
    <row r="152" spans="1:34" hidden="1">
      <c r="A152" s="32">
        <v>2026</v>
      </c>
      <c r="B152" s="32" t="s">
        <v>83</v>
      </c>
      <c r="C152" s="32" t="s">
        <v>53</v>
      </c>
      <c r="D152" s="32" t="s">
        <v>61</v>
      </c>
      <c r="E152" s="33"/>
      <c r="F152" s="34" t="str">
        <f>IF(E152="","",IFERROR(VLOOKUP(E152,'Input &amp; Settings'!$F$5:$G$10,2,FALSE),""))</f>
        <v/>
      </c>
      <c r="G152" s="33"/>
      <c r="H152" s="33"/>
      <c r="I152" s="35"/>
      <c r="J152" s="33"/>
      <c r="K152" s="36"/>
      <c r="L152" s="35"/>
      <c r="M152" s="33"/>
      <c r="N152" s="33"/>
      <c r="O152" s="33"/>
      <c r="P152" s="33"/>
      <c r="Q152" s="37" t="str">
        <f>IF(G152="","",IFERROR(MIN(100,G152/'Input &amp; Settings'!$B$5*100),""))</f>
        <v/>
      </c>
      <c r="R152" s="37" t="str">
        <f>IF(H152="","",IFERROR(MIN(100,H152/'Input &amp; Settings'!$B$6*100),""))</f>
        <v/>
      </c>
      <c r="S152" s="37" t="str">
        <f>IF(I152="","",IFERROR(MIN(100,I152/'Input &amp; Settings'!$B$7*100),""))</f>
        <v/>
      </c>
      <c r="T152" s="37" t="str">
        <f>IF(J152="","",IFERROR(MIN(100,J152/'Input &amp; Settings'!$B$8*100),""))</f>
        <v/>
      </c>
      <c r="U152" s="37" t="str">
        <f>IF(K152="","",IFERROR(MIN(100,K152/'Input &amp; Settings'!$B$9*100),""))</f>
        <v/>
      </c>
      <c r="V152" s="37" t="str">
        <f>IF(L152="","",IFERROR(MIN(100,L152/'Input &amp; Settings'!$B$10*100),""))</f>
        <v/>
      </c>
      <c r="W152" s="37" t="str">
        <f>IF(M152="","",IFERROR(IF(M152&lt;='Input &amp; Settings'!$B$11,100,MAX(0,100-(M152-'Input &amp; Settings'!$B$11)*20)),""))</f>
        <v/>
      </c>
      <c r="X152" s="37" t="str">
        <f>IF(N152="","",IFERROR(MIN(100,N152/'Input &amp; Settings'!$B$12*100),""))</f>
        <v/>
      </c>
      <c r="Y152" s="37" t="str">
        <f>IF(O152="","",IFERROR(MIN(100,O152/'Input &amp; Settings'!$B$13*100),""))</f>
        <v/>
      </c>
      <c r="Z152" s="37" t="str">
        <f>IF(P152="","",IFERROR(IF(P152&lt;='Input &amp; Settings'!$B$14,100,MAX(0,100-(P152-'Input &amp; Settings'!$B$14)*20)),""))</f>
        <v/>
      </c>
      <c r="AA152" s="37" t="str">
        <f>IF(COUNTA(G152:P152)=0,"",ROUND(Q152*'Input &amp; Settings'!$C$5+R152*'Input &amp; Settings'!$C$6+S152*'Input &amp; Settings'!$C$7+T152*'Input &amp; Settings'!$C$8+U152*'Input &amp; Settings'!$C$9+V152*'Input &amp; Settings'!$C$10+W152*'Input &amp; Settings'!$C$11+X152*'Input &amp; Settings'!$C$12+Y152*'Input &amp; Settings'!$C$13+Z152*'Input &amp; Settings'!$C$14,1))</f>
        <v/>
      </c>
      <c r="AB152" s="38" t="str">
        <f>IF(OR(AA152="",E152=""),"",IFERROR(IF(AA152&gt;=VLOOKUP(E152,'Input &amp; Settings'!$F$5:$K$10,3,FALSE),"Outstanding",IF(AA152&gt;=VLOOKUP(E152,'Input &amp; Settings'!$F$5:$K$10,4,FALSE),"Exceeds Expectations",IF(AA152&gt;=VLOOKUP(E152,'Input &amp; Settings'!$F$5:$K$10,5,FALSE),"Meets Expectations",IF(AA152&gt;=VLOOKUP(E152,'Input &amp; Settings'!$F$5:$K$10,6,FALSE),"Needs Improvement","Performance Improvement Required")))),""))</f>
        <v/>
      </c>
      <c r="AC152" s="38" t="str">
        <f t="shared" si="8"/>
        <v/>
      </c>
      <c r="AD152" s="39"/>
      <c r="AE152" s="40"/>
      <c r="AF152" s="41" t="str">
        <f t="shared" si="9"/>
        <v/>
      </c>
      <c r="AG152" s="42" t="str">
        <f t="shared" si="10"/>
        <v/>
      </c>
      <c r="AH152" s="42" t="str">
        <f t="shared" si="11"/>
        <v>Miquelle Cordova|April</v>
      </c>
    </row>
    <row r="153" spans="1:34" hidden="1">
      <c r="A153" s="32">
        <v>2026</v>
      </c>
      <c r="B153" s="32" t="s">
        <v>83</v>
      </c>
      <c r="C153" s="32" t="s">
        <v>53</v>
      </c>
      <c r="D153" s="32" t="s">
        <v>62</v>
      </c>
      <c r="E153" s="33"/>
      <c r="F153" s="34" t="str">
        <f>IF(E153="","",IFERROR(VLOOKUP(E153,'Input &amp; Settings'!$F$5:$G$10,2,FALSE),""))</f>
        <v/>
      </c>
      <c r="G153" s="33"/>
      <c r="H153" s="33"/>
      <c r="I153" s="35"/>
      <c r="J153" s="33"/>
      <c r="K153" s="36"/>
      <c r="L153" s="35"/>
      <c r="M153" s="33"/>
      <c r="N153" s="33"/>
      <c r="O153" s="33"/>
      <c r="P153" s="33"/>
      <c r="Q153" s="37" t="str">
        <f>IF(G153="","",IFERROR(MIN(100,G153/'Input &amp; Settings'!$B$5*100),""))</f>
        <v/>
      </c>
      <c r="R153" s="37" t="str">
        <f>IF(H153="","",IFERROR(MIN(100,H153/'Input &amp; Settings'!$B$6*100),""))</f>
        <v/>
      </c>
      <c r="S153" s="37" t="str">
        <f>IF(I153="","",IFERROR(MIN(100,I153/'Input &amp; Settings'!$B$7*100),""))</f>
        <v/>
      </c>
      <c r="T153" s="37" t="str">
        <f>IF(J153="","",IFERROR(MIN(100,J153/'Input &amp; Settings'!$B$8*100),""))</f>
        <v/>
      </c>
      <c r="U153" s="37" t="str">
        <f>IF(K153="","",IFERROR(MIN(100,K153/'Input &amp; Settings'!$B$9*100),""))</f>
        <v/>
      </c>
      <c r="V153" s="37" t="str">
        <f>IF(L153="","",IFERROR(MIN(100,L153/'Input &amp; Settings'!$B$10*100),""))</f>
        <v/>
      </c>
      <c r="W153" s="37" t="str">
        <f>IF(M153="","",IFERROR(IF(M153&lt;='Input &amp; Settings'!$B$11,100,MAX(0,100-(M153-'Input &amp; Settings'!$B$11)*20)),""))</f>
        <v/>
      </c>
      <c r="X153" s="37" t="str">
        <f>IF(N153="","",IFERROR(MIN(100,N153/'Input &amp; Settings'!$B$12*100),""))</f>
        <v/>
      </c>
      <c r="Y153" s="37" t="str">
        <f>IF(O153="","",IFERROR(MIN(100,O153/'Input &amp; Settings'!$B$13*100),""))</f>
        <v/>
      </c>
      <c r="Z153" s="37" t="str">
        <f>IF(P153="","",IFERROR(IF(P153&lt;='Input &amp; Settings'!$B$14,100,MAX(0,100-(P153-'Input &amp; Settings'!$B$14)*20)),""))</f>
        <v/>
      </c>
      <c r="AA153" s="37" t="str">
        <f>IF(COUNTA(G153:P153)=0,"",ROUND(Q153*'Input &amp; Settings'!$C$5+R153*'Input &amp; Settings'!$C$6+S153*'Input &amp; Settings'!$C$7+T153*'Input &amp; Settings'!$C$8+U153*'Input &amp; Settings'!$C$9+V153*'Input &amp; Settings'!$C$10+W153*'Input &amp; Settings'!$C$11+X153*'Input &amp; Settings'!$C$12+Y153*'Input &amp; Settings'!$C$13+Z153*'Input &amp; Settings'!$C$14,1))</f>
        <v/>
      </c>
      <c r="AB153" s="38" t="str">
        <f>IF(OR(AA153="",E153=""),"",IFERROR(IF(AA153&gt;=VLOOKUP(E153,'Input &amp; Settings'!$F$5:$K$10,3,FALSE),"Outstanding",IF(AA153&gt;=VLOOKUP(E153,'Input &amp; Settings'!$F$5:$K$10,4,FALSE),"Exceeds Expectations",IF(AA153&gt;=VLOOKUP(E153,'Input &amp; Settings'!$F$5:$K$10,5,FALSE),"Meets Expectations",IF(AA153&gt;=VLOOKUP(E153,'Input &amp; Settings'!$F$5:$K$10,6,FALSE),"Needs Improvement","Performance Improvement Required")))),""))</f>
        <v/>
      </c>
      <c r="AC153" s="38" t="str">
        <f t="shared" si="8"/>
        <v/>
      </c>
      <c r="AD153" s="39"/>
      <c r="AE153" s="40"/>
      <c r="AF153" s="41" t="str">
        <f t="shared" si="9"/>
        <v/>
      </c>
      <c r="AG153" s="42" t="str">
        <f t="shared" si="10"/>
        <v/>
      </c>
      <c r="AH153" s="42" t="str">
        <f t="shared" si="11"/>
        <v>Daniel Sanchez|April</v>
      </c>
    </row>
    <row r="154" spans="1:34" hidden="1">
      <c r="A154" s="32">
        <v>2026</v>
      </c>
      <c r="B154" s="32" t="s">
        <v>83</v>
      </c>
      <c r="C154" s="32" t="s">
        <v>53</v>
      </c>
      <c r="D154" s="32" t="s">
        <v>63</v>
      </c>
      <c r="E154" s="33"/>
      <c r="F154" s="34" t="str">
        <f>IF(E154="","",IFERROR(VLOOKUP(E154,'Input &amp; Settings'!$F$5:$G$10,2,FALSE),""))</f>
        <v/>
      </c>
      <c r="G154" s="33"/>
      <c r="H154" s="33"/>
      <c r="I154" s="35"/>
      <c r="J154" s="33"/>
      <c r="K154" s="36"/>
      <c r="L154" s="35"/>
      <c r="M154" s="33"/>
      <c r="N154" s="33"/>
      <c r="O154" s="33"/>
      <c r="P154" s="33"/>
      <c r="Q154" s="37" t="str">
        <f>IF(G154="","",IFERROR(MIN(100,G154/'Input &amp; Settings'!$B$5*100),""))</f>
        <v/>
      </c>
      <c r="R154" s="37" t="str">
        <f>IF(H154="","",IFERROR(MIN(100,H154/'Input &amp; Settings'!$B$6*100),""))</f>
        <v/>
      </c>
      <c r="S154" s="37" t="str">
        <f>IF(I154="","",IFERROR(MIN(100,I154/'Input &amp; Settings'!$B$7*100),""))</f>
        <v/>
      </c>
      <c r="T154" s="37" t="str">
        <f>IF(J154="","",IFERROR(MIN(100,J154/'Input &amp; Settings'!$B$8*100),""))</f>
        <v/>
      </c>
      <c r="U154" s="37" t="str">
        <f>IF(K154="","",IFERROR(MIN(100,K154/'Input &amp; Settings'!$B$9*100),""))</f>
        <v/>
      </c>
      <c r="V154" s="37" t="str">
        <f>IF(L154="","",IFERROR(MIN(100,L154/'Input &amp; Settings'!$B$10*100),""))</f>
        <v/>
      </c>
      <c r="W154" s="37" t="str">
        <f>IF(M154="","",IFERROR(IF(M154&lt;='Input &amp; Settings'!$B$11,100,MAX(0,100-(M154-'Input &amp; Settings'!$B$11)*20)),""))</f>
        <v/>
      </c>
      <c r="X154" s="37" t="str">
        <f>IF(N154="","",IFERROR(MIN(100,N154/'Input &amp; Settings'!$B$12*100),""))</f>
        <v/>
      </c>
      <c r="Y154" s="37" t="str">
        <f>IF(O154="","",IFERROR(MIN(100,O154/'Input &amp; Settings'!$B$13*100),""))</f>
        <v/>
      </c>
      <c r="Z154" s="37" t="str">
        <f>IF(P154="","",IFERROR(IF(P154&lt;='Input &amp; Settings'!$B$14,100,MAX(0,100-(P154-'Input &amp; Settings'!$B$14)*20)),""))</f>
        <v/>
      </c>
      <c r="AA154" s="37" t="str">
        <f>IF(COUNTA(G154:P154)=0,"",ROUND(Q154*'Input &amp; Settings'!$C$5+R154*'Input &amp; Settings'!$C$6+S154*'Input &amp; Settings'!$C$7+T154*'Input &amp; Settings'!$C$8+U154*'Input &amp; Settings'!$C$9+V154*'Input &amp; Settings'!$C$10+W154*'Input &amp; Settings'!$C$11+X154*'Input &amp; Settings'!$C$12+Y154*'Input &amp; Settings'!$C$13+Z154*'Input &amp; Settings'!$C$14,1))</f>
        <v/>
      </c>
      <c r="AB154" s="38" t="str">
        <f>IF(OR(AA154="",E154=""),"",IFERROR(IF(AA154&gt;=VLOOKUP(E154,'Input &amp; Settings'!$F$5:$K$10,3,FALSE),"Outstanding",IF(AA154&gt;=VLOOKUP(E154,'Input &amp; Settings'!$F$5:$K$10,4,FALSE),"Exceeds Expectations",IF(AA154&gt;=VLOOKUP(E154,'Input &amp; Settings'!$F$5:$K$10,5,FALSE),"Meets Expectations",IF(AA154&gt;=VLOOKUP(E154,'Input &amp; Settings'!$F$5:$K$10,6,FALSE),"Needs Improvement","Performance Improvement Required")))),""))</f>
        <v/>
      </c>
      <c r="AC154" s="38" t="str">
        <f t="shared" si="8"/>
        <v/>
      </c>
      <c r="AD154" s="39"/>
      <c r="AE154" s="40"/>
      <c r="AF154" s="41" t="str">
        <f t="shared" si="9"/>
        <v/>
      </c>
      <c r="AG154" s="42" t="str">
        <f t="shared" si="10"/>
        <v/>
      </c>
      <c r="AH154" s="42" t="str">
        <f t="shared" si="11"/>
        <v>Braynon Edwards|April</v>
      </c>
    </row>
    <row r="155" spans="1:34" hidden="1">
      <c r="A155" s="32">
        <v>2026</v>
      </c>
      <c r="B155" s="32" t="s">
        <v>83</v>
      </c>
      <c r="C155" s="32" t="s">
        <v>53</v>
      </c>
      <c r="D155" s="32" t="s">
        <v>64</v>
      </c>
      <c r="E155" s="33"/>
      <c r="F155" s="34" t="str">
        <f>IF(E155="","",IFERROR(VLOOKUP(E155,'Input &amp; Settings'!$F$5:$G$10,2,FALSE),""))</f>
        <v/>
      </c>
      <c r="G155" s="33"/>
      <c r="H155" s="33"/>
      <c r="I155" s="35"/>
      <c r="J155" s="33"/>
      <c r="K155" s="36"/>
      <c r="L155" s="35"/>
      <c r="M155" s="33"/>
      <c r="N155" s="33"/>
      <c r="O155" s="33"/>
      <c r="P155" s="33"/>
      <c r="Q155" s="37" t="str">
        <f>IF(G155="","",IFERROR(MIN(100,G155/'Input &amp; Settings'!$B$5*100),""))</f>
        <v/>
      </c>
      <c r="R155" s="37" t="str">
        <f>IF(H155="","",IFERROR(MIN(100,H155/'Input &amp; Settings'!$B$6*100),""))</f>
        <v/>
      </c>
      <c r="S155" s="37" t="str">
        <f>IF(I155="","",IFERROR(MIN(100,I155/'Input &amp; Settings'!$B$7*100),""))</f>
        <v/>
      </c>
      <c r="T155" s="37" t="str">
        <f>IF(J155="","",IFERROR(MIN(100,J155/'Input &amp; Settings'!$B$8*100),""))</f>
        <v/>
      </c>
      <c r="U155" s="37" t="str">
        <f>IF(K155="","",IFERROR(MIN(100,K155/'Input &amp; Settings'!$B$9*100),""))</f>
        <v/>
      </c>
      <c r="V155" s="37" t="str">
        <f>IF(L155="","",IFERROR(MIN(100,L155/'Input &amp; Settings'!$B$10*100),""))</f>
        <v/>
      </c>
      <c r="W155" s="37" t="str">
        <f>IF(M155="","",IFERROR(IF(M155&lt;='Input &amp; Settings'!$B$11,100,MAX(0,100-(M155-'Input &amp; Settings'!$B$11)*20)),""))</f>
        <v/>
      </c>
      <c r="X155" s="37" t="str">
        <f>IF(N155="","",IFERROR(MIN(100,N155/'Input &amp; Settings'!$B$12*100),""))</f>
        <v/>
      </c>
      <c r="Y155" s="37" t="str">
        <f>IF(O155="","",IFERROR(MIN(100,O155/'Input &amp; Settings'!$B$13*100),""))</f>
        <v/>
      </c>
      <c r="Z155" s="37" t="str">
        <f>IF(P155="","",IFERROR(IF(P155&lt;='Input &amp; Settings'!$B$14,100,MAX(0,100-(P155-'Input &amp; Settings'!$B$14)*20)),""))</f>
        <v/>
      </c>
      <c r="AA155" s="37" t="str">
        <f>IF(COUNTA(G155:P155)=0,"",ROUND(Q155*'Input &amp; Settings'!$C$5+R155*'Input &amp; Settings'!$C$6+S155*'Input &amp; Settings'!$C$7+T155*'Input &amp; Settings'!$C$8+U155*'Input &amp; Settings'!$C$9+V155*'Input &amp; Settings'!$C$10+W155*'Input &amp; Settings'!$C$11+X155*'Input &amp; Settings'!$C$12+Y155*'Input &amp; Settings'!$C$13+Z155*'Input &amp; Settings'!$C$14,1))</f>
        <v/>
      </c>
      <c r="AB155" s="38" t="str">
        <f>IF(OR(AA155="",E155=""),"",IFERROR(IF(AA155&gt;=VLOOKUP(E155,'Input &amp; Settings'!$F$5:$K$10,3,FALSE),"Outstanding",IF(AA155&gt;=VLOOKUP(E155,'Input &amp; Settings'!$F$5:$K$10,4,FALSE),"Exceeds Expectations",IF(AA155&gt;=VLOOKUP(E155,'Input &amp; Settings'!$F$5:$K$10,5,FALSE),"Meets Expectations",IF(AA155&gt;=VLOOKUP(E155,'Input &amp; Settings'!$F$5:$K$10,6,FALSE),"Needs Improvement","Performance Improvement Required")))),""))</f>
        <v/>
      </c>
      <c r="AC155" s="38" t="str">
        <f t="shared" si="8"/>
        <v/>
      </c>
      <c r="AD155" s="39"/>
      <c r="AE155" s="40"/>
      <c r="AF155" s="41" t="str">
        <f t="shared" si="9"/>
        <v/>
      </c>
      <c r="AG155" s="42" t="str">
        <f t="shared" si="10"/>
        <v/>
      </c>
      <c r="AH155" s="42" t="str">
        <f t="shared" si="11"/>
        <v>Sebastian Lopez|April</v>
      </c>
    </row>
    <row r="156" spans="1:34" hidden="1">
      <c r="A156" s="32">
        <v>2026</v>
      </c>
      <c r="B156" s="32" t="s">
        <v>83</v>
      </c>
      <c r="C156" s="32" t="s">
        <v>53</v>
      </c>
      <c r="D156" s="32" t="s">
        <v>65</v>
      </c>
      <c r="E156" s="33"/>
      <c r="F156" s="34" t="str">
        <f>IF(E156="","",IFERROR(VLOOKUP(E156,'Input &amp; Settings'!$F$5:$G$10,2,FALSE),""))</f>
        <v/>
      </c>
      <c r="G156" s="33"/>
      <c r="H156" s="33"/>
      <c r="I156" s="35"/>
      <c r="J156" s="33"/>
      <c r="K156" s="36"/>
      <c r="L156" s="35"/>
      <c r="M156" s="33"/>
      <c r="N156" s="33"/>
      <c r="O156" s="33"/>
      <c r="P156" s="33"/>
      <c r="Q156" s="37" t="str">
        <f>IF(G156="","",IFERROR(MIN(100,G156/'Input &amp; Settings'!$B$5*100),""))</f>
        <v/>
      </c>
      <c r="R156" s="37" t="str">
        <f>IF(H156="","",IFERROR(MIN(100,H156/'Input &amp; Settings'!$B$6*100),""))</f>
        <v/>
      </c>
      <c r="S156" s="37" t="str">
        <f>IF(I156="","",IFERROR(MIN(100,I156/'Input &amp; Settings'!$B$7*100),""))</f>
        <v/>
      </c>
      <c r="T156" s="37" t="str">
        <f>IF(J156="","",IFERROR(MIN(100,J156/'Input &amp; Settings'!$B$8*100),""))</f>
        <v/>
      </c>
      <c r="U156" s="37" t="str">
        <f>IF(K156="","",IFERROR(MIN(100,K156/'Input &amp; Settings'!$B$9*100),""))</f>
        <v/>
      </c>
      <c r="V156" s="37" t="str">
        <f>IF(L156="","",IFERROR(MIN(100,L156/'Input &amp; Settings'!$B$10*100),""))</f>
        <v/>
      </c>
      <c r="W156" s="37" t="str">
        <f>IF(M156="","",IFERROR(IF(M156&lt;='Input &amp; Settings'!$B$11,100,MAX(0,100-(M156-'Input &amp; Settings'!$B$11)*20)),""))</f>
        <v/>
      </c>
      <c r="X156" s="37" t="str">
        <f>IF(N156="","",IFERROR(MIN(100,N156/'Input &amp; Settings'!$B$12*100),""))</f>
        <v/>
      </c>
      <c r="Y156" s="37" t="str">
        <f>IF(O156="","",IFERROR(MIN(100,O156/'Input &amp; Settings'!$B$13*100),""))</f>
        <v/>
      </c>
      <c r="Z156" s="37" t="str">
        <f>IF(P156="","",IFERROR(IF(P156&lt;='Input &amp; Settings'!$B$14,100,MAX(0,100-(P156-'Input &amp; Settings'!$B$14)*20)),""))</f>
        <v/>
      </c>
      <c r="AA156" s="37" t="str">
        <f>IF(COUNTA(G156:P156)=0,"",ROUND(Q156*'Input &amp; Settings'!$C$5+R156*'Input &amp; Settings'!$C$6+S156*'Input &amp; Settings'!$C$7+T156*'Input &amp; Settings'!$C$8+U156*'Input &amp; Settings'!$C$9+V156*'Input &amp; Settings'!$C$10+W156*'Input &amp; Settings'!$C$11+X156*'Input &amp; Settings'!$C$12+Y156*'Input &amp; Settings'!$C$13+Z156*'Input &amp; Settings'!$C$14,1))</f>
        <v/>
      </c>
      <c r="AB156" s="38" t="str">
        <f>IF(OR(AA156="",E156=""),"",IFERROR(IF(AA156&gt;=VLOOKUP(E156,'Input &amp; Settings'!$F$5:$K$10,3,FALSE),"Outstanding",IF(AA156&gt;=VLOOKUP(E156,'Input &amp; Settings'!$F$5:$K$10,4,FALSE),"Exceeds Expectations",IF(AA156&gt;=VLOOKUP(E156,'Input &amp; Settings'!$F$5:$K$10,5,FALSE),"Meets Expectations",IF(AA156&gt;=VLOOKUP(E156,'Input &amp; Settings'!$F$5:$K$10,6,FALSE),"Needs Improvement","Performance Improvement Required")))),""))</f>
        <v/>
      </c>
      <c r="AC156" s="38" t="str">
        <f t="shared" si="8"/>
        <v/>
      </c>
      <c r="AD156" s="39"/>
      <c r="AE156" s="40"/>
      <c r="AF156" s="41" t="str">
        <f t="shared" si="9"/>
        <v/>
      </c>
      <c r="AG156" s="42" t="str">
        <f t="shared" si="10"/>
        <v/>
      </c>
      <c r="AH156" s="42" t="str">
        <f t="shared" si="11"/>
        <v>Lucas Degomme|April</v>
      </c>
    </row>
    <row r="157" spans="1:34" hidden="1">
      <c r="A157" s="32">
        <v>2026</v>
      </c>
      <c r="B157" s="32" t="s">
        <v>83</v>
      </c>
      <c r="C157" s="32" t="s">
        <v>53</v>
      </c>
      <c r="D157" s="32" t="s">
        <v>66</v>
      </c>
      <c r="E157" s="33"/>
      <c r="F157" s="34" t="str">
        <f>IF(E157="","",IFERROR(VLOOKUP(E157,'Input &amp; Settings'!$F$5:$G$10,2,FALSE),""))</f>
        <v/>
      </c>
      <c r="G157" s="33"/>
      <c r="H157" s="33"/>
      <c r="I157" s="35"/>
      <c r="J157" s="33"/>
      <c r="K157" s="36"/>
      <c r="L157" s="35"/>
      <c r="M157" s="33"/>
      <c r="N157" s="33"/>
      <c r="O157" s="33"/>
      <c r="P157" s="33"/>
      <c r="Q157" s="37" t="str">
        <f>IF(G157="","",IFERROR(MIN(100,G157/'Input &amp; Settings'!$B$5*100),""))</f>
        <v/>
      </c>
      <c r="R157" s="37" t="str">
        <f>IF(H157="","",IFERROR(MIN(100,H157/'Input &amp; Settings'!$B$6*100),""))</f>
        <v/>
      </c>
      <c r="S157" s="37" t="str">
        <f>IF(I157="","",IFERROR(MIN(100,I157/'Input &amp; Settings'!$B$7*100),""))</f>
        <v/>
      </c>
      <c r="T157" s="37" t="str">
        <f>IF(J157="","",IFERROR(MIN(100,J157/'Input &amp; Settings'!$B$8*100),""))</f>
        <v/>
      </c>
      <c r="U157" s="37" t="str">
        <f>IF(K157="","",IFERROR(MIN(100,K157/'Input &amp; Settings'!$B$9*100),""))</f>
        <v/>
      </c>
      <c r="V157" s="37" t="str">
        <f>IF(L157="","",IFERROR(MIN(100,L157/'Input &amp; Settings'!$B$10*100),""))</f>
        <v/>
      </c>
      <c r="W157" s="37" t="str">
        <f>IF(M157="","",IFERROR(IF(M157&lt;='Input &amp; Settings'!$B$11,100,MAX(0,100-(M157-'Input &amp; Settings'!$B$11)*20)),""))</f>
        <v/>
      </c>
      <c r="X157" s="37" t="str">
        <f>IF(N157="","",IFERROR(MIN(100,N157/'Input &amp; Settings'!$B$12*100),""))</f>
        <v/>
      </c>
      <c r="Y157" s="37" t="str">
        <f>IF(O157="","",IFERROR(MIN(100,O157/'Input &amp; Settings'!$B$13*100),""))</f>
        <v/>
      </c>
      <c r="Z157" s="37" t="str">
        <f>IF(P157="","",IFERROR(IF(P157&lt;='Input &amp; Settings'!$B$14,100,MAX(0,100-(P157-'Input &amp; Settings'!$B$14)*20)),""))</f>
        <v/>
      </c>
      <c r="AA157" s="37" t="str">
        <f>IF(COUNTA(G157:P157)=0,"",ROUND(Q157*'Input &amp; Settings'!$C$5+R157*'Input &amp; Settings'!$C$6+S157*'Input &amp; Settings'!$C$7+T157*'Input &amp; Settings'!$C$8+U157*'Input &amp; Settings'!$C$9+V157*'Input &amp; Settings'!$C$10+W157*'Input &amp; Settings'!$C$11+X157*'Input &amp; Settings'!$C$12+Y157*'Input &amp; Settings'!$C$13+Z157*'Input &amp; Settings'!$C$14,1))</f>
        <v/>
      </c>
      <c r="AB157" s="38" t="str">
        <f>IF(OR(AA157="",E157=""),"",IFERROR(IF(AA157&gt;=VLOOKUP(E157,'Input &amp; Settings'!$F$5:$K$10,3,FALSE),"Outstanding",IF(AA157&gt;=VLOOKUP(E157,'Input &amp; Settings'!$F$5:$K$10,4,FALSE),"Exceeds Expectations",IF(AA157&gt;=VLOOKUP(E157,'Input &amp; Settings'!$F$5:$K$10,5,FALSE),"Meets Expectations",IF(AA157&gt;=VLOOKUP(E157,'Input &amp; Settings'!$F$5:$K$10,6,FALSE),"Needs Improvement","Performance Improvement Required")))),""))</f>
        <v/>
      </c>
      <c r="AC157" s="38" t="str">
        <f t="shared" si="8"/>
        <v/>
      </c>
      <c r="AD157" s="39"/>
      <c r="AE157" s="40"/>
      <c r="AF157" s="41" t="str">
        <f t="shared" si="9"/>
        <v/>
      </c>
      <c r="AG157" s="42" t="str">
        <f t="shared" si="10"/>
        <v/>
      </c>
      <c r="AH157" s="42" t="str">
        <f t="shared" si="11"/>
        <v>Alexander Chinea|April</v>
      </c>
    </row>
    <row r="158" spans="1:34" hidden="1">
      <c r="A158" s="32">
        <v>2026</v>
      </c>
      <c r="B158" s="32" t="s">
        <v>83</v>
      </c>
      <c r="C158" s="32" t="s">
        <v>53</v>
      </c>
      <c r="D158" s="32" t="s">
        <v>67</v>
      </c>
      <c r="E158" s="33"/>
      <c r="F158" s="34" t="str">
        <f>IF(E158="","",IFERROR(VLOOKUP(E158,'Input &amp; Settings'!$F$5:$G$10,2,FALSE),""))</f>
        <v/>
      </c>
      <c r="G158" s="33"/>
      <c r="H158" s="33"/>
      <c r="I158" s="35"/>
      <c r="J158" s="33"/>
      <c r="K158" s="36"/>
      <c r="L158" s="35"/>
      <c r="M158" s="33"/>
      <c r="N158" s="33"/>
      <c r="O158" s="33"/>
      <c r="P158" s="33"/>
      <c r="Q158" s="37" t="str">
        <f>IF(G158="","",IFERROR(MIN(100,G158/'Input &amp; Settings'!$B$5*100),""))</f>
        <v/>
      </c>
      <c r="R158" s="37" t="str">
        <f>IF(H158="","",IFERROR(MIN(100,H158/'Input &amp; Settings'!$B$6*100),""))</f>
        <v/>
      </c>
      <c r="S158" s="37" t="str">
        <f>IF(I158="","",IFERROR(MIN(100,I158/'Input &amp; Settings'!$B$7*100),""))</f>
        <v/>
      </c>
      <c r="T158" s="37" t="str">
        <f>IF(J158="","",IFERROR(MIN(100,J158/'Input &amp; Settings'!$B$8*100),""))</f>
        <v/>
      </c>
      <c r="U158" s="37" t="str">
        <f>IF(K158="","",IFERROR(MIN(100,K158/'Input &amp; Settings'!$B$9*100),""))</f>
        <v/>
      </c>
      <c r="V158" s="37" t="str">
        <f>IF(L158="","",IFERROR(MIN(100,L158/'Input &amp; Settings'!$B$10*100),""))</f>
        <v/>
      </c>
      <c r="W158" s="37" t="str">
        <f>IF(M158="","",IFERROR(IF(M158&lt;='Input &amp; Settings'!$B$11,100,MAX(0,100-(M158-'Input &amp; Settings'!$B$11)*20)),""))</f>
        <v/>
      </c>
      <c r="X158" s="37" t="str">
        <f>IF(N158="","",IFERROR(MIN(100,N158/'Input &amp; Settings'!$B$12*100),""))</f>
        <v/>
      </c>
      <c r="Y158" s="37" t="str">
        <f>IF(O158="","",IFERROR(MIN(100,O158/'Input &amp; Settings'!$B$13*100),""))</f>
        <v/>
      </c>
      <c r="Z158" s="37" t="str">
        <f>IF(P158="","",IFERROR(IF(P158&lt;='Input &amp; Settings'!$B$14,100,MAX(0,100-(P158-'Input &amp; Settings'!$B$14)*20)),""))</f>
        <v/>
      </c>
      <c r="AA158" s="37" t="str">
        <f>IF(COUNTA(G158:P158)=0,"",ROUND(Q158*'Input &amp; Settings'!$C$5+R158*'Input &amp; Settings'!$C$6+S158*'Input &amp; Settings'!$C$7+T158*'Input &amp; Settings'!$C$8+U158*'Input &amp; Settings'!$C$9+V158*'Input &amp; Settings'!$C$10+W158*'Input &amp; Settings'!$C$11+X158*'Input &amp; Settings'!$C$12+Y158*'Input &amp; Settings'!$C$13+Z158*'Input &amp; Settings'!$C$14,1))</f>
        <v/>
      </c>
      <c r="AB158" s="38" t="str">
        <f>IF(OR(AA158="",E158=""),"",IFERROR(IF(AA158&gt;=VLOOKUP(E158,'Input &amp; Settings'!$F$5:$K$10,3,FALSE),"Outstanding",IF(AA158&gt;=VLOOKUP(E158,'Input &amp; Settings'!$F$5:$K$10,4,FALSE),"Exceeds Expectations",IF(AA158&gt;=VLOOKUP(E158,'Input &amp; Settings'!$F$5:$K$10,5,FALSE),"Meets Expectations",IF(AA158&gt;=VLOOKUP(E158,'Input &amp; Settings'!$F$5:$K$10,6,FALSE),"Needs Improvement","Performance Improvement Required")))),""))</f>
        <v/>
      </c>
      <c r="AC158" s="38" t="str">
        <f t="shared" si="8"/>
        <v/>
      </c>
      <c r="AD158" s="39"/>
      <c r="AE158" s="40"/>
      <c r="AF158" s="41" t="str">
        <f t="shared" si="9"/>
        <v/>
      </c>
      <c r="AG158" s="42" t="str">
        <f t="shared" si="10"/>
        <v/>
      </c>
      <c r="AH158" s="42" t="str">
        <f t="shared" si="11"/>
        <v>Carlos Martinez Monzon|April</v>
      </c>
    </row>
    <row r="159" spans="1:34" hidden="1">
      <c r="A159" s="32">
        <v>2026</v>
      </c>
      <c r="B159" s="32" t="s">
        <v>83</v>
      </c>
      <c r="C159" s="32" t="s">
        <v>53</v>
      </c>
      <c r="D159" s="32" t="s">
        <v>68</v>
      </c>
      <c r="E159" s="33"/>
      <c r="F159" s="34" t="str">
        <f>IF(E159="","",IFERROR(VLOOKUP(E159,'Input &amp; Settings'!$F$5:$G$10,2,FALSE),""))</f>
        <v/>
      </c>
      <c r="G159" s="33"/>
      <c r="H159" s="33"/>
      <c r="I159" s="35"/>
      <c r="J159" s="33"/>
      <c r="K159" s="36"/>
      <c r="L159" s="35"/>
      <c r="M159" s="33"/>
      <c r="N159" s="33"/>
      <c r="O159" s="33"/>
      <c r="P159" s="33"/>
      <c r="Q159" s="37" t="str">
        <f>IF(G159="","",IFERROR(MIN(100,G159/'Input &amp; Settings'!$B$5*100),""))</f>
        <v/>
      </c>
      <c r="R159" s="37" t="str">
        <f>IF(H159="","",IFERROR(MIN(100,H159/'Input &amp; Settings'!$B$6*100),""))</f>
        <v/>
      </c>
      <c r="S159" s="37" t="str">
        <f>IF(I159="","",IFERROR(MIN(100,I159/'Input &amp; Settings'!$B$7*100),""))</f>
        <v/>
      </c>
      <c r="T159" s="37" t="str">
        <f>IF(J159="","",IFERROR(MIN(100,J159/'Input &amp; Settings'!$B$8*100),""))</f>
        <v/>
      </c>
      <c r="U159" s="37" t="str">
        <f>IF(K159="","",IFERROR(MIN(100,K159/'Input &amp; Settings'!$B$9*100),""))</f>
        <v/>
      </c>
      <c r="V159" s="37" t="str">
        <f>IF(L159="","",IFERROR(MIN(100,L159/'Input &amp; Settings'!$B$10*100),""))</f>
        <v/>
      </c>
      <c r="W159" s="37" t="str">
        <f>IF(M159="","",IFERROR(IF(M159&lt;='Input &amp; Settings'!$B$11,100,MAX(0,100-(M159-'Input &amp; Settings'!$B$11)*20)),""))</f>
        <v/>
      </c>
      <c r="X159" s="37" t="str">
        <f>IF(N159="","",IFERROR(MIN(100,N159/'Input &amp; Settings'!$B$12*100),""))</f>
        <v/>
      </c>
      <c r="Y159" s="37" t="str">
        <f>IF(O159="","",IFERROR(MIN(100,O159/'Input &amp; Settings'!$B$13*100),""))</f>
        <v/>
      </c>
      <c r="Z159" s="37" t="str">
        <f>IF(P159="","",IFERROR(IF(P159&lt;='Input &amp; Settings'!$B$14,100,MAX(0,100-(P159-'Input &amp; Settings'!$B$14)*20)),""))</f>
        <v/>
      </c>
      <c r="AA159" s="37" t="str">
        <f>IF(COUNTA(G159:P159)=0,"",ROUND(Q159*'Input &amp; Settings'!$C$5+R159*'Input &amp; Settings'!$C$6+S159*'Input &amp; Settings'!$C$7+T159*'Input &amp; Settings'!$C$8+U159*'Input &amp; Settings'!$C$9+V159*'Input &amp; Settings'!$C$10+W159*'Input &amp; Settings'!$C$11+X159*'Input &amp; Settings'!$C$12+Y159*'Input &amp; Settings'!$C$13+Z159*'Input &amp; Settings'!$C$14,1))</f>
        <v/>
      </c>
      <c r="AB159" s="38" t="str">
        <f>IF(OR(AA159="",E159=""),"",IFERROR(IF(AA159&gt;=VLOOKUP(E159,'Input &amp; Settings'!$F$5:$K$10,3,FALSE),"Outstanding",IF(AA159&gt;=VLOOKUP(E159,'Input &amp; Settings'!$F$5:$K$10,4,FALSE),"Exceeds Expectations",IF(AA159&gt;=VLOOKUP(E159,'Input &amp; Settings'!$F$5:$K$10,5,FALSE),"Meets Expectations",IF(AA159&gt;=VLOOKUP(E159,'Input &amp; Settings'!$F$5:$K$10,6,FALSE),"Needs Improvement","Performance Improvement Required")))),""))</f>
        <v/>
      </c>
      <c r="AC159" s="38" t="str">
        <f t="shared" si="8"/>
        <v/>
      </c>
      <c r="AD159" s="39"/>
      <c r="AE159" s="40"/>
      <c r="AF159" s="41" t="str">
        <f t="shared" si="9"/>
        <v/>
      </c>
      <c r="AG159" s="42" t="str">
        <f t="shared" si="10"/>
        <v/>
      </c>
      <c r="AH159" s="42" t="str">
        <f t="shared" si="11"/>
        <v>Carlos Sanabria|April</v>
      </c>
    </row>
    <row r="160" spans="1:34" hidden="1">
      <c r="A160" s="32">
        <v>2026</v>
      </c>
      <c r="B160" s="32" t="s">
        <v>83</v>
      </c>
      <c r="C160" s="32" t="s">
        <v>53</v>
      </c>
      <c r="D160" s="32" t="s">
        <v>69</v>
      </c>
      <c r="E160" s="33"/>
      <c r="F160" s="34" t="str">
        <f>IF(E160="","",IFERROR(VLOOKUP(E160,'Input &amp; Settings'!$F$5:$G$10,2,FALSE),""))</f>
        <v/>
      </c>
      <c r="G160" s="33"/>
      <c r="H160" s="33"/>
      <c r="I160" s="35"/>
      <c r="J160" s="33"/>
      <c r="K160" s="36"/>
      <c r="L160" s="35"/>
      <c r="M160" s="33"/>
      <c r="N160" s="33"/>
      <c r="O160" s="33"/>
      <c r="P160" s="33"/>
      <c r="Q160" s="37" t="str">
        <f>IF(G160="","",IFERROR(MIN(100,G160/'Input &amp; Settings'!$B$5*100),""))</f>
        <v/>
      </c>
      <c r="R160" s="37" t="str">
        <f>IF(H160="","",IFERROR(MIN(100,H160/'Input &amp; Settings'!$B$6*100),""))</f>
        <v/>
      </c>
      <c r="S160" s="37" t="str">
        <f>IF(I160="","",IFERROR(MIN(100,I160/'Input &amp; Settings'!$B$7*100),""))</f>
        <v/>
      </c>
      <c r="T160" s="37" t="str">
        <f>IF(J160="","",IFERROR(MIN(100,J160/'Input &amp; Settings'!$B$8*100),""))</f>
        <v/>
      </c>
      <c r="U160" s="37" t="str">
        <f>IF(K160="","",IFERROR(MIN(100,K160/'Input &amp; Settings'!$B$9*100),""))</f>
        <v/>
      </c>
      <c r="V160" s="37" t="str">
        <f>IF(L160="","",IFERROR(MIN(100,L160/'Input &amp; Settings'!$B$10*100),""))</f>
        <v/>
      </c>
      <c r="W160" s="37" t="str">
        <f>IF(M160="","",IFERROR(IF(M160&lt;='Input &amp; Settings'!$B$11,100,MAX(0,100-(M160-'Input &amp; Settings'!$B$11)*20)),""))</f>
        <v/>
      </c>
      <c r="X160" s="37" t="str">
        <f>IF(N160="","",IFERROR(MIN(100,N160/'Input &amp; Settings'!$B$12*100),""))</f>
        <v/>
      </c>
      <c r="Y160" s="37" t="str">
        <f>IF(O160="","",IFERROR(MIN(100,O160/'Input &amp; Settings'!$B$13*100),""))</f>
        <v/>
      </c>
      <c r="Z160" s="37" t="str">
        <f>IF(P160="","",IFERROR(IF(P160&lt;='Input &amp; Settings'!$B$14,100,MAX(0,100-(P160-'Input &amp; Settings'!$B$14)*20)),""))</f>
        <v/>
      </c>
      <c r="AA160" s="37" t="str">
        <f>IF(COUNTA(G160:P160)=0,"",ROUND(Q160*'Input &amp; Settings'!$C$5+R160*'Input &amp; Settings'!$C$6+S160*'Input &amp; Settings'!$C$7+T160*'Input &amp; Settings'!$C$8+U160*'Input &amp; Settings'!$C$9+V160*'Input &amp; Settings'!$C$10+W160*'Input &amp; Settings'!$C$11+X160*'Input &amp; Settings'!$C$12+Y160*'Input &amp; Settings'!$C$13+Z160*'Input &amp; Settings'!$C$14,1))</f>
        <v/>
      </c>
      <c r="AB160" s="38" t="str">
        <f>IF(OR(AA160="",E160=""),"",IFERROR(IF(AA160&gt;=VLOOKUP(E160,'Input &amp; Settings'!$F$5:$K$10,3,FALSE),"Outstanding",IF(AA160&gt;=VLOOKUP(E160,'Input &amp; Settings'!$F$5:$K$10,4,FALSE),"Exceeds Expectations",IF(AA160&gt;=VLOOKUP(E160,'Input &amp; Settings'!$F$5:$K$10,5,FALSE),"Meets Expectations",IF(AA160&gt;=VLOOKUP(E160,'Input &amp; Settings'!$F$5:$K$10,6,FALSE),"Needs Improvement","Performance Improvement Required")))),""))</f>
        <v/>
      </c>
      <c r="AC160" s="38" t="str">
        <f t="shared" si="8"/>
        <v/>
      </c>
      <c r="AD160" s="39"/>
      <c r="AE160" s="40"/>
      <c r="AF160" s="41" t="str">
        <f t="shared" si="9"/>
        <v/>
      </c>
      <c r="AG160" s="42" t="str">
        <f t="shared" si="10"/>
        <v/>
      </c>
      <c r="AH160" s="42" t="str">
        <f t="shared" si="11"/>
        <v>Alex Gomes|April</v>
      </c>
    </row>
    <row r="161" spans="1:34" hidden="1">
      <c r="A161" s="32">
        <v>2026</v>
      </c>
      <c r="B161" s="32" t="s">
        <v>83</v>
      </c>
      <c r="C161" s="32" t="s">
        <v>53</v>
      </c>
      <c r="D161" s="32" t="s">
        <v>70</v>
      </c>
      <c r="E161" s="33"/>
      <c r="F161" s="34" t="str">
        <f>IF(E161="","",IFERROR(VLOOKUP(E161,'Input &amp; Settings'!$F$5:$G$10,2,FALSE),""))</f>
        <v/>
      </c>
      <c r="G161" s="33"/>
      <c r="H161" s="33"/>
      <c r="I161" s="35"/>
      <c r="J161" s="33"/>
      <c r="K161" s="36"/>
      <c r="L161" s="35"/>
      <c r="M161" s="33"/>
      <c r="N161" s="33"/>
      <c r="O161" s="33"/>
      <c r="P161" s="33"/>
      <c r="Q161" s="37" t="str">
        <f>IF(G161="","",IFERROR(MIN(100,G161/'Input &amp; Settings'!$B$5*100),""))</f>
        <v/>
      </c>
      <c r="R161" s="37" t="str">
        <f>IF(H161="","",IFERROR(MIN(100,H161/'Input &amp; Settings'!$B$6*100),""))</f>
        <v/>
      </c>
      <c r="S161" s="37" t="str">
        <f>IF(I161="","",IFERROR(MIN(100,I161/'Input &amp; Settings'!$B$7*100),""))</f>
        <v/>
      </c>
      <c r="T161" s="37" t="str">
        <f>IF(J161="","",IFERROR(MIN(100,J161/'Input &amp; Settings'!$B$8*100),""))</f>
        <v/>
      </c>
      <c r="U161" s="37" t="str">
        <f>IF(K161="","",IFERROR(MIN(100,K161/'Input &amp; Settings'!$B$9*100),""))</f>
        <v/>
      </c>
      <c r="V161" s="37" t="str">
        <f>IF(L161="","",IFERROR(MIN(100,L161/'Input &amp; Settings'!$B$10*100),""))</f>
        <v/>
      </c>
      <c r="W161" s="37" t="str">
        <f>IF(M161="","",IFERROR(IF(M161&lt;='Input &amp; Settings'!$B$11,100,MAX(0,100-(M161-'Input &amp; Settings'!$B$11)*20)),""))</f>
        <v/>
      </c>
      <c r="X161" s="37" t="str">
        <f>IF(N161="","",IFERROR(MIN(100,N161/'Input &amp; Settings'!$B$12*100),""))</f>
        <v/>
      </c>
      <c r="Y161" s="37" t="str">
        <f>IF(O161="","",IFERROR(MIN(100,O161/'Input &amp; Settings'!$B$13*100),""))</f>
        <v/>
      </c>
      <c r="Z161" s="37" t="str">
        <f>IF(P161="","",IFERROR(IF(P161&lt;='Input &amp; Settings'!$B$14,100,MAX(0,100-(P161-'Input &amp; Settings'!$B$14)*20)),""))</f>
        <v/>
      </c>
      <c r="AA161" s="37" t="str">
        <f>IF(COUNTA(G161:P161)=0,"",ROUND(Q161*'Input &amp; Settings'!$C$5+R161*'Input &amp; Settings'!$C$6+S161*'Input &amp; Settings'!$C$7+T161*'Input &amp; Settings'!$C$8+U161*'Input &amp; Settings'!$C$9+V161*'Input &amp; Settings'!$C$10+W161*'Input &amp; Settings'!$C$11+X161*'Input &amp; Settings'!$C$12+Y161*'Input &amp; Settings'!$C$13+Z161*'Input &amp; Settings'!$C$14,1))</f>
        <v/>
      </c>
      <c r="AB161" s="38" t="str">
        <f>IF(OR(AA161="",E161=""),"",IFERROR(IF(AA161&gt;=VLOOKUP(E161,'Input &amp; Settings'!$F$5:$K$10,3,FALSE),"Outstanding",IF(AA161&gt;=VLOOKUP(E161,'Input &amp; Settings'!$F$5:$K$10,4,FALSE),"Exceeds Expectations",IF(AA161&gt;=VLOOKUP(E161,'Input &amp; Settings'!$F$5:$K$10,5,FALSE),"Meets Expectations",IF(AA161&gt;=VLOOKUP(E161,'Input &amp; Settings'!$F$5:$K$10,6,FALSE),"Needs Improvement","Performance Improvement Required")))),""))</f>
        <v/>
      </c>
      <c r="AC161" s="38" t="str">
        <f t="shared" si="8"/>
        <v/>
      </c>
      <c r="AD161" s="39"/>
      <c r="AE161" s="40"/>
      <c r="AF161" s="41" t="str">
        <f t="shared" si="9"/>
        <v/>
      </c>
      <c r="AG161" s="42" t="str">
        <f t="shared" si="10"/>
        <v/>
      </c>
      <c r="AH161" s="42" t="str">
        <f t="shared" si="11"/>
        <v>Teddy Joseph|April</v>
      </c>
    </row>
    <row r="162" spans="1:34" hidden="1">
      <c r="A162" s="32">
        <v>2026</v>
      </c>
      <c r="B162" s="32" t="s">
        <v>83</v>
      </c>
      <c r="C162" s="32" t="s">
        <v>53</v>
      </c>
      <c r="D162" s="32" t="s">
        <v>71</v>
      </c>
      <c r="E162" s="33"/>
      <c r="F162" s="34" t="str">
        <f>IF(E162="","",IFERROR(VLOOKUP(E162,'Input &amp; Settings'!$F$5:$G$10,2,FALSE),""))</f>
        <v/>
      </c>
      <c r="G162" s="33"/>
      <c r="H162" s="33"/>
      <c r="I162" s="35"/>
      <c r="J162" s="33"/>
      <c r="K162" s="36"/>
      <c r="L162" s="35"/>
      <c r="M162" s="33"/>
      <c r="N162" s="33"/>
      <c r="O162" s="33"/>
      <c r="P162" s="33"/>
      <c r="Q162" s="37" t="str">
        <f>IF(G162="","",IFERROR(MIN(100,G162/'Input &amp; Settings'!$B$5*100),""))</f>
        <v/>
      </c>
      <c r="R162" s="37" t="str">
        <f>IF(H162="","",IFERROR(MIN(100,H162/'Input &amp; Settings'!$B$6*100),""))</f>
        <v/>
      </c>
      <c r="S162" s="37" t="str">
        <f>IF(I162="","",IFERROR(MIN(100,I162/'Input &amp; Settings'!$B$7*100),""))</f>
        <v/>
      </c>
      <c r="T162" s="37" t="str">
        <f>IF(J162="","",IFERROR(MIN(100,J162/'Input &amp; Settings'!$B$8*100),""))</f>
        <v/>
      </c>
      <c r="U162" s="37" t="str">
        <f>IF(K162="","",IFERROR(MIN(100,K162/'Input &amp; Settings'!$B$9*100),""))</f>
        <v/>
      </c>
      <c r="V162" s="37" t="str">
        <f>IF(L162="","",IFERROR(MIN(100,L162/'Input &amp; Settings'!$B$10*100),""))</f>
        <v/>
      </c>
      <c r="W162" s="37" t="str">
        <f>IF(M162="","",IFERROR(IF(M162&lt;='Input &amp; Settings'!$B$11,100,MAX(0,100-(M162-'Input &amp; Settings'!$B$11)*20)),""))</f>
        <v/>
      </c>
      <c r="X162" s="37" t="str">
        <f>IF(N162="","",IFERROR(MIN(100,N162/'Input &amp; Settings'!$B$12*100),""))</f>
        <v/>
      </c>
      <c r="Y162" s="37" t="str">
        <f>IF(O162="","",IFERROR(MIN(100,O162/'Input &amp; Settings'!$B$13*100),""))</f>
        <v/>
      </c>
      <c r="Z162" s="37" t="str">
        <f>IF(P162="","",IFERROR(IF(P162&lt;='Input &amp; Settings'!$B$14,100,MAX(0,100-(P162-'Input &amp; Settings'!$B$14)*20)),""))</f>
        <v/>
      </c>
      <c r="AA162" s="37" t="str">
        <f>IF(COUNTA(G162:P162)=0,"",ROUND(Q162*'Input &amp; Settings'!$C$5+R162*'Input &amp; Settings'!$C$6+S162*'Input &amp; Settings'!$C$7+T162*'Input &amp; Settings'!$C$8+U162*'Input &amp; Settings'!$C$9+V162*'Input &amp; Settings'!$C$10+W162*'Input &amp; Settings'!$C$11+X162*'Input &amp; Settings'!$C$12+Y162*'Input &amp; Settings'!$C$13+Z162*'Input &amp; Settings'!$C$14,1))</f>
        <v/>
      </c>
      <c r="AB162" s="38" t="str">
        <f>IF(OR(AA162="",E162=""),"",IFERROR(IF(AA162&gt;=VLOOKUP(E162,'Input &amp; Settings'!$F$5:$K$10,3,FALSE),"Outstanding",IF(AA162&gt;=VLOOKUP(E162,'Input &amp; Settings'!$F$5:$K$10,4,FALSE),"Exceeds Expectations",IF(AA162&gt;=VLOOKUP(E162,'Input &amp; Settings'!$F$5:$K$10,5,FALSE),"Meets Expectations",IF(AA162&gt;=VLOOKUP(E162,'Input &amp; Settings'!$F$5:$K$10,6,FALSE),"Needs Improvement","Performance Improvement Required")))),""))</f>
        <v/>
      </c>
      <c r="AC162" s="38" t="str">
        <f t="shared" si="8"/>
        <v/>
      </c>
      <c r="AD162" s="39"/>
      <c r="AE162" s="40"/>
      <c r="AF162" s="41" t="str">
        <f t="shared" si="9"/>
        <v/>
      </c>
      <c r="AG162" s="42" t="str">
        <f t="shared" si="10"/>
        <v/>
      </c>
      <c r="AH162" s="42" t="str">
        <f t="shared" si="11"/>
        <v>Andrew Montgomery|April</v>
      </c>
    </row>
    <row r="163" spans="1:34" hidden="1">
      <c r="A163" s="32">
        <v>2026</v>
      </c>
      <c r="B163" s="32" t="s">
        <v>83</v>
      </c>
      <c r="C163" s="32" t="s">
        <v>53</v>
      </c>
      <c r="D163" s="32" t="s">
        <v>72</v>
      </c>
      <c r="E163" s="33"/>
      <c r="F163" s="34" t="str">
        <f>IF(E163="","",IFERROR(VLOOKUP(E163,'Input &amp; Settings'!$F$5:$G$10,2,FALSE),""))</f>
        <v/>
      </c>
      <c r="G163" s="33"/>
      <c r="H163" s="33"/>
      <c r="I163" s="35"/>
      <c r="J163" s="33"/>
      <c r="K163" s="36"/>
      <c r="L163" s="35"/>
      <c r="M163" s="33"/>
      <c r="N163" s="33"/>
      <c r="O163" s="33"/>
      <c r="P163" s="33"/>
      <c r="Q163" s="37" t="str">
        <f>IF(G163="","",IFERROR(MIN(100,G163/'Input &amp; Settings'!$B$5*100),""))</f>
        <v/>
      </c>
      <c r="R163" s="37" t="str">
        <f>IF(H163="","",IFERROR(MIN(100,H163/'Input &amp; Settings'!$B$6*100),""))</f>
        <v/>
      </c>
      <c r="S163" s="37" t="str">
        <f>IF(I163="","",IFERROR(MIN(100,I163/'Input &amp; Settings'!$B$7*100),""))</f>
        <v/>
      </c>
      <c r="T163" s="37" t="str">
        <f>IF(J163="","",IFERROR(MIN(100,J163/'Input &amp; Settings'!$B$8*100),""))</f>
        <v/>
      </c>
      <c r="U163" s="37" t="str">
        <f>IF(K163="","",IFERROR(MIN(100,K163/'Input &amp; Settings'!$B$9*100),""))</f>
        <v/>
      </c>
      <c r="V163" s="37" t="str">
        <f>IF(L163="","",IFERROR(MIN(100,L163/'Input &amp; Settings'!$B$10*100),""))</f>
        <v/>
      </c>
      <c r="W163" s="37" t="str">
        <f>IF(M163="","",IFERROR(IF(M163&lt;='Input &amp; Settings'!$B$11,100,MAX(0,100-(M163-'Input &amp; Settings'!$B$11)*20)),""))</f>
        <v/>
      </c>
      <c r="X163" s="37" t="str">
        <f>IF(N163="","",IFERROR(MIN(100,N163/'Input &amp; Settings'!$B$12*100),""))</f>
        <v/>
      </c>
      <c r="Y163" s="37" t="str">
        <f>IF(O163="","",IFERROR(MIN(100,O163/'Input &amp; Settings'!$B$13*100),""))</f>
        <v/>
      </c>
      <c r="Z163" s="37" t="str">
        <f>IF(P163="","",IFERROR(IF(P163&lt;='Input &amp; Settings'!$B$14,100,MAX(0,100-(P163-'Input &amp; Settings'!$B$14)*20)),""))</f>
        <v/>
      </c>
      <c r="AA163" s="37" t="str">
        <f>IF(COUNTA(G163:P163)=0,"",ROUND(Q163*'Input &amp; Settings'!$C$5+R163*'Input &amp; Settings'!$C$6+S163*'Input &amp; Settings'!$C$7+T163*'Input &amp; Settings'!$C$8+U163*'Input &amp; Settings'!$C$9+V163*'Input &amp; Settings'!$C$10+W163*'Input &amp; Settings'!$C$11+X163*'Input &amp; Settings'!$C$12+Y163*'Input &amp; Settings'!$C$13+Z163*'Input &amp; Settings'!$C$14,1))</f>
        <v/>
      </c>
      <c r="AB163" s="38" t="str">
        <f>IF(OR(AA163="",E163=""),"",IFERROR(IF(AA163&gt;=VLOOKUP(E163,'Input &amp; Settings'!$F$5:$K$10,3,FALSE),"Outstanding",IF(AA163&gt;=VLOOKUP(E163,'Input &amp; Settings'!$F$5:$K$10,4,FALSE),"Exceeds Expectations",IF(AA163&gt;=VLOOKUP(E163,'Input &amp; Settings'!$F$5:$K$10,5,FALSE),"Meets Expectations",IF(AA163&gt;=VLOOKUP(E163,'Input &amp; Settings'!$F$5:$K$10,6,FALSE),"Needs Improvement","Performance Improvement Required")))),""))</f>
        <v/>
      </c>
      <c r="AC163" s="38" t="str">
        <f t="shared" si="8"/>
        <v/>
      </c>
      <c r="AD163" s="39"/>
      <c r="AE163" s="40"/>
      <c r="AF163" s="41" t="str">
        <f t="shared" si="9"/>
        <v/>
      </c>
      <c r="AG163" s="42" t="str">
        <f t="shared" si="10"/>
        <v/>
      </c>
      <c r="AH163" s="42" t="str">
        <f t="shared" si="11"/>
        <v>Amanda Rodriguez|April</v>
      </c>
    </row>
    <row r="164" spans="1:34" hidden="1">
      <c r="A164" s="32">
        <v>2026</v>
      </c>
      <c r="B164" s="32" t="s">
        <v>83</v>
      </c>
      <c r="C164" s="32" t="s">
        <v>53</v>
      </c>
      <c r="D164" s="32" t="s">
        <v>73</v>
      </c>
      <c r="E164" s="33"/>
      <c r="F164" s="34" t="str">
        <f>IF(E164="","",IFERROR(VLOOKUP(E164,'Input &amp; Settings'!$F$5:$G$10,2,FALSE),""))</f>
        <v/>
      </c>
      <c r="G164" s="33"/>
      <c r="H164" s="33"/>
      <c r="I164" s="35"/>
      <c r="J164" s="33"/>
      <c r="K164" s="36"/>
      <c r="L164" s="35"/>
      <c r="M164" s="33"/>
      <c r="N164" s="33"/>
      <c r="O164" s="33"/>
      <c r="P164" s="33"/>
      <c r="Q164" s="37" t="str">
        <f>IF(G164="","",IFERROR(MIN(100,G164/'Input &amp; Settings'!$B$5*100),""))</f>
        <v/>
      </c>
      <c r="R164" s="37" t="str">
        <f>IF(H164="","",IFERROR(MIN(100,H164/'Input &amp; Settings'!$B$6*100),""))</f>
        <v/>
      </c>
      <c r="S164" s="37" t="str">
        <f>IF(I164="","",IFERROR(MIN(100,I164/'Input &amp; Settings'!$B$7*100),""))</f>
        <v/>
      </c>
      <c r="T164" s="37" t="str">
        <f>IF(J164="","",IFERROR(MIN(100,J164/'Input &amp; Settings'!$B$8*100),""))</f>
        <v/>
      </c>
      <c r="U164" s="37" t="str">
        <f>IF(K164="","",IFERROR(MIN(100,K164/'Input &amp; Settings'!$B$9*100),""))</f>
        <v/>
      </c>
      <c r="V164" s="37" t="str">
        <f>IF(L164="","",IFERROR(MIN(100,L164/'Input &amp; Settings'!$B$10*100),""))</f>
        <v/>
      </c>
      <c r="W164" s="37" t="str">
        <f>IF(M164="","",IFERROR(IF(M164&lt;='Input &amp; Settings'!$B$11,100,MAX(0,100-(M164-'Input &amp; Settings'!$B$11)*20)),""))</f>
        <v/>
      </c>
      <c r="X164" s="37" t="str">
        <f>IF(N164="","",IFERROR(MIN(100,N164/'Input &amp; Settings'!$B$12*100),""))</f>
        <v/>
      </c>
      <c r="Y164" s="37" t="str">
        <f>IF(O164="","",IFERROR(MIN(100,O164/'Input &amp; Settings'!$B$13*100),""))</f>
        <v/>
      </c>
      <c r="Z164" s="37" t="str">
        <f>IF(P164="","",IFERROR(IF(P164&lt;='Input &amp; Settings'!$B$14,100,MAX(0,100-(P164-'Input &amp; Settings'!$B$14)*20)),""))</f>
        <v/>
      </c>
      <c r="AA164" s="37" t="str">
        <f>IF(COUNTA(G164:P164)=0,"",ROUND(Q164*'Input &amp; Settings'!$C$5+R164*'Input &amp; Settings'!$C$6+S164*'Input &amp; Settings'!$C$7+T164*'Input &amp; Settings'!$C$8+U164*'Input &amp; Settings'!$C$9+V164*'Input &amp; Settings'!$C$10+W164*'Input &amp; Settings'!$C$11+X164*'Input &amp; Settings'!$C$12+Y164*'Input &amp; Settings'!$C$13+Z164*'Input &amp; Settings'!$C$14,1))</f>
        <v/>
      </c>
      <c r="AB164" s="38" t="str">
        <f>IF(OR(AA164="",E164=""),"",IFERROR(IF(AA164&gt;=VLOOKUP(E164,'Input &amp; Settings'!$F$5:$K$10,3,FALSE),"Outstanding",IF(AA164&gt;=VLOOKUP(E164,'Input &amp; Settings'!$F$5:$K$10,4,FALSE),"Exceeds Expectations",IF(AA164&gt;=VLOOKUP(E164,'Input &amp; Settings'!$F$5:$K$10,5,FALSE),"Meets Expectations",IF(AA164&gt;=VLOOKUP(E164,'Input &amp; Settings'!$F$5:$K$10,6,FALSE),"Needs Improvement","Performance Improvement Required")))),""))</f>
        <v/>
      </c>
      <c r="AC164" s="38" t="str">
        <f t="shared" si="8"/>
        <v/>
      </c>
      <c r="AD164" s="39"/>
      <c r="AE164" s="40"/>
      <c r="AF164" s="41" t="str">
        <f t="shared" si="9"/>
        <v/>
      </c>
      <c r="AG164" s="42" t="str">
        <f t="shared" si="10"/>
        <v/>
      </c>
      <c r="AH164" s="42" t="str">
        <f t="shared" si="11"/>
        <v>Erick Mojica|April</v>
      </c>
    </row>
    <row r="165" spans="1:34" hidden="1">
      <c r="A165" s="32">
        <v>2026</v>
      </c>
      <c r="B165" s="32" t="s">
        <v>83</v>
      </c>
      <c r="C165" s="32" t="s">
        <v>74</v>
      </c>
      <c r="D165" s="32" t="s">
        <v>75</v>
      </c>
      <c r="E165" s="33"/>
      <c r="F165" s="34" t="str">
        <f>IF(E165="","",IFERROR(VLOOKUP(E165,'Input &amp; Settings'!$F$5:$G$10,2,FALSE),""))</f>
        <v/>
      </c>
      <c r="G165" s="33"/>
      <c r="H165" s="33"/>
      <c r="I165" s="35"/>
      <c r="J165" s="33"/>
      <c r="K165" s="36"/>
      <c r="L165" s="35"/>
      <c r="M165" s="33"/>
      <c r="N165" s="33"/>
      <c r="O165" s="33"/>
      <c r="P165" s="33"/>
      <c r="Q165" s="37" t="str">
        <f>IF(G165="","",IFERROR(MIN(100,G165/'Input &amp; Settings'!$B$5*100),""))</f>
        <v/>
      </c>
      <c r="R165" s="37" t="str">
        <f>IF(H165="","",IFERROR(MIN(100,H165/'Input &amp; Settings'!$B$6*100),""))</f>
        <v/>
      </c>
      <c r="S165" s="37" t="str">
        <f>IF(I165="","",IFERROR(MIN(100,I165/'Input &amp; Settings'!$B$7*100),""))</f>
        <v/>
      </c>
      <c r="T165" s="37" t="str">
        <f>IF(J165="","",IFERROR(MIN(100,J165/'Input &amp; Settings'!$B$8*100),""))</f>
        <v/>
      </c>
      <c r="U165" s="37" t="str">
        <f>IF(K165="","",IFERROR(MIN(100,K165/'Input &amp; Settings'!$B$9*100),""))</f>
        <v/>
      </c>
      <c r="V165" s="37" t="str">
        <f>IF(L165="","",IFERROR(MIN(100,L165/'Input &amp; Settings'!$B$10*100),""))</f>
        <v/>
      </c>
      <c r="W165" s="37" t="str">
        <f>IF(M165="","",IFERROR(IF(M165&lt;='Input &amp; Settings'!$B$11,100,MAX(0,100-(M165-'Input &amp; Settings'!$B$11)*20)),""))</f>
        <v/>
      </c>
      <c r="X165" s="37" t="str">
        <f>IF(N165="","",IFERROR(MIN(100,N165/'Input &amp; Settings'!$B$12*100),""))</f>
        <v/>
      </c>
      <c r="Y165" s="37" t="str">
        <f>IF(O165="","",IFERROR(MIN(100,O165/'Input &amp; Settings'!$B$13*100),""))</f>
        <v/>
      </c>
      <c r="Z165" s="37" t="str">
        <f>IF(P165="","",IFERROR(IF(P165&lt;='Input &amp; Settings'!$B$14,100,MAX(0,100-(P165-'Input &amp; Settings'!$B$14)*20)),""))</f>
        <v/>
      </c>
      <c r="AA165" s="37" t="str">
        <f>IF(COUNTA(G165:P165)=0,"",ROUND(Q165*'Input &amp; Settings'!$C$5+R165*'Input &amp; Settings'!$C$6+S165*'Input &amp; Settings'!$C$7+T165*'Input &amp; Settings'!$C$8+U165*'Input &amp; Settings'!$C$9+V165*'Input &amp; Settings'!$C$10+W165*'Input &amp; Settings'!$C$11+X165*'Input &amp; Settings'!$C$12+Y165*'Input &amp; Settings'!$C$13+Z165*'Input &amp; Settings'!$C$14,1))</f>
        <v/>
      </c>
      <c r="AB165" s="38" t="str">
        <f>IF(OR(AA165="",E165=""),"",IFERROR(IF(AA165&gt;=VLOOKUP(E165,'Input &amp; Settings'!$F$5:$K$10,3,FALSE),"Outstanding",IF(AA165&gt;=VLOOKUP(E165,'Input &amp; Settings'!$F$5:$K$10,4,FALSE),"Exceeds Expectations",IF(AA165&gt;=VLOOKUP(E165,'Input &amp; Settings'!$F$5:$K$10,5,FALSE),"Meets Expectations",IF(AA165&gt;=VLOOKUP(E165,'Input &amp; Settings'!$F$5:$K$10,6,FALSE),"Needs Improvement","Performance Improvement Required")))),""))</f>
        <v/>
      </c>
      <c r="AC165" s="38" t="str">
        <f t="shared" si="8"/>
        <v/>
      </c>
      <c r="AD165" s="39"/>
      <c r="AE165" s="40"/>
      <c r="AF165" s="41" t="str">
        <f t="shared" si="9"/>
        <v/>
      </c>
      <c r="AG165" s="42" t="str">
        <f t="shared" si="10"/>
        <v/>
      </c>
      <c r="AH165" s="42" t="str">
        <f t="shared" si="11"/>
        <v>Raul Rama|April</v>
      </c>
    </row>
    <row r="166" spans="1:34" hidden="1">
      <c r="A166" s="32">
        <v>2026</v>
      </c>
      <c r="B166" s="32" t="s">
        <v>83</v>
      </c>
      <c r="C166" s="32" t="s">
        <v>74</v>
      </c>
      <c r="D166" s="32" t="s">
        <v>76</v>
      </c>
      <c r="E166" s="33"/>
      <c r="F166" s="34" t="str">
        <f>IF(E166="","",IFERROR(VLOOKUP(E166,'Input &amp; Settings'!$F$5:$G$10,2,FALSE),""))</f>
        <v/>
      </c>
      <c r="G166" s="33"/>
      <c r="H166" s="33"/>
      <c r="I166" s="35"/>
      <c r="J166" s="33"/>
      <c r="K166" s="36"/>
      <c r="L166" s="35"/>
      <c r="M166" s="33"/>
      <c r="N166" s="33"/>
      <c r="O166" s="33"/>
      <c r="P166" s="33"/>
      <c r="Q166" s="37" t="str">
        <f>IF(G166="","",IFERROR(MIN(100,G166/'Input &amp; Settings'!$B$5*100),""))</f>
        <v/>
      </c>
      <c r="R166" s="37" t="str">
        <f>IF(H166="","",IFERROR(MIN(100,H166/'Input &amp; Settings'!$B$6*100),""))</f>
        <v/>
      </c>
      <c r="S166" s="37" t="str">
        <f>IF(I166="","",IFERROR(MIN(100,I166/'Input &amp; Settings'!$B$7*100),""))</f>
        <v/>
      </c>
      <c r="T166" s="37" t="str">
        <f>IF(J166="","",IFERROR(MIN(100,J166/'Input &amp; Settings'!$B$8*100),""))</f>
        <v/>
      </c>
      <c r="U166" s="37" t="str">
        <f>IF(K166="","",IFERROR(MIN(100,K166/'Input &amp; Settings'!$B$9*100),""))</f>
        <v/>
      </c>
      <c r="V166" s="37" t="str">
        <f>IF(L166="","",IFERROR(MIN(100,L166/'Input &amp; Settings'!$B$10*100),""))</f>
        <v/>
      </c>
      <c r="W166" s="37" t="str">
        <f>IF(M166="","",IFERROR(IF(M166&lt;='Input &amp; Settings'!$B$11,100,MAX(0,100-(M166-'Input &amp; Settings'!$B$11)*20)),""))</f>
        <v/>
      </c>
      <c r="X166" s="37" t="str">
        <f>IF(N166="","",IFERROR(MIN(100,N166/'Input &amp; Settings'!$B$12*100),""))</f>
        <v/>
      </c>
      <c r="Y166" s="37" t="str">
        <f>IF(O166="","",IFERROR(MIN(100,O166/'Input &amp; Settings'!$B$13*100),""))</f>
        <v/>
      </c>
      <c r="Z166" s="37" t="str">
        <f>IF(P166="","",IFERROR(IF(P166&lt;='Input &amp; Settings'!$B$14,100,MAX(0,100-(P166-'Input &amp; Settings'!$B$14)*20)),""))</f>
        <v/>
      </c>
      <c r="AA166" s="37" t="str">
        <f>IF(COUNTA(G166:P166)=0,"",ROUND(Q166*'Input &amp; Settings'!$C$5+R166*'Input &amp; Settings'!$C$6+S166*'Input &amp; Settings'!$C$7+T166*'Input &amp; Settings'!$C$8+U166*'Input &amp; Settings'!$C$9+V166*'Input &amp; Settings'!$C$10+W166*'Input &amp; Settings'!$C$11+X166*'Input &amp; Settings'!$C$12+Y166*'Input &amp; Settings'!$C$13+Z166*'Input &amp; Settings'!$C$14,1))</f>
        <v/>
      </c>
      <c r="AB166" s="38" t="str">
        <f>IF(OR(AA166="",E166=""),"",IFERROR(IF(AA166&gt;=VLOOKUP(E166,'Input &amp; Settings'!$F$5:$K$10,3,FALSE),"Outstanding",IF(AA166&gt;=VLOOKUP(E166,'Input &amp; Settings'!$F$5:$K$10,4,FALSE),"Exceeds Expectations",IF(AA166&gt;=VLOOKUP(E166,'Input &amp; Settings'!$F$5:$K$10,5,FALSE),"Meets Expectations",IF(AA166&gt;=VLOOKUP(E166,'Input &amp; Settings'!$F$5:$K$10,6,FALSE),"Needs Improvement","Performance Improvement Required")))),""))</f>
        <v/>
      </c>
      <c r="AC166" s="38" t="str">
        <f t="shared" si="8"/>
        <v/>
      </c>
      <c r="AD166" s="39"/>
      <c r="AE166" s="40"/>
      <c r="AF166" s="41" t="str">
        <f t="shared" si="9"/>
        <v/>
      </c>
      <c r="AG166" s="42" t="str">
        <f t="shared" si="10"/>
        <v/>
      </c>
      <c r="AH166" s="42" t="str">
        <f t="shared" si="11"/>
        <v>Kaevon Tyler|April</v>
      </c>
    </row>
    <row r="167" spans="1:34" hidden="1">
      <c r="A167" s="32">
        <v>2026</v>
      </c>
      <c r="B167" s="32" t="s">
        <v>83</v>
      </c>
      <c r="C167" s="32" t="s">
        <v>74</v>
      </c>
      <c r="D167" s="32" t="s">
        <v>77</v>
      </c>
      <c r="E167" s="33"/>
      <c r="F167" s="34" t="str">
        <f>IF(E167="","",IFERROR(VLOOKUP(E167,'Input &amp; Settings'!$F$5:$G$10,2,FALSE),""))</f>
        <v/>
      </c>
      <c r="G167" s="33"/>
      <c r="H167" s="33"/>
      <c r="I167" s="35"/>
      <c r="J167" s="33"/>
      <c r="K167" s="36"/>
      <c r="L167" s="35"/>
      <c r="M167" s="33"/>
      <c r="N167" s="33"/>
      <c r="O167" s="33"/>
      <c r="P167" s="33"/>
      <c r="Q167" s="37" t="str">
        <f>IF(G167="","",IFERROR(MIN(100,G167/'Input &amp; Settings'!$B$5*100),""))</f>
        <v/>
      </c>
      <c r="R167" s="37" t="str">
        <f>IF(H167="","",IFERROR(MIN(100,H167/'Input &amp; Settings'!$B$6*100),""))</f>
        <v/>
      </c>
      <c r="S167" s="37" t="str">
        <f>IF(I167="","",IFERROR(MIN(100,I167/'Input &amp; Settings'!$B$7*100),""))</f>
        <v/>
      </c>
      <c r="T167" s="37" t="str">
        <f>IF(J167="","",IFERROR(MIN(100,J167/'Input &amp; Settings'!$B$8*100),""))</f>
        <v/>
      </c>
      <c r="U167" s="37" t="str">
        <f>IF(K167="","",IFERROR(MIN(100,K167/'Input &amp; Settings'!$B$9*100),""))</f>
        <v/>
      </c>
      <c r="V167" s="37" t="str">
        <f>IF(L167="","",IFERROR(MIN(100,L167/'Input &amp; Settings'!$B$10*100),""))</f>
        <v/>
      </c>
      <c r="W167" s="37" t="str">
        <f>IF(M167="","",IFERROR(IF(M167&lt;='Input &amp; Settings'!$B$11,100,MAX(0,100-(M167-'Input &amp; Settings'!$B$11)*20)),""))</f>
        <v/>
      </c>
      <c r="X167" s="37" t="str">
        <f>IF(N167="","",IFERROR(MIN(100,N167/'Input &amp; Settings'!$B$12*100),""))</f>
        <v/>
      </c>
      <c r="Y167" s="37" t="str">
        <f>IF(O167="","",IFERROR(MIN(100,O167/'Input &amp; Settings'!$B$13*100),""))</f>
        <v/>
      </c>
      <c r="Z167" s="37" t="str">
        <f>IF(P167="","",IFERROR(IF(P167&lt;='Input &amp; Settings'!$B$14,100,MAX(0,100-(P167-'Input &amp; Settings'!$B$14)*20)),""))</f>
        <v/>
      </c>
      <c r="AA167" s="37" t="str">
        <f>IF(COUNTA(G167:P167)=0,"",ROUND(Q167*'Input &amp; Settings'!$C$5+R167*'Input &amp; Settings'!$C$6+S167*'Input &amp; Settings'!$C$7+T167*'Input &amp; Settings'!$C$8+U167*'Input &amp; Settings'!$C$9+V167*'Input &amp; Settings'!$C$10+W167*'Input &amp; Settings'!$C$11+X167*'Input &amp; Settings'!$C$12+Y167*'Input &amp; Settings'!$C$13+Z167*'Input &amp; Settings'!$C$14,1))</f>
        <v/>
      </c>
      <c r="AB167" s="38" t="str">
        <f>IF(OR(AA167="",E167=""),"",IFERROR(IF(AA167&gt;=VLOOKUP(E167,'Input &amp; Settings'!$F$5:$K$10,3,FALSE),"Outstanding",IF(AA167&gt;=VLOOKUP(E167,'Input &amp; Settings'!$F$5:$K$10,4,FALSE),"Exceeds Expectations",IF(AA167&gt;=VLOOKUP(E167,'Input &amp; Settings'!$F$5:$K$10,5,FALSE),"Meets Expectations",IF(AA167&gt;=VLOOKUP(E167,'Input &amp; Settings'!$F$5:$K$10,6,FALSE),"Needs Improvement","Performance Improvement Required")))),""))</f>
        <v/>
      </c>
      <c r="AC167" s="38" t="str">
        <f t="shared" si="8"/>
        <v/>
      </c>
      <c r="AD167" s="39"/>
      <c r="AE167" s="40"/>
      <c r="AF167" s="41" t="str">
        <f t="shared" si="9"/>
        <v/>
      </c>
      <c r="AG167" s="42" t="str">
        <f t="shared" si="10"/>
        <v/>
      </c>
      <c r="AH167" s="42" t="str">
        <f t="shared" si="11"/>
        <v>Christopher Dorta|April</v>
      </c>
    </row>
    <row r="168" spans="1:34" hidden="1">
      <c r="A168" s="32">
        <v>2026</v>
      </c>
      <c r="B168" s="32" t="s">
        <v>83</v>
      </c>
      <c r="C168" s="32" t="s">
        <v>74</v>
      </c>
      <c r="D168" s="32" t="s">
        <v>78</v>
      </c>
      <c r="E168" s="33"/>
      <c r="F168" s="34" t="str">
        <f>IF(E168="","",IFERROR(VLOOKUP(E168,'Input &amp; Settings'!$F$5:$G$10,2,FALSE),""))</f>
        <v/>
      </c>
      <c r="G168" s="33"/>
      <c r="H168" s="33"/>
      <c r="I168" s="35"/>
      <c r="J168" s="33"/>
      <c r="K168" s="36"/>
      <c r="L168" s="35"/>
      <c r="M168" s="33"/>
      <c r="N168" s="33"/>
      <c r="O168" s="33"/>
      <c r="P168" s="33"/>
      <c r="Q168" s="37" t="str">
        <f>IF(G168="","",IFERROR(MIN(100,G168/'Input &amp; Settings'!$B$5*100),""))</f>
        <v/>
      </c>
      <c r="R168" s="37" t="str">
        <f>IF(H168="","",IFERROR(MIN(100,H168/'Input &amp; Settings'!$B$6*100),""))</f>
        <v/>
      </c>
      <c r="S168" s="37" t="str">
        <f>IF(I168="","",IFERROR(MIN(100,I168/'Input &amp; Settings'!$B$7*100),""))</f>
        <v/>
      </c>
      <c r="T168" s="37" t="str">
        <f>IF(J168="","",IFERROR(MIN(100,J168/'Input &amp; Settings'!$B$8*100),""))</f>
        <v/>
      </c>
      <c r="U168" s="37" t="str">
        <f>IF(K168="","",IFERROR(MIN(100,K168/'Input &amp; Settings'!$B$9*100),""))</f>
        <v/>
      </c>
      <c r="V168" s="37" t="str">
        <f>IF(L168="","",IFERROR(MIN(100,L168/'Input &amp; Settings'!$B$10*100),""))</f>
        <v/>
      </c>
      <c r="W168" s="37" t="str">
        <f>IF(M168="","",IFERROR(IF(M168&lt;='Input &amp; Settings'!$B$11,100,MAX(0,100-(M168-'Input &amp; Settings'!$B$11)*20)),""))</f>
        <v/>
      </c>
      <c r="X168" s="37" t="str">
        <f>IF(N168="","",IFERROR(MIN(100,N168/'Input &amp; Settings'!$B$12*100),""))</f>
        <v/>
      </c>
      <c r="Y168" s="37" t="str">
        <f>IF(O168="","",IFERROR(MIN(100,O168/'Input &amp; Settings'!$B$13*100),""))</f>
        <v/>
      </c>
      <c r="Z168" s="37" t="str">
        <f>IF(P168="","",IFERROR(IF(P168&lt;='Input &amp; Settings'!$B$14,100,MAX(0,100-(P168-'Input &amp; Settings'!$B$14)*20)),""))</f>
        <v/>
      </c>
      <c r="AA168" s="37" t="str">
        <f>IF(COUNTA(G168:P168)=0,"",ROUND(Q168*'Input &amp; Settings'!$C$5+R168*'Input &amp; Settings'!$C$6+S168*'Input &amp; Settings'!$C$7+T168*'Input &amp; Settings'!$C$8+U168*'Input &amp; Settings'!$C$9+V168*'Input &amp; Settings'!$C$10+W168*'Input &amp; Settings'!$C$11+X168*'Input &amp; Settings'!$C$12+Y168*'Input &amp; Settings'!$C$13+Z168*'Input &amp; Settings'!$C$14,1))</f>
        <v/>
      </c>
      <c r="AB168" s="38" t="str">
        <f>IF(OR(AA168="",E168=""),"",IFERROR(IF(AA168&gt;=VLOOKUP(E168,'Input &amp; Settings'!$F$5:$K$10,3,FALSE),"Outstanding",IF(AA168&gt;=VLOOKUP(E168,'Input &amp; Settings'!$F$5:$K$10,4,FALSE),"Exceeds Expectations",IF(AA168&gt;=VLOOKUP(E168,'Input &amp; Settings'!$F$5:$K$10,5,FALSE),"Meets Expectations",IF(AA168&gt;=VLOOKUP(E168,'Input &amp; Settings'!$F$5:$K$10,6,FALSE),"Needs Improvement","Performance Improvement Required")))),""))</f>
        <v/>
      </c>
      <c r="AC168" s="38" t="str">
        <f t="shared" si="8"/>
        <v/>
      </c>
      <c r="AD168" s="39"/>
      <c r="AE168" s="40"/>
      <c r="AF168" s="41" t="str">
        <f t="shared" si="9"/>
        <v/>
      </c>
      <c r="AG168" s="42" t="str">
        <f t="shared" si="10"/>
        <v/>
      </c>
      <c r="AH168" s="42" t="str">
        <f t="shared" si="11"/>
        <v>Andres Galvis|April</v>
      </c>
    </row>
    <row r="169" spans="1:34" hidden="1">
      <c r="A169" s="32">
        <v>2026</v>
      </c>
      <c r="B169" s="32" t="s">
        <v>83</v>
      </c>
      <c r="C169" s="32" t="s">
        <v>74</v>
      </c>
      <c r="D169" s="32" t="s">
        <v>79</v>
      </c>
      <c r="E169" s="33"/>
      <c r="F169" s="34" t="str">
        <f>IF(E169="","",IFERROR(VLOOKUP(E169,'Input &amp; Settings'!$F$5:$G$10,2,FALSE),""))</f>
        <v/>
      </c>
      <c r="G169" s="33"/>
      <c r="H169" s="33"/>
      <c r="I169" s="35"/>
      <c r="J169" s="33"/>
      <c r="K169" s="36"/>
      <c r="L169" s="35"/>
      <c r="M169" s="33"/>
      <c r="N169" s="33"/>
      <c r="O169" s="33"/>
      <c r="P169" s="33"/>
      <c r="Q169" s="37" t="str">
        <f>IF(G169="","",IFERROR(MIN(100,G169/'Input &amp; Settings'!$B$5*100),""))</f>
        <v/>
      </c>
      <c r="R169" s="37" t="str">
        <f>IF(H169="","",IFERROR(MIN(100,H169/'Input &amp; Settings'!$B$6*100),""))</f>
        <v/>
      </c>
      <c r="S169" s="37" t="str">
        <f>IF(I169="","",IFERROR(MIN(100,I169/'Input &amp; Settings'!$B$7*100),""))</f>
        <v/>
      </c>
      <c r="T169" s="37" t="str">
        <f>IF(J169="","",IFERROR(MIN(100,J169/'Input &amp; Settings'!$B$8*100),""))</f>
        <v/>
      </c>
      <c r="U169" s="37" t="str">
        <f>IF(K169="","",IFERROR(MIN(100,K169/'Input &amp; Settings'!$B$9*100),""))</f>
        <v/>
      </c>
      <c r="V169" s="37" t="str">
        <f>IF(L169="","",IFERROR(MIN(100,L169/'Input &amp; Settings'!$B$10*100),""))</f>
        <v/>
      </c>
      <c r="W169" s="37" t="str">
        <f>IF(M169="","",IFERROR(IF(M169&lt;='Input &amp; Settings'!$B$11,100,MAX(0,100-(M169-'Input &amp; Settings'!$B$11)*20)),""))</f>
        <v/>
      </c>
      <c r="X169" s="37" t="str">
        <f>IF(N169="","",IFERROR(MIN(100,N169/'Input &amp; Settings'!$B$12*100),""))</f>
        <v/>
      </c>
      <c r="Y169" s="37" t="str">
        <f>IF(O169="","",IFERROR(MIN(100,O169/'Input &amp; Settings'!$B$13*100),""))</f>
        <v/>
      </c>
      <c r="Z169" s="37" t="str">
        <f>IF(P169="","",IFERROR(IF(P169&lt;='Input &amp; Settings'!$B$14,100,MAX(0,100-(P169-'Input &amp; Settings'!$B$14)*20)),""))</f>
        <v/>
      </c>
      <c r="AA169" s="37" t="str">
        <f>IF(COUNTA(G169:P169)=0,"",ROUND(Q169*'Input &amp; Settings'!$C$5+R169*'Input &amp; Settings'!$C$6+S169*'Input &amp; Settings'!$C$7+T169*'Input &amp; Settings'!$C$8+U169*'Input &amp; Settings'!$C$9+V169*'Input &amp; Settings'!$C$10+W169*'Input &amp; Settings'!$C$11+X169*'Input &amp; Settings'!$C$12+Y169*'Input &amp; Settings'!$C$13+Z169*'Input &amp; Settings'!$C$14,1))</f>
        <v/>
      </c>
      <c r="AB169" s="38" t="str">
        <f>IF(OR(AA169="",E169=""),"",IFERROR(IF(AA169&gt;=VLOOKUP(E169,'Input &amp; Settings'!$F$5:$K$10,3,FALSE),"Outstanding",IF(AA169&gt;=VLOOKUP(E169,'Input &amp; Settings'!$F$5:$K$10,4,FALSE),"Exceeds Expectations",IF(AA169&gt;=VLOOKUP(E169,'Input &amp; Settings'!$F$5:$K$10,5,FALSE),"Meets Expectations",IF(AA169&gt;=VLOOKUP(E169,'Input &amp; Settings'!$F$5:$K$10,6,FALSE),"Needs Improvement","Performance Improvement Required")))),""))</f>
        <v/>
      </c>
      <c r="AC169" s="38" t="str">
        <f t="shared" si="8"/>
        <v/>
      </c>
      <c r="AD169" s="39"/>
      <c r="AE169" s="40"/>
      <c r="AF169" s="41" t="str">
        <f t="shared" si="9"/>
        <v/>
      </c>
      <c r="AG169" s="42" t="str">
        <f t="shared" si="10"/>
        <v/>
      </c>
      <c r="AH169" s="42" t="str">
        <f t="shared" si="11"/>
        <v>Roberto Eckardt|April</v>
      </c>
    </row>
    <row r="170" spans="1:34" hidden="1">
      <c r="A170" s="32">
        <v>2026</v>
      </c>
      <c r="B170" s="32" t="s">
        <v>83</v>
      </c>
      <c r="C170" s="32" t="s">
        <v>74</v>
      </c>
      <c r="D170" s="32" t="s">
        <v>80</v>
      </c>
      <c r="E170" s="33"/>
      <c r="F170" s="34" t="str">
        <f>IF(E170="","",IFERROR(VLOOKUP(E170,'Input &amp; Settings'!$F$5:$G$10,2,FALSE),""))</f>
        <v/>
      </c>
      <c r="G170" s="33"/>
      <c r="H170" s="33"/>
      <c r="I170" s="35"/>
      <c r="J170" s="33"/>
      <c r="K170" s="36"/>
      <c r="L170" s="35"/>
      <c r="M170" s="33"/>
      <c r="N170" s="33"/>
      <c r="O170" s="33"/>
      <c r="P170" s="33"/>
      <c r="Q170" s="37" t="str">
        <f>IF(G170="","",IFERROR(MIN(100,G170/'Input &amp; Settings'!$B$5*100),""))</f>
        <v/>
      </c>
      <c r="R170" s="37" t="str">
        <f>IF(H170="","",IFERROR(MIN(100,H170/'Input &amp; Settings'!$B$6*100),""))</f>
        <v/>
      </c>
      <c r="S170" s="37" t="str">
        <f>IF(I170="","",IFERROR(MIN(100,I170/'Input &amp; Settings'!$B$7*100),""))</f>
        <v/>
      </c>
      <c r="T170" s="37" t="str">
        <f>IF(J170="","",IFERROR(MIN(100,J170/'Input &amp; Settings'!$B$8*100),""))</f>
        <v/>
      </c>
      <c r="U170" s="37" t="str">
        <f>IF(K170="","",IFERROR(MIN(100,K170/'Input &amp; Settings'!$B$9*100),""))</f>
        <v/>
      </c>
      <c r="V170" s="37" t="str">
        <f>IF(L170="","",IFERROR(MIN(100,L170/'Input &amp; Settings'!$B$10*100),""))</f>
        <v/>
      </c>
      <c r="W170" s="37" t="str">
        <f>IF(M170="","",IFERROR(IF(M170&lt;='Input &amp; Settings'!$B$11,100,MAX(0,100-(M170-'Input &amp; Settings'!$B$11)*20)),""))</f>
        <v/>
      </c>
      <c r="X170" s="37" t="str">
        <f>IF(N170="","",IFERROR(MIN(100,N170/'Input &amp; Settings'!$B$12*100),""))</f>
        <v/>
      </c>
      <c r="Y170" s="37" t="str">
        <f>IF(O170="","",IFERROR(MIN(100,O170/'Input &amp; Settings'!$B$13*100),""))</f>
        <v/>
      </c>
      <c r="Z170" s="37" t="str">
        <f>IF(P170="","",IFERROR(IF(P170&lt;='Input &amp; Settings'!$B$14,100,MAX(0,100-(P170-'Input &amp; Settings'!$B$14)*20)),""))</f>
        <v/>
      </c>
      <c r="AA170" s="37" t="str">
        <f>IF(COUNTA(G170:P170)=0,"",ROUND(Q170*'Input &amp; Settings'!$C$5+R170*'Input &amp; Settings'!$C$6+S170*'Input &amp; Settings'!$C$7+T170*'Input &amp; Settings'!$C$8+U170*'Input &amp; Settings'!$C$9+V170*'Input &amp; Settings'!$C$10+W170*'Input &amp; Settings'!$C$11+X170*'Input &amp; Settings'!$C$12+Y170*'Input &amp; Settings'!$C$13+Z170*'Input &amp; Settings'!$C$14,1))</f>
        <v/>
      </c>
      <c r="AB170" s="38" t="str">
        <f>IF(OR(AA170="",E170=""),"",IFERROR(IF(AA170&gt;=VLOOKUP(E170,'Input &amp; Settings'!$F$5:$K$10,3,FALSE),"Outstanding",IF(AA170&gt;=VLOOKUP(E170,'Input &amp; Settings'!$F$5:$K$10,4,FALSE),"Exceeds Expectations",IF(AA170&gt;=VLOOKUP(E170,'Input &amp; Settings'!$F$5:$K$10,5,FALSE),"Meets Expectations",IF(AA170&gt;=VLOOKUP(E170,'Input &amp; Settings'!$F$5:$K$10,6,FALSE),"Needs Improvement","Performance Improvement Required")))),""))</f>
        <v/>
      </c>
      <c r="AC170" s="38" t="str">
        <f t="shared" si="8"/>
        <v/>
      </c>
      <c r="AD170" s="39"/>
      <c r="AE170" s="40"/>
      <c r="AF170" s="41" t="str">
        <f t="shared" si="9"/>
        <v/>
      </c>
      <c r="AG170" s="42" t="str">
        <f t="shared" si="10"/>
        <v/>
      </c>
      <c r="AH170" s="42" t="str">
        <f t="shared" si="11"/>
        <v>Angel Perez Martinez|April</v>
      </c>
    </row>
    <row r="171" spans="1:34" hidden="1">
      <c r="A171" s="32">
        <v>2026</v>
      </c>
      <c r="B171" s="32" t="s">
        <v>84</v>
      </c>
      <c r="C171" s="32" t="s">
        <v>36</v>
      </c>
      <c r="D171" s="32" t="s">
        <v>37</v>
      </c>
      <c r="E171" s="33"/>
      <c r="F171" s="34" t="str">
        <f>IF(E171="","",IFERROR(VLOOKUP(E171,'Input &amp; Settings'!$F$5:$G$10,2,FALSE),""))</f>
        <v/>
      </c>
      <c r="G171" s="33"/>
      <c r="H171" s="33"/>
      <c r="I171" s="35"/>
      <c r="J171" s="33"/>
      <c r="K171" s="36"/>
      <c r="L171" s="35"/>
      <c r="M171" s="33"/>
      <c r="N171" s="33"/>
      <c r="O171" s="33"/>
      <c r="P171" s="33"/>
      <c r="Q171" s="37" t="str">
        <f>IF(G171="","",IFERROR(MIN(100,G171/'Input &amp; Settings'!$B$5*100),""))</f>
        <v/>
      </c>
      <c r="R171" s="37" t="str">
        <f>IF(H171="","",IFERROR(MIN(100,H171/'Input &amp; Settings'!$B$6*100),""))</f>
        <v/>
      </c>
      <c r="S171" s="37" t="str">
        <f>IF(I171="","",IFERROR(MIN(100,I171/'Input &amp; Settings'!$B$7*100),""))</f>
        <v/>
      </c>
      <c r="T171" s="37" t="str">
        <f>IF(J171="","",IFERROR(MIN(100,J171/'Input &amp; Settings'!$B$8*100),""))</f>
        <v/>
      </c>
      <c r="U171" s="37" t="str">
        <f>IF(K171="","",IFERROR(MIN(100,K171/'Input &amp; Settings'!$B$9*100),""))</f>
        <v/>
      </c>
      <c r="V171" s="37" t="str">
        <f>IF(L171="","",IFERROR(MIN(100,L171/'Input &amp; Settings'!$B$10*100),""))</f>
        <v/>
      </c>
      <c r="W171" s="37" t="str">
        <f>IF(M171="","",IFERROR(IF(M171&lt;='Input &amp; Settings'!$B$11,100,MAX(0,100-(M171-'Input &amp; Settings'!$B$11)*20)),""))</f>
        <v/>
      </c>
      <c r="X171" s="37" t="str">
        <f>IF(N171="","",IFERROR(MIN(100,N171/'Input &amp; Settings'!$B$12*100),""))</f>
        <v/>
      </c>
      <c r="Y171" s="37" t="str">
        <f>IF(O171="","",IFERROR(MIN(100,O171/'Input &amp; Settings'!$B$13*100),""))</f>
        <v/>
      </c>
      <c r="Z171" s="37" t="str">
        <f>IF(P171="","",IFERROR(IF(P171&lt;='Input &amp; Settings'!$B$14,100,MAX(0,100-(P171-'Input &amp; Settings'!$B$14)*20)),""))</f>
        <v/>
      </c>
      <c r="AA171" s="37" t="str">
        <f>IF(COUNTA(G171:P171)=0,"",ROUND(Q171*'Input &amp; Settings'!$C$5+R171*'Input &amp; Settings'!$C$6+S171*'Input &amp; Settings'!$C$7+T171*'Input &amp; Settings'!$C$8+U171*'Input &amp; Settings'!$C$9+V171*'Input &amp; Settings'!$C$10+W171*'Input &amp; Settings'!$C$11+X171*'Input &amp; Settings'!$C$12+Y171*'Input &amp; Settings'!$C$13+Z171*'Input &amp; Settings'!$C$14,1))</f>
        <v/>
      </c>
      <c r="AB171" s="38" t="str">
        <f>IF(OR(AA171="",E171=""),"",IFERROR(IF(AA171&gt;=VLOOKUP(E171,'Input &amp; Settings'!$F$5:$K$10,3,FALSE),"Outstanding",IF(AA171&gt;=VLOOKUP(E171,'Input &amp; Settings'!$F$5:$K$10,4,FALSE),"Exceeds Expectations",IF(AA171&gt;=VLOOKUP(E171,'Input &amp; Settings'!$F$5:$K$10,5,FALSE),"Meets Expectations",IF(AA171&gt;=VLOOKUP(E171,'Input &amp; Settings'!$F$5:$K$10,6,FALSE),"Needs Improvement","Performance Improvement Required")))),""))</f>
        <v/>
      </c>
      <c r="AC171" s="38" t="str">
        <f t="shared" si="8"/>
        <v/>
      </c>
      <c r="AD171" s="39"/>
      <c r="AE171" s="40"/>
      <c r="AF171" s="41" t="str">
        <f t="shared" si="9"/>
        <v/>
      </c>
      <c r="AG171" s="42" t="str">
        <f t="shared" si="10"/>
        <v/>
      </c>
      <c r="AH171" s="42" t="str">
        <f t="shared" si="11"/>
        <v>Carly Huber|May</v>
      </c>
    </row>
    <row r="172" spans="1:34" hidden="1">
      <c r="A172" s="32">
        <v>2026</v>
      </c>
      <c r="B172" s="32" t="s">
        <v>84</v>
      </c>
      <c r="C172" s="32" t="s">
        <v>36</v>
      </c>
      <c r="D172" s="32" t="s">
        <v>38</v>
      </c>
      <c r="E172" s="33"/>
      <c r="F172" s="34" t="str">
        <f>IF(E172="","",IFERROR(VLOOKUP(E172,'Input &amp; Settings'!$F$5:$G$10,2,FALSE),""))</f>
        <v/>
      </c>
      <c r="G172" s="33"/>
      <c r="H172" s="33"/>
      <c r="I172" s="35"/>
      <c r="J172" s="33"/>
      <c r="K172" s="36"/>
      <c r="L172" s="35"/>
      <c r="M172" s="33"/>
      <c r="N172" s="33"/>
      <c r="O172" s="33"/>
      <c r="P172" s="33"/>
      <c r="Q172" s="37" t="str">
        <f>IF(G172="","",IFERROR(MIN(100,G172/'Input &amp; Settings'!$B$5*100),""))</f>
        <v/>
      </c>
      <c r="R172" s="37" t="str">
        <f>IF(H172="","",IFERROR(MIN(100,H172/'Input &amp; Settings'!$B$6*100),""))</f>
        <v/>
      </c>
      <c r="S172" s="37" t="str">
        <f>IF(I172="","",IFERROR(MIN(100,I172/'Input &amp; Settings'!$B$7*100),""))</f>
        <v/>
      </c>
      <c r="T172" s="37" t="str">
        <f>IF(J172="","",IFERROR(MIN(100,J172/'Input &amp; Settings'!$B$8*100),""))</f>
        <v/>
      </c>
      <c r="U172" s="37" t="str">
        <f>IF(K172="","",IFERROR(MIN(100,K172/'Input &amp; Settings'!$B$9*100),""))</f>
        <v/>
      </c>
      <c r="V172" s="37" t="str">
        <f>IF(L172="","",IFERROR(MIN(100,L172/'Input &amp; Settings'!$B$10*100),""))</f>
        <v/>
      </c>
      <c r="W172" s="37" t="str">
        <f>IF(M172="","",IFERROR(IF(M172&lt;='Input &amp; Settings'!$B$11,100,MAX(0,100-(M172-'Input &amp; Settings'!$B$11)*20)),""))</f>
        <v/>
      </c>
      <c r="X172" s="37" t="str">
        <f>IF(N172="","",IFERROR(MIN(100,N172/'Input &amp; Settings'!$B$12*100),""))</f>
        <v/>
      </c>
      <c r="Y172" s="37" t="str">
        <f>IF(O172="","",IFERROR(MIN(100,O172/'Input &amp; Settings'!$B$13*100),""))</f>
        <v/>
      </c>
      <c r="Z172" s="37" t="str">
        <f>IF(P172="","",IFERROR(IF(P172&lt;='Input &amp; Settings'!$B$14,100,MAX(0,100-(P172-'Input &amp; Settings'!$B$14)*20)),""))</f>
        <v/>
      </c>
      <c r="AA172" s="37" t="str">
        <f>IF(COUNTA(G172:P172)=0,"",ROUND(Q172*'Input &amp; Settings'!$C$5+R172*'Input &amp; Settings'!$C$6+S172*'Input &amp; Settings'!$C$7+T172*'Input &amp; Settings'!$C$8+U172*'Input &amp; Settings'!$C$9+V172*'Input &amp; Settings'!$C$10+W172*'Input &amp; Settings'!$C$11+X172*'Input &amp; Settings'!$C$12+Y172*'Input &amp; Settings'!$C$13+Z172*'Input &amp; Settings'!$C$14,1))</f>
        <v/>
      </c>
      <c r="AB172" s="38" t="str">
        <f>IF(OR(AA172="",E172=""),"",IFERROR(IF(AA172&gt;=VLOOKUP(E172,'Input &amp; Settings'!$F$5:$K$10,3,FALSE),"Outstanding",IF(AA172&gt;=VLOOKUP(E172,'Input &amp; Settings'!$F$5:$K$10,4,FALSE),"Exceeds Expectations",IF(AA172&gt;=VLOOKUP(E172,'Input &amp; Settings'!$F$5:$K$10,5,FALSE),"Meets Expectations",IF(AA172&gt;=VLOOKUP(E172,'Input &amp; Settings'!$F$5:$K$10,6,FALSE),"Needs Improvement","Performance Improvement Required")))),""))</f>
        <v/>
      </c>
      <c r="AC172" s="38" t="str">
        <f t="shared" si="8"/>
        <v/>
      </c>
      <c r="AD172" s="39"/>
      <c r="AE172" s="40"/>
      <c r="AF172" s="41" t="str">
        <f t="shared" si="9"/>
        <v/>
      </c>
      <c r="AG172" s="42" t="str">
        <f t="shared" si="10"/>
        <v/>
      </c>
      <c r="AH172" s="42" t="str">
        <f t="shared" si="11"/>
        <v>Julian Grier|May</v>
      </c>
    </row>
    <row r="173" spans="1:34" hidden="1">
      <c r="A173" s="32">
        <v>2026</v>
      </c>
      <c r="B173" s="32" t="s">
        <v>84</v>
      </c>
      <c r="C173" s="32" t="s">
        <v>36</v>
      </c>
      <c r="D173" s="32" t="s">
        <v>39</v>
      </c>
      <c r="E173" s="33"/>
      <c r="F173" s="34" t="str">
        <f>IF(E173="","",IFERROR(VLOOKUP(E173,'Input &amp; Settings'!$F$5:$G$10,2,FALSE),""))</f>
        <v/>
      </c>
      <c r="G173" s="33"/>
      <c r="H173" s="33"/>
      <c r="I173" s="35"/>
      <c r="J173" s="33"/>
      <c r="K173" s="36"/>
      <c r="L173" s="35"/>
      <c r="M173" s="33"/>
      <c r="N173" s="33"/>
      <c r="O173" s="33"/>
      <c r="P173" s="33"/>
      <c r="Q173" s="37" t="str">
        <f>IF(G173="","",IFERROR(MIN(100,G173/'Input &amp; Settings'!$B$5*100),""))</f>
        <v/>
      </c>
      <c r="R173" s="37" t="str">
        <f>IF(H173="","",IFERROR(MIN(100,H173/'Input &amp; Settings'!$B$6*100),""))</f>
        <v/>
      </c>
      <c r="S173" s="37" t="str">
        <f>IF(I173="","",IFERROR(MIN(100,I173/'Input &amp; Settings'!$B$7*100),""))</f>
        <v/>
      </c>
      <c r="T173" s="37" t="str">
        <f>IF(J173="","",IFERROR(MIN(100,J173/'Input &amp; Settings'!$B$8*100),""))</f>
        <v/>
      </c>
      <c r="U173" s="37" t="str">
        <f>IF(K173="","",IFERROR(MIN(100,K173/'Input &amp; Settings'!$B$9*100),""))</f>
        <v/>
      </c>
      <c r="V173" s="37" t="str">
        <f>IF(L173="","",IFERROR(MIN(100,L173/'Input &amp; Settings'!$B$10*100),""))</f>
        <v/>
      </c>
      <c r="W173" s="37" t="str">
        <f>IF(M173="","",IFERROR(IF(M173&lt;='Input &amp; Settings'!$B$11,100,MAX(0,100-(M173-'Input &amp; Settings'!$B$11)*20)),""))</f>
        <v/>
      </c>
      <c r="X173" s="37" t="str">
        <f>IF(N173="","",IFERROR(MIN(100,N173/'Input &amp; Settings'!$B$12*100),""))</f>
        <v/>
      </c>
      <c r="Y173" s="37" t="str">
        <f>IF(O173="","",IFERROR(MIN(100,O173/'Input &amp; Settings'!$B$13*100),""))</f>
        <v/>
      </c>
      <c r="Z173" s="37" t="str">
        <f>IF(P173="","",IFERROR(IF(P173&lt;='Input &amp; Settings'!$B$14,100,MAX(0,100-(P173-'Input &amp; Settings'!$B$14)*20)),""))</f>
        <v/>
      </c>
      <c r="AA173" s="37" t="str">
        <f>IF(COUNTA(G173:P173)=0,"",ROUND(Q173*'Input &amp; Settings'!$C$5+R173*'Input &amp; Settings'!$C$6+S173*'Input &amp; Settings'!$C$7+T173*'Input &amp; Settings'!$C$8+U173*'Input &amp; Settings'!$C$9+V173*'Input &amp; Settings'!$C$10+W173*'Input &amp; Settings'!$C$11+X173*'Input &amp; Settings'!$C$12+Y173*'Input &amp; Settings'!$C$13+Z173*'Input &amp; Settings'!$C$14,1))</f>
        <v/>
      </c>
      <c r="AB173" s="38" t="str">
        <f>IF(OR(AA173="",E173=""),"",IFERROR(IF(AA173&gt;=VLOOKUP(E173,'Input &amp; Settings'!$F$5:$K$10,3,FALSE),"Outstanding",IF(AA173&gt;=VLOOKUP(E173,'Input &amp; Settings'!$F$5:$K$10,4,FALSE),"Exceeds Expectations",IF(AA173&gt;=VLOOKUP(E173,'Input &amp; Settings'!$F$5:$K$10,5,FALSE),"Meets Expectations",IF(AA173&gt;=VLOOKUP(E173,'Input &amp; Settings'!$F$5:$K$10,6,FALSE),"Needs Improvement","Performance Improvement Required")))),""))</f>
        <v/>
      </c>
      <c r="AC173" s="38" t="str">
        <f t="shared" si="8"/>
        <v/>
      </c>
      <c r="AD173" s="39"/>
      <c r="AE173" s="40"/>
      <c r="AF173" s="41" t="str">
        <f t="shared" si="9"/>
        <v/>
      </c>
      <c r="AG173" s="42" t="str">
        <f t="shared" si="10"/>
        <v/>
      </c>
      <c r="AH173" s="42" t="str">
        <f t="shared" si="11"/>
        <v>Jorge Lopez|May</v>
      </c>
    </row>
    <row r="174" spans="1:34" hidden="1">
      <c r="A174" s="32">
        <v>2026</v>
      </c>
      <c r="B174" s="32" t="s">
        <v>84</v>
      </c>
      <c r="C174" s="32" t="s">
        <v>36</v>
      </c>
      <c r="D174" s="32" t="s">
        <v>40</v>
      </c>
      <c r="E174" s="33"/>
      <c r="F174" s="34" t="str">
        <f>IF(E174="","",IFERROR(VLOOKUP(E174,'Input &amp; Settings'!$F$5:$G$10,2,FALSE),""))</f>
        <v/>
      </c>
      <c r="G174" s="33"/>
      <c r="H174" s="33"/>
      <c r="I174" s="35"/>
      <c r="J174" s="33"/>
      <c r="K174" s="36"/>
      <c r="L174" s="35"/>
      <c r="M174" s="33"/>
      <c r="N174" s="33"/>
      <c r="O174" s="33"/>
      <c r="P174" s="33"/>
      <c r="Q174" s="37" t="str">
        <f>IF(G174="","",IFERROR(MIN(100,G174/'Input &amp; Settings'!$B$5*100),""))</f>
        <v/>
      </c>
      <c r="R174" s="37" t="str">
        <f>IF(H174="","",IFERROR(MIN(100,H174/'Input &amp; Settings'!$B$6*100),""))</f>
        <v/>
      </c>
      <c r="S174" s="37" t="str">
        <f>IF(I174="","",IFERROR(MIN(100,I174/'Input &amp; Settings'!$B$7*100),""))</f>
        <v/>
      </c>
      <c r="T174" s="37" t="str">
        <f>IF(J174="","",IFERROR(MIN(100,J174/'Input &amp; Settings'!$B$8*100),""))</f>
        <v/>
      </c>
      <c r="U174" s="37" t="str">
        <f>IF(K174="","",IFERROR(MIN(100,K174/'Input &amp; Settings'!$B$9*100),""))</f>
        <v/>
      </c>
      <c r="V174" s="37" t="str">
        <f>IF(L174="","",IFERROR(MIN(100,L174/'Input &amp; Settings'!$B$10*100),""))</f>
        <v/>
      </c>
      <c r="W174" s="37" t="str">
        <f>IF(M174="","",IFERROR(IF(M174&lt;='Input &amp; Settings'!$B$11,100,MAX(0,100-(M174-'Input &amp; Settings'!$B$11)*20)),""))</f>
        <v/>
      </c>
      <c r="X174" s="37" t="str">
        <f>IF(N174="","",IFERROR(MIN(100,N174/'Input &amp; Settings'!$B$12*100),""))</f>
        <v/>
      </c>
      <c r="Y174" s="37" t="str">
        <f>IF(O174="","",IFERROR(MIN(100,O174/'Input &amp; Settings'!$B$13*100),""))</f>
        <v/>
      </c>
      <c r="Z174" s="37" t="str">
        <f>IF(P174="","",IFERROR(IF(P174&lt;='Input &amp; Settings'!$B$14,100,MAX(0,100-(P174-'Input &amp; Settings'!$B$14)*20)),""))</f>
        <v/>
      </c>
      <c r="AA174" s="37" t="str">
        <f>IF(COUNTA(G174:P174)=0,"",ROUND(Q174*'Input &amp; Settings'!$C$5+R174*'Input &amp; Settings'!$C$6+S174*'Input &amp; Settings'!$C$7+T174*'Input &amp; Settings'!$C$8+U174*'Input &amp; Settings'!$C$9+V174*'Input &amp; Settings'!$C$10+W174*'Input &amp; Settings'!$C$11+X174*'Input &amp; Settings'!$C$12+Y174*'Input &amp; Settings'!$C$13+Z174*'Input &amp; Settings'!$C$14,1))</f>
        <v/>
      </c>
      <c r="AB174" s="38" t="str">
        <f>IF(OR(AA174="",E174=""),"",IFERROR(IF(AA174&gt;=VLOOKUP(E174,'Input &amp; Settings'!$F$5:$K$10,3,FALSE),"Outstanding",IF(AA174&gt;=VLOOKUP(E174,'Input &amp; Settings'!$F$5:$K$10,4,FALSE),"Exceeds Expectations",IF(AA174&gt;=VLOOKUP(E174,'Input &amp; Settings'!$F$5:$K$10,5,FALSE),"Meets Expectations",IF(AA174&gt;=VLOOKUP(E174,'Input &amp; Settings'!$F$5:$K$10,6,FALSE),"Needs Improvement","Performance Improvement Required")))),""))</f>
        <v/>
      </c>
      <c r="AC174" s="38" t="str">
        <f t="shared" si="8"/>
        <v/>
      </c>
      <c r="AD174" s="39"/>
      <c r="AE174" s="40"/>
      <c r="AF174" s="41" t="str">
        <f t="shared" si="9"/>
        <v/>
      </c>
      <c r="AG174" s="42" t="str">
        <f t="shared" si="10"/>
        <v/>
      </c>
      <c r="AH174" s="42" t="str">
        <f t="shared" si="11"/>
        <v>Juan Pablo Pique Buil (JP)|May</v>
      </c>
    </row>
    <row r="175" spans="1:34" hidden="1">
      <c r="A175" s="32">
        <v>2026</v>
      </c>
      <c r="B175" s="32" t="s">
        <v>84</v>
      </c>
      <c r="C175" s="32" t="s">
        <v>36</v>
      </c>
      <c r="D175" s="32" t="s">
        <v>41</v>
      </c>
      <c r="E175" s="33"/>
      <c r="F175" s="34" t="str">
        <f>IF(E175="","",IFERROR(VLOOKUP(E175,'Input &amp; Settings'!$F$5:$G$10,2,FALSE),""))</f>
        <v/>
      </c>
      <c r="G175" s="33"/>
      <c r="H175" s="33"/>
      <c r="I175" s="35"/>
      <c r="J175" s="33"/>
      <c r="K175" s="36"/>
      <c r="L175" s="35"/>
      <c r="M175" s="33"/>
      <c r="N175" s="33"/>
      <c r="O175" s="33"/>
      <c r="P175" s="33"/>
      <c r="Q175" s="37" t="str">
        <f>IF(G175="","",IFERROR(MIN(100,G175/'Input &amp; Settings'!$B$5*100),""))</f>
        <v/>
      </c>
      <c r="R175" s="37" t="str">
        <f>IF(H175="","",IFERROR(MIN(100,H175/'Input &amp; Settings'!$B$6*100),""))</f>
        <v/>
      </c>
      <c r="S175" s="37" t="str">
        <f>IF(I175="","",IFERROR(MIN(100,I175/'Input &amp; Settings'!$B$7*100),""))</f>
        <v/>
      </c>
      <c r="T175" s="37" t="str">
        <f>IF(J175="","",IFERROR(MIN(100,J175/'Input &amp; Settings'!$B$8*100),""))</f>
        <v/>
      </c>
      <c r="U175" s="37" t="str">
        <f>IF(K175="","",IFERROR(MIN(100,K175/'Input &amp; Settings'!$B$9*100),""))</f>
        <v/>
      </c>
      <c r="V175" s="37" t="str">
        <f>IF(L175="","",IFERROR(MIN(100,L175/'Input &amp; Settings'!$B$10*100),""))</f>
        <v/>
      </c>
      <c r="W175" s="37" t="str">
        <f>IF(M175="","",IFERROR(IF(M175&lt;='Input &amp; Settings'!$B$11,100,MAX(0,100-(M175-'Input &amp; Settings'!$B$11)*20)),""))</f>
        <v/>
      </c>
      <c r="X175" s="37" t="str">
        <f>IF(N175="","",IFERROR(MIN(100,N175/'Input &amp; Settings'!$B$12*100),""))</f>
        <v/>
      </c>
      <c r="Y175" s="37" t="str">
        <f>IF(O175="","",IFERROR(MIN(100,O175/'Input &amp; Settings'!$B$13*100),""))</f>
        <v/>
      </c>
      <c r="Z175" s="37" t="str">
        <f>IF(P175="","",IFERROR(IF(P175&lt;='Input &amp; Settings'!$B$14,100,MAX(0,100-(P175-'Input &amp; Settings'!$B$14)*20)),""))</f>
        <v/>
      </c>
      <c r="AA175" s="37" t="str">
        <f>IF(COUNTA(G175:P175)=0,"",ROUND(Q175*'Input &amp; Settings'!$C$5+R175*'Input &amp; Settings'!$C$6+S175*'Input &amp; Settings'!$C$7+T175*'Input &amp; Settings'!$C$8+U175*'Input &amp; Settings'!$C$9+V175*'Input &amp; Settings'!$C$10+W175*'Input &amp; Settings'!$C$11+X175*'Input &amp; Settings'!$C$12+Y175*'Input &amp; Settings'!$C$13+Z175*'Input &amp; Settings'!$C$14,1))</f>
        <v/>
      </c>
      <c r="AB175" s="38" t="str">
        <f>IF(OR(AA175="",E175=""),"",IFERROR(IF(AA175&gt;=VLOOKUP(E175,'Input &amp; Settings'!$F$5:$K$10,3,FALSE),"Outstanding",IF(AA175&gt;=VLOOKUP(E175,'Input &amp; Settings'!$F$5:$K$10,4,FALSE),"Exceeds Expectations",IF(AA175&gt;=VLOOKUP(E175,'Input &amp; Settings'!$F$5:$K$10,5,FALSE),"Meets Expectations",IF(AA175&gt;=VLOOKUP(E175,'Input &amp; Settings'!$F$5:$K$10,6,FALSE),"Needs Improvement","Performance Improvement Required")))),""))</f>
        <v/>
      </c>
      <c r="AC175" s="38" t="str">
        <f t="shared" si="8"/>
        <v/>
      </c>
      <c r="AD175" s="39"/>
      <c r="AE175" s="40"/>
      <c r="AF175" s="41" t="str">
        <f t="shared" si="9"/>
        <v/>
      </c>
      <c r="AG175" s="42" t="str">
        <f t="shared" si="10"/>
        <v/>
      </c>
      <c r="AH175" s="42" t="str">
        <f t="shared" si="11"/>
        <v>Peter Gonzalez|May</v>
      </c>
    </row>
    <row r="176" spans="1:34" hidden="1">
      <c r="A176" s="32">
        <v>2026</v>
      </c>
      <c r="B176" s="32" t="s">
        <v>84</v>
      </c>
      <c r="C176" s="32" t="s">
        <v>36</v>
      </c>
      <c r="D176" s="32" t="s">
        <v>42</v>
      </c>
      <c r="E176" s="33"/>
      <c r="F176" s="34" t="str">
        <f>IF(E176="","",IFERROR(VLOOKUP(E176,'Input &amp; Settings'!$F$5:$G$10,2,FALSE),""))</f>
        <v/>
      </c>
      <c r="G176" s="33"/>
      <c r="H176" s="33"/>
      <c r="I176" s="35"/>
      <c r="J176" s="33"/>
      <c r="K176" s="36"/>
      <c r="L176" s="35"/>
      <c r="M176" s="33"/>
      <c r="N176" s="33"/>
      <c r="O176" s="33"/>
      <c r="P176" s="33"/>
      <c r="Q176" s="37" t="str">
        <f>IF(G176="","",IFERROR(MIN(100,G176/'Input &amp; Settings'!$B$5*100),""))</f>
        <v/>
      </c>
      <c r="R176" s="37" t="str">
        <f>IF(H176="","",IFERROR(MIN(100,H176/'Input &amp; Settings'!$B$6*100),""))</f>
        <v/>
      </c>
      <c r="S176" s="37" t="str">
        <f>IF(I176="","",IFERROR(MIN(100,I176/'Input &amp; Settings'!$B$7*100),""))</f>
        <v/>
      </c>
      <c r="T176" s="37" t="str">
        <f>IF(J176="","",IFERROR(MIN(100,J176/'Input &amp; Settings'!$B$8*100),""))</f>
        <v/>
      </c>
      <c r="U176" s="37" t="str">
        <f>IF(K176="","",IFERROR(MIN(100,K176/'Input &amp; Settings'!$B$9*100),""))</f>
        <v/>
      </c>
      <c r="V176" s="37" t="str">
        <f>IF(L176="","",IFERROR(MIN(100,L176/'Input &amp; Settings'!$B$10*100),""))</f>
        <v/>
      </c>
      <c r="W176" s="37" t="str">
        <f>IF(M176="","",IFERROR(IF(M176&lt;='Input &amp; Settings'!$B$11,100,MAX(0,100-(M176-'Input &amp; Settings'!$B$11)*20)),""))</f>
        <v/>
      </c>
      <c r="X176" s="37" t="str">
        <f>IF(N176="","",IFERROR(MIN(100,N176/'Input &amp; Settings'!$B$12*100),""))</f>
        <v/>
      </c>
      <c r="Y176" s="37" t="str">
        <f>IF(O176="","",IFERROR(MIN(100,O176/'Input &amp; Settings'!$B$13*100),""))</f>
        <v/>
      </c>
      <c r="Z176" s="37" t="str">
        <f>IF(P176="","",IFERROR(IF(P176&lt;='Input &amp; Settings'!$B$14,100,MAX(0,100-(P176-'Input &amp; Settings'!$B$14)*20)),""))</f>
        <v/>
      </c>
      <c r="AA176" s="37" t="str">
        <f>IF(COUNTA(G176:P176)=0,"",ROUND(Q176*'Input &amp; Settings'!$C$5+R176*'Input &amp; Settings'!$C$6+S176*'Input &amp; Settings'!$C$7+T176*'Input &amp; Settings'!$C$8+U176*'Input &amp; Settings'!$C$9+V176*'Input &amp; Settings'!$C$10+W176*'Input &amp; Settings'!$C$11+X176*'Input &amp; Settings'!$C$12+Y176*'Input &amp; Settings'!$C$13+Z176*'Input &amp; Settings'!$C$14,1))</f>
        <v/>
      </c>
      <c r="AB176" s="38" t="str">
        <f>IF(OR(AA176="",E176=""),"",IFERROR(IF(AA176&gt;=VLOOKUP(E176,'Input &amp; Settings'!$F$5:$K$10,3,FALSE),"Outstanding",IF(AA176&gt;=VLOOKUP(E176,'Input &amp; Settings'!$F$5:$K$10,4,FALSE),"Exceeds Expectations",IF(AA176&gt;=VLOOKUP(E176,'Input &amp; Settings'!$F$5:$K$10,5,FALSE),"Meets Expectations",IF(AA176&gt;=VLOOKUP(E176,'Input &amp; Settings'!$F$5:$K$10,6,FALSE),"Needs Improvement","Performance Improvement Required")))),""))</f>
        <v/>
      </c>
      <c r="AC176" s="38" t="str">
        <f t="shared" si="8"/>
        <v/>
      </c>
      <c r="AD176" s="39"/>
      <c r="AE176" s="40"/>
      <c r="AF176" s="41" t="str">
        <f t="shared" si="9"/>
        <v/>
      </c>
      <c r="AG176" s="42" t="str">
        <f t="shared" si="10"/>
        <v/>
      </c>
      <c r="AH176" s="42" t="str">
        <f t="shared" si="11"/>
        <v>Dennis Hartling|May</v>
      </c>
    </row>
    <row r="177" spans="1:34" hidden="1">
      <c r="A177" s="32">
        <v>2026</v>
      </c>
      <c r="B177" s="32" t="s">
        <v>84</v>
      </c>
      <c r="C177" s="32" t="s">
        <v>36</v>
      </c>
      <c r="D177" s="32" t="s">
        <v>43</v>
      </c>
      <c r="E177" s="33"/>
      <c r="F177" s="34" t="str">
        <f>IF(E177="","",IFERROR(VLOOKUP(E177,'Input &amp; Settings'!$F$5:$G$10,2,FALSE),""))</f>
        <v/>
      </c>
      <c r="G177" s="33"/>
      <c r="H177" s="33"/>
      <c r="I177" s="35"/>
      <c r="J177" s="33"/>
      <c r="K177" s="36"/>
      <c r="L177" s="35"/>
      <c r="M177" s="33"/>
      <c r="N177" s="33"/>
      <c r="O177" s="33"/>
      <c r="P177" s="33"/>
      <c r="Q177" s="37" t="str">
        <f>IF(G177="","",IFERROR(MIN(100,G177/'Input &amp; Settings'!$B$5*100),""))</f>
        <v/>
      </c>
      <c r="R177" s="37" t="str">
        <f>IF(H177="","",IFERROR(MIN(100,H177/'Input &amp; Settings'!$B$6*100),""))</f>
        <v/>
      </c>
      <c r="S177" s="37" t="str">
        <f>IF(I177="","",IFERROR(MIN(100,I177/'Input &amp; Settings'!$B$7*100),""))</f>
        <v/>
      </c>
      <c r="T177" s="37" t="str">
        <f>IF(J177="","",IFERROR(MIN(100,J177/'Input &amp; Settings'!$B$8*100),""))</f>
        <v/>
      </c>
      <c r="U177" s="37" t="str">
        <f>IF(K177="","",IFERROR(MIN(100,K177/'Input &amp; Settings'!$B$9*100),""))</f>
        <v/>
      </c>
      <c r="V177" s="37" t="str">
        <f>IF(L177="","",IFERROR(MIN(100,L177/'Input &amp; Settings'!$B$10*100),""))</f>
        <v/>
      </c>
      <c r="W177" s="37" t="str">
        <f>IF(M177="","",IFERROR(IF(M177&lt;='Input &amp; Settings'!$B$11,100,MAX(0,100-(M177-'Input &amp; Settings'!$B$11)*20)),""))</f>
        <v/>
      </c>
      <c r="X177" s="37" t="str">
        <f>IF(N177="","",IFERROR(MIN(100,N177/'Input &amp; Settings'!$B$12*100),""))</f>
        <v/>
      </c>
      <c r="Y177" s="37" t="str">
        <f>IF(O177="","",IFERROR(MIN(100,O177/'Input &amp; Settings'!$B$13*100),""))</f>
        <v/>
      </c>
      <c r="Z177" s="37" t="str">
        <f>IF(P177="","",IFERROR(IF(P177&lt;='Input &amp; Settings'!$B$14,100,MAX(0,100-(P177-'Input &amp; Settings'!$B$14)*20)),""))</f>
        <v/>
      </c>
      <c r="AA177" s="37" t="str">
        <f>IF(COUNTA(G177:P177)=0,"",ROUND(Q177*'Input &amp; Settings'!$C$5+R177*'Input &amp; Settings'!$C$6+S177*'Input &amp; Settings'!$C$7+T177*'Input &amp; Settings'!$C$8+U177*'Input &amp; Settings'!$C$9+V177*'Input &amp; Settings'!$C$10+W177*'Input &amp; Settings'!$C$11+X177*'Input &amp; Settings'!$C$12+Y177*'Input &amp; Settings'!$C$13+Z177*'Input &amp; Settings'!$C$14,1))</f>
        <v/>
      </c>
      <c r="AB177" s="38" t="str">
        <f>IF(OR(AA177="",E177=""),"",IFERROR(IF(AA177&gt;=VLOOKUP(E177,'Input &amp; Settings'!$F$5:$K$10,3,FALSE),"Outstanding",IF(AA177&gt;=VLOOKUP(E177,'Input &amp; Settings'!$F$5:$K$10,4,FALSE),"Exceeds Expectations",IF(AA177&gt;=VLOOKUP(E177,'Input &amp; Settings'!$F$5:$K$10,5,FALSE),"Meets Expectations",IF(AA177&gt;=VLOOKUP(E177,'Input &amp; Settings'!$F$5:$K$10,6,FALSE),"Needs Improvement","Performance Improvement Required")))),""))</f>
        <v/>
      </c>
      <c r="AC177" s="38" t="str">
        <f t="shared" si="8"/>
        <v/>
      </c>
      <c r="AD177" s="39"/>
      <c r="AE177" s="40"/>
      <c r="AF177" s="41" t="str">
        <f t="shared" si="9"/>
        <v/>
      </c>
      <c r="AG177" s="42" t="str">
        <f t="shared" si="10"/>
        <v/>
      </c>
      <c r="AH177" s="42" t="str">
        <f t="shared" si="11"/>
        <v>Gilbert Eugene|May</v>
      </c>
    </row>
    <row r="178" spans="1:34" hidden="1">
      <c r="A178" s="32">
        <v>2026</v>
      </c>
      <c r="B178" s="32" t="s">
        <v>84</v>
      </c>
      <c r="C178" s="32" t="s">
        <v>36</v>
      </c>
      <c r="D178" s="32" t="s">
        <v>44</v>
      </c>
      <c r="E178" s="33"/>
      <c r="F178" s="34" t="str">
        <f>IF(E178="","",IFERROR(VLOOKUP(E178,'Input &amp; Settings'!$F$5:$G$10,2,FALSE),""))</f>
        <v/>
      </c>
      <c r="G178" s="33"/>
      <c r="H178" s="33"/>
      <c r="I178" s="35"/>
      <c r="J178" s="33"/>
      <c r="K178" s="36"/>
      <c r="L178" s="35"/>
      <c r="M178" s="33"/>
      <c r="N178" s="33"/>
      <c r="O178" s="33"/>
      <c r="P178" s="33"/>
      <c r="Q178" s="37" t="str">
        <f>IF(G178="","",IFERROR(MIN(100,G178/'Input &amp; Settings'!$B$5*100),""))</f>
        <v/>
      </c>
      <c r="R178" s="37" t="str">
        <f>IF(H178="","",IFERROR(MIN(100,H178/'Input &amp; Settings'!$B$6*100),""))</f>
        <v/>
      </c>
      <c r="S178" s="37" t="str">
        <f>IF(I178="","",IFERROR(MIN(100,I178/'Input &amp; Settings'!$B$7*100),""))</f>
        <v/>
      </c>
      <c r="T178" s="37" t="str">
        <f>IF(J178="","",IFERROR(MIN(100,J178/'Input &amp; Settings'!$B$8*100),""))</f>
        <v/>
      </c>
      <c r="U178" s="37" t="str">
        <f>IF(K178="","",IFERROR(MIN(100,K178/'Input &amp; Settings'!$B$9*100),""))</f>
        <v/>
      </c>
      <c r="V178" s="37" t="str">
        <f>IF(L178="","",IFERROR(MIN(100,L178/'Input &amp; Settings'!$B$10*100),""))</f>
        <v/>
      </c>
      <c r="W178" s="37" t="str">
        <f>IF(M178="","",IFERROR(IF(M178&lt;='Input &amp; Settings'!$B$11,100,MAX(0,100-(M178-'Input &amp; Settings'!$B$11)*20)),""))</f>
        <v/>
      </c>
      <c r="X178" s="37" t="str">
        <f>IF(N178="","",IFERROR(MIN(100,N178/'Input &amp; Settings'!$B$12*100),""))</f>
        <v/>
      </c>
      <c r="Y178" s="37" t="str">
        <f>IF(O178="","",IFERROR(MIN(100,O178/'Input &amp; Settings'!$B$13*100),""))</f>
        <v/>
      </c>
      <c r="Z178" s="37" t="str">
        <f>IF(P178="","",IFERROR(IF(P178&lt;='Input &amp; Settings'!$B$14,100,MAX(0,100-(P178-'Input &amp; Settings'!$B$14)*20)),""))</f>
        <v/>
      </c>
      <c r="AA178" s="37" t="str">
        <f>IF(COUNTA(G178:P178)=0,"",ROUND(Q178*'Input &amp; Settings'!$C$5+R178*'Input &amp; Settings'!$C$6+S178*'Input &amp; Settings'!$C$7+T178*'Input &amp; Settings'!$C$8+U178*'Input &amp; Settings'!$C$9+V178*'Input &amp; Settings'!$C$10+W178*'Input &amp; Settings'!$C$11+X178*'Input &amp; Settings'!$C$12+Y178*'Input &amp; Settings'!$C$13+Z178*'Input &amp; Settings'!$C$14,1))</f>
        <v/>
      </c>
      <c r="AB178" s="38" t="str">
        <f>IF(OR(AA178="",E178=""),"",IFERROR(IF(AA178&gt;=VLOOKUP(E178,'Input &amp; Settings'!$F$5:$K$10,3,FALSE),"Outstanding",IF(AA178&gt;=VLOOKUP(E178,'Input &amp; Settings'!$F$5:$K$10,4,FALSE),"Exceeds Expectations",IF(AA178&gt;=VLOOKUP(E178,'Input &amp; Settings'!$F$5:$K$10,5,FALSE),"Meets Expectations",IF(AA178&gt;=VLOOKUP(E178,'Input &amp; Settings'!$F$5:$K$10,6,FALSE),"Needs Improvement","Performance Improvement Required")))),""))</f>
        <v/>
      </c>
      <c r="AC178" s="38" t="str">
        <f t="shared" si="8"/>
        <v/>
      </c>
      <c r="AD178" s="39"/>
      <c r="AE178" s="40"/>
      <c r="AF178" s="41" t="str">
        <f t="shared" si="9"/>
        <v/>
      </c>
      <c r="AG178" s="42" t="str">
        <f t="shared" si="10"/>
        <v/>
      </c>
      <c r="AH178" s="42" t="str">
        <f t="shared" si="11"/>
        <v>Cory Colstock|May</v>
      </c>
    </row>
    <row r="179" spans="1:34" hidden="1">
      <c r="A179" s="32">
        <v>2026</v>
      </c>
      <c r="B179" s="32" t="s">
        <v>84</v>
      </c>
      <c r="C179" s="32" t="s">
        <v>36</v>
      </c>
      <c r="D179" s="32" t="s">
        <v>45</v>
      </c>
      <c r="E179" s="33"/>
      <c r="F179" s="34" t="str">
        <f>IF(E179="","",IFERROR(VLOOKUP(E179,'Input &amp; Settings'!$F$5:$G$10,2,FALSE),""))</f>
        <v/>
      </c>
      <c r="G179" s="33"/>
      <c r="H179" s="33"/>
      <c r="I179" s="35"/>
      <c r="J179" s="33"/>
      <c r="K179" s="36"/>
      <c r="L179" s="35"/>
      <c r="M179" s="33"/>
      <c r="N179" s="33"/>
      <c r="O179" s="33"/>
      <c r="P179" s="33"/>
      <c r="Q179" s="37" t="str">
        <f>IF(G179="","",IFERROR(MIN(100,G179/'Input &amp; Settings'!$B$5*100),""))</f>
        <v/>
      </c>
      <c r="R179" s="37" t="str">
        <f>IF(H179="","",IFERROR(MIN(100,H179/'Input &amp; Settings'!$B$6*100),""))</f>
        <v/>
      </c>
      <c r="S179" s="37" t="str">
        <f>IF(I179="","",IFERROR(MIN(100,I179/'Input &amp; Settings'!$B$7*100),""))</f>
        <v/>
      </c>
      <c r="T179" s="37" t="str">
        <f>IF(J179="","",IFERROR(MIN(100,J179/'Input &amp; Settings'!$B$8*100),""))</f>
        <v/>
      </c>
      <c r="U179" s="37" t="str">
        <f>IF(K179="","",IFERROR(MIN(100,K179/'Input &amp; Settings'!$B$9*100),""))</f>
        <v/>
      </c>
      <c r="V179" s="37" t="str">
        <f>IF(L179="","",IFERROR(MIN(100,L179/'Input &amp; Settings'!$B$10*100),""))</f>
        <v/>
      </c>
      <c r="W179" s="37" t="str">
        <f>IF(M179="","",IFERROR(IF(M179&lt;='Input &amp; Settings'!$B$11,100,MAX(0,100-(M179-'Input &amp; Settings'!$B$11)*20)),""))</f>
        <v/>
      </c>
      <c r="X179" s="37" t="str">
        <f>IF(N179="","",IFERROR(MIN(100,N179/'Input &amp; Settings'!$B$12*100),""))</f>
        <v/>
      </c>
      <c r="Y179" s="37" t="str">
        <f>IF(O179="","",IFERROR(MIN(100,O179/'Input &amp; Settings'!$B$13*100),""))</f>
        <v/>
      </c>
      <c r="Z179" s="37" t="str">
        <f>IF(P179="","",IFERROR(IF(P179&lt;='Input &amp; Settings'!$B$14,100,MAX(0,100-(P179-'Input &amp; Settings'!$B$14)*20)),""))</f>
        <v/>
      </c>
      <c r="AA179" s="37" t="str">
        <f>IF(COUNTA(G179:P179)=0,"",ROUND(Q179*'Input &amp; Settings'!$C$5+R179*'Input &amp; Settings'!$C$6+S179*'Input &amp; Settings'!$C$7+T179*'Input &amp; Settings'!$C$8+U179*'Input &amp; Settings'!$C$9+V179*'Input &amp; Settings'!$C$10+W179*'Input &amp; Settings'!$C$11+X179*'Input &amp; Settings'!$C$12+Y179*'Input &amp; Settings'!$C$13+Z179*'Input &amp; Settings'!$C$14,1))</f>
        <v/>
      </c>
      <c r="AB179" s="38" t="str">
        <f>IF(OR(AA179="",E179=""),"",IFERROR(IF(AA179&gt;=VLOOKUP(E179,'Input &amp; Settings'!$F$5:$K$10,3,FALSE),"Outstanding",IF(AA179&gt;=VLOOKUP(E179,'Input &amp; Settings'!$F$5:$K$10,4,FALSE),"Exceeds Expectations",IF(AA179&gt;=VLOOKUP(E179,'Input &amp; Settings'!$F$5:$K$10,5,FALSE),"Meets Expectations",IF(AA179&gt;=VLOOKUP(E179,'Input &amp; Settings'!$F$5:$K$10,6,FALSE),"Needs Improvement","Performance Improvement Required")))),""))</f>
        <v/>
      </c>
      <c r="AC179" s="38" t="str">
        <f t="shared" si="8"/>
        <v/>
      </c>
      <c r="AD179" s="39"/>
      <c r="AE179" s="40"/>
      <c r="AF179" s="41" t="str">
        <f t="shared" si="9"/>
        <v/>
      </c>
      <c r="AG179" s="42" t="str">
        <f t="shared" si="10"/>
        <v/>
      </c>
      <c r="AH179" s="42" t="str">
        <f t="shared" si="11"/>
        <v>Jerald Woodward (Jerry)|May</v>
      </c>
    </row>
    <row r="180" spans="1:34" hidden="1">
      <c r="A180" s="32">
        <v>2026</v>
      </c>
      <c r="B180" s="32" t="s">
        <v>84</v>
      </c>
      <c r="C180" s="32" t="s">
        <v>36</v>
      </c>
      <c r="D180" s="32" t="s">
        <v>46</v>
      </c>
      <c r="E180" s="33"/>
      <c r="F180" s="34" t="str">
        <f>IF(E180="","",IFERROR(VLOOKUP(E180,'Input &amp; Settings'!$F$5:$G$10,2,FALSE),""))</f>
        <v/>
      </c>
      <c r="G180" s="33"/>
      <c r="H180" s="33"/>
      <c r="I180" s="35"/>
      <c r="J180" s="33"/>
      <c r="K180" s="36"/>
      <c r="L180" s="35"/>
      <c r="M180" s="33"/>
      <c r="N180" s="33"/>
      <c r="O180" s="33"/>
      <c r="P180" s="33"/>
      <c r="Q180" s="37" t="str">
        <f>IF(G180="","",IFERROR(MIN(100,G180/'Input &amp; Settings'!$B$5*100),""))</f>
        <v/>
      </c>
      <c r="R180" s="37" t="str">
        <f>IF(H180="","",IFERROR(MIN(100,H180/'Input &amp; Settings'!$B$6*100),""))</f>
        <v/>
      </c>
      <c r="S180" s="37" t="str">
        <f>IF(I180="","",IFERROR(MIN(100,I180/'Input &amp; Settings'!$B$7*100),""))</f>
        <v/>
      </c>
      <c r="T180" s="37" t="str">
        <f>IF(J180="","",IFERROR(MIN(100,J180/'Input &amp; Settings'!$B$8*100),""))</f>
        <v/>
      </c>
      <c r="U180" s="37" t="str">
        <f>IF(K180="","",IFERROR(MIN(100,K180/'Input &amp; Settings'!$B$9*100),""))</f>
        <v/>
      </c>
      <c r="V180" s="37" t="str">
        <f>IF(L180="","",IFERROR(MIN(100,L180/'Input &amp; Settings'!$B$10*100),""))</f>
        <v/>
      </c>
      <c r="W180" s="37" t="str">
        <f>IF(M180="","",IFERROR(IF(M180&lt;='Input &amp; Settings'!$B$11,100,MAX(0,100-(M180-'Input &amp; Settings'!$B$11)*20)),""))</f>
        <v/>
      </c>
      <c r="X180" s="37" t="str">
        <f>IF(N180="","",IFERROR(MIN(100,N180/'Input &amp; Settings'!$B$12*100),""))</f>
        <v/>
      </c>
      <c r="Y180" s="37" t="str">
        <f>IF(O180="","",IFERROR(MIN(100,O180/'Input &amp; Settings'!$B$13*100),""))</f>
        <v/>
      </c>
      <c r="Z180" s="37" t="str">
        <f>IF(P180="","",IFERROR(IF(P180&lt;='Input &amp; Settings'!$B$14,100,MAX(0,100-(P180-'Input &amp; Settings'!$B$14)*20)),""))</f>
        <v/>
      </c>
      <c r="AA180" s="37" t="str">
        <f>IF(COUNTA(G180:P180)=0,"",ROUND(Q180*'Input &amp; Settings'!$C$5+R180*'Input &amp; Settings'!$C$6+S180*'Input &amp; Settings'!$C$7+T180*'Input &amp; Settings'!$C$8+U180*'Input &amp; Settings'!$C$9+V180*'Input &amp; Settings'!$C$10+W180*'Input &amp; Settings'!$C$11+X180*'Input &amp; Settings'!$C$12+Y180*'Input &amp; Settings'!$C$13+Z180*'Input &amp; Settings'!$C$14,1))</f>
        <v/>
      </c>
      <c r="AB180" s="38" t="str">
        <f>IF(OR(AA180="",E180=""),"",IFERROR(IF(AA180&gt;=VLOOKUP(E180,'Input &amp; Settings'!$F$5:$K$10,3,FALSE),"Outstanding",IF(AA180&gt;=VLOOKUP(E180,'Input &amp; Settings'!$F$5:$K$10,4,FALSE),"Exceeds Expectations",IF(AA180&gt;=VLOOKUP(E180,'Input &amp; Settings'!$F$5:$K$10,5,FALSE),"Meets Expectations",IF(AA180&gt;=VLOOKUP(E180,'Input &amp; Settings'!$F$5:$K$10,6,FALSE),"Needs Improvement","Performance Improvement Required")))),""))</f>
        <v/>
      </c>
      <c r="AC180" s="38" t="str">
        <f t="shared" si="8"/>
        <v/>
      </c>
      <c r="AD180" s="39"/>
      <c r="AE180" s="40"/>
      <c r="AF180" s="41" t="str">
        <f t="shared" si="9"/>
        <v/>
      </c>
      <c r="AG180" s="42" t="str">
        <f t="shared" si="10"/>
        <v/>
      </c>
      <c r="AH180" s="42" t="str">
        <f t="shared" si="11"/>
        <v>Alvaro Hernandez|May</v>
      </c>
    </row>
    <row r="181" spans="1:34" hidden="1">
      <c r="A181" s="32">
        <v>2026</v>
      </c>
      <c r="B181" s="32" t="s">
        <v>84</v>
      </c>
      <c r="C181" s="32" t="s">
        <v>36</v>
      </c>
      <c r="D181" s="32" t="s">
        <v>47</v>
      </c>
      <c r="E181" s="33"/>
      <c r="F181" s="34" t="str">
        <f>IF(E181="","",IFERROR(VLOOKUP(E181,'Input &amp; Settings'!$F$5:$G$10,2,FALSE),""))</f>
        <v/>
      </c>
      <c r="G181" s="33"/>
      <c r="H181" s="33"/>
      <c r="I181" s="35"/>
      <c r="J181" s="33"/>
      <c r="K181" s="36"/>
      <c r="L181" s="35"/>
      <c r="M181" s="33"/>
      <c r="N181" s="33"/>
      <c r="O181" s="33"/>
      <c r="P181" s="33"/>
      <c r="Q181" s="37" t="str">
        <f>IF(G181="","",IFERROR(MIN(100,G181/'Input &amp; Settings'!$B$5*100),""))</f>
        <v/>
      </c>
      <c r="R181" s="37" t="str">
        <f>IF(H181="","",IFERROR(MIN(100,H181/'Input &amp; Settings'!$B$6*100),""))</f>
        <v/>
      </c>
      <c r="S181" s="37" t="str">
        <f>IF(I181="","",IFERROR(MIN(100,I181/'Input &amp; Settings'!$B$7*100),""))</f>
        <v/>
      </c>
      <c r="T181" s="37" t="str">
        <f>IF(J181="","",IFERROR(MIN(100,J181/'Input &amp; Settings'!$B$8*100),""))</f>
        <v/>
      </c>
      <c r="U181" s="37" t="str">
        <f>IF(K181="","",IFERROR(MIN(100,K181/'Input &amp; Settings'!$B$9*100),""))</f>
        <v/>
      </c>
      <c r="V181" s="37" t="str">
        <f>IF(L181="","",IFERROR(MIN(100,L181/'Input &amp; Settings'!$B$10*100),""))</f>
        <v/>
      </c>
      <c r="W181" s="37" t="str">
        <f>IF(M181="","",IFERROR(IF(M181&lt;='Input &amp; Settings'!$B$11,100,MAX(0,100-(M181-'Input &amp; Settings'!$B$11)*20)),""))</f>
        <v/>
      </c>
      <c r="X181" s="37" t="str">
        <f>IF(N181="","",IFERROR(MIN(100,N181/'Input &amp; Settings'!$B$12*100),""))</f>
        <v/>
      </c>
      <c r="Y181" s="37" t="str">
        <f>IF(O181="","",IFERROR(MIN(100,O181/'Input &amp; Settings'!$B$13*100),""))</f>
        <v/>
      </c>
      <c r="Z181" s="37" t="str">
        <f>IF(P181="","",IFERROR(IF(P181&lt;='Input &amp; Settings'!$B$14,100,MAX(0,100-(P181-'Input &amp; Settings'!$B$14)*20)),""))</f>
        <v/>
      </c>
      <c r="AA181" s="37" t="str">
        <f>IF(COUNTA(G181:P181)=0,"",ROUND(Q181*'Input &amp; Settings'!$C$5+R181*'Input &amp; Settings'!$C$6+S181*'Input &amp; Settings'!$C$7+T181*'Input &amp; Settings'!$C$8+U181*'Input &amp; Settings'!$C$9+V181*'Input &amp; Settings'!$C$10+W181*'Input &amp; Settings'!$C$11+X181*'Input &amp; Settings'!$C$12+Y181*'Input &amp; Settings'!$C$13+Z181*'Input &amp; Settings'!$C$14,1))</f>
        <v/>
      </c>
      <c r="AB181" s="38" t="str">
        <f>IF(OR(AA181="",E181=""),"",IFERROR(IF(AA181&gt;=VLOOKUP(E181,'Input &amp; Settings'!$F$5:$K$10,3,FALSE),"Outstanding",IF(AA181&gt;=VLOOKUP(E181,'Input &amp; Settings'!$F$5:$K$10,4,FALSE),"Exceeds Expectations",IF(AA181&gt;=VLOOKUP(E181,'Input &amp; Settings'!$F$5:$K$10,5,FALSE),"Meets Expectations",IF(AA181&gt;=VLOOKUP(E181,'Input &amp; Settings'!$F$5:$K$10,6,FALSE),"Needs Improvement","Performance Improvement Required")))),""))</f>
        <v/>
      </c>
      <c r="AC181" s="38" t="str">
        <f t="shared" si="8"/>
        <v/>
      </c>
      <c r="AD181" s="39"/>
      <c r="AE181" s="40"/>
      <c r="AF181" s="41" t="str">
        <f t="shared" si="9"/>
        <v/>
      </c>
      <c r="AG181" s="42" t="str">
        <f t="shared" si="10"/>
        <v/>
      </c>
      <c r="AH181" s="42" t="str">
        <f t="shared" si="11"/>
        <v>Sarah Clervil|May</v>
      </c>
    </row>
    <row r="182" spans="1:34" hidden="1">
      <c r="A182" s="32">
        <v>2026</v>
      </c>
      <c r="B182" s="32" t="s">
        <v>84</v>
      </c>
      <c r="C182" s="32" t="s">
        <v>36</v>
      </c>
      <c r="D182" s="32" t="s">
        <v>48</v>
      </c>
      <c r="E182" s="33"/>
      <c r="F182" s="34" t="str">
        <f>IF(E182="","",IFERROR(VLOOKUP(E182,'Input &amp; Settings'!$F$5:$G$10,2,FALSE),""))</f>
        <v/>
      </c>
      <c r="G182" s="33"/>
      <c r="H182" s="33"/>
      <c r="I182" s="35"/>
      <c r="J182" s="33"/>
      <c r="K182" s="36"/>
      <c r="L182" s="35"/>
      <c r="M182" s="33"/>
      <c r="N182" s="33"/>
      <c r="O182" s="33"/>
      <c r="P182" s="33"/>
      <c r="Q182" s="37" t="str">
        <f>IF(G182="","",IFERROR(MIN(100,G182/'Input &amp; Settings'!$B$5*100),""))</f>
        <v/>
      </c>
      <c r="R182" s="37" t="str">
        <f>IF(H182="","",IFERROR(MIN(100,H182/'Input &amp; Settings'!$B$6*100),""))</f>
        <v/>
      </c>
      <c r="S182" s="37" t="str">
        <f>IF(I182="","",IFERROR(MIN(100,I182/'Input &amp; Settings'!$B$7*100),""))</f>
        <v/>
      </c>
      <c r="T182" s="37" t="str">
        <f>IF(J182="","",IFERROR(MIN(100,J182/'Input &amp; Settings'!$B$8*100),""))</f>
        <v/>
      </c>
      <c r="U182" s="37" t="str">
        <f>IF(K182="","",IFERROR(MIN(100,K182/'Input &amp; Settings'!$B$9*100),""))</f>
        <v/>
      </c>
      <c r="V182" s="37" t="str">
        <f>IF(L182="","",IFERROR(MIN(100,L182/'Input &amp; Settings'!$B$10*100),""))</f>
        <v/>
      </c>
      <c r="W182" s="37" t="str">
        <f>IF(M182="","",IFERROR(IF(M182&lt;='Input &amp; Settings'!$B$11,100,MAX(0,100-(M182-'Input &amp; Settings'!$B$11)*20)),""))</f>
        <v/>
      </c>
      <c r="X182" s="37" t="str">
        <f>IF(N182="","",IFERROR(MIN(100,N182/'Input &amp; Settings'!$B$12*100),""))</f>
        <v/>
      </c>
      <c r="Y182" s="37" t="str">
        <f>IF(O182="","",IFERROR(MIN(100,O182/'Input &amp; Settings'!$B$13*100),""))</f>
        <v/>
      </c>
      <c r="Z182" s="37" t="str">
        <f>IF(P182="","",IFERROR(IF(P182&lt;='Input &amp; Settings'!$B$14,100,MAX(0,100-(P182-'Input &amp; Settings'!$B$14)*20)),""))</f>
        <v/>
      </c>
      <c r="AA182" s="37" t="str">
        <f>IF(COUNTA(G182:P182)=0,"",ROUND(Q182*'Input &amp; Settings'!$C$5+R182*'Input &amp; Settings'!$C$6+S182*'Input &amp; Settings'!$C$7+T182*'Input &amp; Settings'!$C$8+U182*'Input &amp; Settings'!$C$9+V182*'Input &amp; Settings'!$C$10+W182*'Input &amp; Settings'!$C$11+X182*'Input &amp; Settings'!$C$12+Y182*'Input &amp; Settings'!$C$13+Z182*'Input &amp; Settings'!$C$14,1))</f>
        <v/>
      </c>
      <c r="AB182" s="38" t="str">
        <f>IF(OR(AA182="",E182=""),"",IFERROR(IF(AA182&gt;=VLOOKUP(E182,'Input &amp; Settings'!$F$5:$K$10,3,FALSE),"Outstanding",IF(AA182&gt;=VLOOKUP(E182,'Input &amp; Settings'!$F$5:$K$10,4,FALSE),"Exceeds Expectations",IF(AA182&gt;=VLOOKUP(E182,'Input &amp; Settings'!$F$5:$K$10,5,FALSE),"Meets Expectations",IF(AA182&gt;=VLOOKUP(E182,'Input &amp; Settings'!$F$5:$K$10,6,FALSE),"Needs Improvement","Performance Improvement Required")))),""))</f>
        <v/>
      </c>
      <c r="AC182" s="38" t="str">
        <f t="shared" si="8"/>
        <v/>
      </c>
      <c r="AD182" s="39"/>
      <c r="AE182" s="40"/>
      <c r="AF182" s="41" t="str">
        <f t="shared" si="9"/>
        <v/>
      </c>
      <c r="AG182" s="42" t="str">
        <f t="shared" si="10"/>
        <v/>
      </c>
      <c r="AH182" s="42" t="str">
        <f t="shared" si="11"/>
        <v>Christopher Ovid|May</v>
      </c>
    </row>
    <row r="183" spans="1:34" hidden="1">
      <c r="A183" s="32">
        <v>2026</v>
      </c>
      <c r="B183" s="32" t="s">
        <v>84</v>
      </c>
      <c r="C183" s="32" t="s">
        <v>36</v>
      </c>
      <c r="D183" s="32" t="s">
        <v>49</v>
      </c>
      <c r="E183" s="33"/>
      <c r="F183" s="34" t="str">
        <f>IF(E183="","",IFERROR(VLOOKUP(E183,'Input &amp; Settings'!$F$5:$G$10,2,FALSE),""))</f>
        <v/>
      </c>
      <c r="G183" s="33"/>
      <c r="H183" s="33"/>
      <c r="I183" s="35"/>
      <c r="J183" s="33"/>
      <c r="K183" s="36"/>
      <c r="L183" s="35"/>
      <c r="M183" s="33"/>
      <c r="N183" s="33"/>
      <c r="O183" s="33"/>
      <c r="P183" s="33"/>
      <c r="Q183" s="37" t="str">
        <f>IF(G183="","",IFERROR(MIN(100,G183/'Input &amp; Settings'!$B$5*100),""))</f>
        <v/>
      </c>
      <c r="R183" s="37" t="str">
        <f>IF(H183="","",IFERROR(MIN(100,H183/'Input &amp; Settings'!$B$6*100),""))</f>
        <v/>
      </c>
      <c r="S183" s="37" t="str">
        <f>IF(I183="","",IFERROR(MIN(100,I183/'Input &amp; Settings'!$B$7*100),""))</f>
        <v/>
      </c>
      <c r="T183" s="37" t="str">
        <f>IF(J183="","",IFERROR(MIN(100,J183/'Input &amp; Settings'!$B$8*100),""))</f>
        <v/>
      </c>
      <c r="U183" s="37" t="str">
        <f>IF(K183="","",IFERROR(MIN(100,K183/'Input &amp; Settings'!$B$9*100),""))</f>
        <v/>
      </c>
      <c r="V183" s="37" t="str">
        <f>IF(L183="","",IFERROR(MIN(100,L183/'Input &amp; Settings'!$B$10*100),""))</f>
        <v/>
      </c>
      <c r="W183" s="37" t="str">
        <f>IF(M183="","",IFERROR(IF(M183&lt;='Input &amp; Settings'!$B$11,100,MAX(0,100-(M183-'Input &amp; Settings'!$B$11)*20)),""))</f>
        <v/>
      </c>
      <c r="X183" s="37" t="str">
        <f>IF(N183="","",IFERROR(MIN(100,N183/'Input &amp; Settings'!$B$12*100),""))</f>
        <v/>
      </c>
      <c r="Y183" s="37" t="str">
        <f>IF(O183="","",IFERROR(MIN(100,O183/'Input &amp; Settings'!$B$13*100),""))</f>
        <v/>
      </c>
      <c r="Z183" s="37" t="str">
        <f>IF(P183="","",IFERROR(IF(P183&lt;='Input &amp; Settings'!$B$14,100,MAX(0,100-(P183-'Input &amp; Settings'!$B$14)*20)),""))</f>
        <v/>
      </c>
      <c r="AA183" s="37" t="str">
        <f>IF(COUNTA(G183:P183)=0,"",ROUND(Q183*'Input &amp; Settings'!$C$5+R183*'Input &amp; Settings'!$C$6+S183*'Input &amp; Settings'!$C$7+T183*'Input &amp; Settings'!$C$8+U183*'Input &amp; Settings'!$C$9+V183*'Input &amp; Settings'!$C$10+W183*'Input &amp; Settings'!$C$11+X183*'Input &amp; Settings'!$C$12+Y183*'Input &amp; Settings'!$C$13+Z183*'Input &amp; Settings'!$C$14,1))</f>
        <v/>
      </c>
      <c r="AB183" s="38" t="str">
        <f>IF(OR(AA183="",E183=""),"",IFERROR(IF(AA183&gt;=VLOOKUP(E183,'Input &amp; Settings'!$F$5:$K$10,3,FALSE),"Outstanding",IF(AA183&gt;=VLOOKUP(E183,'Input &amp; Settings'!$F$5:$K$10,4,FALSE),"Exceeds Expectations",IF(AA183&gt;=VLOOKUP(E183,'Input &amp; Settings'!$F$5:$K$10,5,FALSE),"Meets Expectations",IF(AA183&gt;=VLOOKUP(E183,'Input &amp; Settings'!$F$5:$K$10,6,FALSE),"Needs Improvement","Performance Improvement Required")))),""))</f>
        <v/>
      </c>
      <c r="AC183" s="38" t="str">
        <f t="shared" si="8"/>
        <v/>
      </c>
      <c r="AD183" s="39"/>
      <c r="AE183" s="40"/>
      <c r="AF183" s="41" t="str">
        <f t="shared" si="9"/>
        <v/>
      </c>
      <c r="AG183" s="42" t="str">
        <f t="shared" si="10"/>
        <v/>
      </c>
      <c r="AH183" s="42" t="str">
        <f t="shared" si="11"/>
        <v>Rafael Godinez|May</v>
      </c>
    </row>
    <row r="184" spans="1:34" hidden="1">
      <c r="A184" s="32">
        <v>2026</v>
      </c>
      <c r="B184" s="32" t="s">
        <v>84</v>
      </c>
      <c r="C184" s="32" t="s">
        <v>36</v>
      </c>
      <c r="D184" s="32" t="s">
        <v>50</v>
      </c>
      <c r="E184" s="33"/>
      <c r="F184" s="34" t="str">
        <f>IF(E184="","",IFERROR(VLOOKUP(E184,'Input &amp; Settings'!$F$5:$G$10,2,FALSE),""))</f>
        <v/>
      </c>
      <c r="G184" s="33"/>
      <c r="H184" s="33"/>
      <c r="I184" s="35"/>
      <c r="J184" s="33"/>
      <c r="K184" s="36"/>
      <c r="L184" s="35"/>
      <c r="M184" s="33"/>
      <c r="N184" s="33"/>
      <c r="O184" s="33"/>
      <c r="P184" s="33"/>
      <c r="Q184" s="37" t="str">
        <f>IF(G184="","",IFERROR(MIN(100,G184/'Input &amp; Settings'!$B$5*100),""))</f>
        <v/>
      </c>
      <c r="R184" s="37" t="str">
        <f>IF(H184="","",IFERROR(MIN(100,H184/'Input &amp; Settings'!$B$6*100),""))</f>
        <v/>
      </c>
      <c r="S184" s="37" t="str">
        <f>IF(I184="","",IFERROR(MIN(100,I184/'Input &amp; Settings'!$B$7*100),""))</f>
        <v/>
      </c>
      <c r="T184" s="37" t="str">
        <f>IF(J184="","",IFERROR(MIN(100,J184/'Input &amp; Settings'!$B$8*100),""))</f>
        <v/>
      </c>
      <c r="U184" s="37" t="str">
        <f>IF(K184="","",IFERROR(MIN(100,K184/'Input &amp; Settings'!$B$9*100),""))</f>
        <v/>
      </c>
      <c r="V184" s="37" t="str">
        <f>IF(L184="","",IFERROR(MIN(100,L184/'Input &amp; Settings'!$B$10*100),""))</f>
        <v/>
      </c>
      <c r="W184" s="37" t="str">
        <f>IF(M184="","",IFERROR(IF(M184&lt;='Input &amp; Settings'!$B$11,100,MAX(0,100-(M184-'Input &amp; Settings'!$B$11)*20)),""))</f>
        <v/>
      </c>
      <c r="X184" s="37" t="str">
        <f>IF(N184="","",IFERROR(MIN(100,N184/'Input &amp; Settings'!$B$12*100),""))</f>
        <v/>
      </c>
      <c r="Y184" s="37" t="str">
        <f>IF(O184="","",IFERROR(MIN(100,O184/'Input &amp; Settings'!$B$13*100),""))</f>
        <v/>
      </c>
      <c r="Z184" s="37" t="str">
        <f>IF(P184="","",IFERROR(IF(P184&lt;='Input &amp; Settings'!$B$14,100,MAX(0,100-(P184-'Input &amp; Settings'!$B$14)*20)),""))</f>
        <v/>
      </c>
      <c r="AA184" s="37" t="str">
        <f>IF(COUNTA(G184:P184)=0,"",ROUND(Q184*'Input &amp; Settings'!$C$5+R184*'Input &amp; Settings'!$C$6+S184*'Input &amp; Settings'!$C$7+T184*'Input &amp; Settings'!$C$8+U184*'Input &amp; Settings'!$C$9+V184*'Input &amp; Settings'!$C$10+W184*'Input &amp; Settings'!$C$11+X184*'Input &amp; Settings'!$C$12+Y184*'Input &amp; Settings'!$C$13+Z184*'Input &amp; Settings'!$C$14,1))</f>
        <v/>
      </c>
      <c r="AB184" s="38" t="str">
        <f>IF(OR(AA184="",E184=""),"",IFERROR(IF(AA184&gt;=VLOOKUP(E184,'Input &amp; Settings'!$F$5:$K$10,3,FALSE),"Outstanding",IF(AA184&gt;=VLOOKUP(E184,'Input &amp; Settings'!$F$5:$K$10,4,FALSE),"Exceeds Expectations",IF(AA184&gt;=VLOOKUP(E184,'Input &amp; Settings'!$F$5:$K$10,5,FALSE),"Meets Expectations",IF(AA184&gt;=VLOOKUP(E184,'Input &amp; Settings'!$F$5:$K$10,6,FALSE),"Needs Improvement","Performance Improvement Required")))),""))</f>
        <v/>
      </c>
      <c r="AC184" s="38" t="str">
        <f t="shared" si="8"/>
        <v/>
      </c>
      <c r="AD184" s="39"/>
      <c r="AE184" s="40"/>
      <c r="AF184" s="41" t="str">
        <f t="shared" si="9"/>
        <v/>
      </c>
      <c r="AG184" s="42" t="str">
        <f t="shared" si="10"/>
        <v/>
      </c>
      <c r="AH184" s="42" t="str">
        <f t="shared" si="11"/>
        <v>Dennis Mayorga|May</v>
      </c>
    </row>
    <row r="185" spans="1:34" hidden="1">
      <c r="A185" s="32">
        <v>2026</v>
      </c>
      <c r="B185" s="32" t="s">
        <v>84</v>
      </c>
      <c r="C185" s="32" t="s">
        <v>36</v>
      </c>
      <c r="D185" s="32" t="s">
        <v>51</v>
      </c>
      <c r="E185" s="33"/>
      <c r="F185" s="34" t="str">
        <f>IF(E185="","",IFERROR(VLOOKUP(E185,'Input &amp; Settings'!$F$5:$G$10,2,FALSE),""))</f>
        <v/>
      </c>
      <c r="G185" s="33"/>
      <c r="H185" s="33"/>
      <c r="I185" s="35"/>
      <c r="J185" s="33"/>
      <c r="K185" s="36"/>
      <c r="L185" s="35"/>
      <c r="M185" s="33"/>
      <c r="N185" s="33"/>
      <c r="O185" s="33"/>
      <c r="P185" s="33"/>
      <c r="Q185" s="37" t="str">
        <f>IF(G185="","",IFERROR(MIN(100,G185/'Input &amp; Settings'!$B$5*100),""))</f>
        <v/>
      </c>
      <c r="R185" s="37" t="str">
        <f>IF(H185="","",IFERROR(MIN(100,H185/'Input &amp; Settings'!$B$6*100),""))</f>
        <v/>
      </c>
      <c r="S185" s="37" t="str">
        <f>IF(I185="","",IFERROR(MIN(100,I185/'Input &amp; Settings'!$B$7*100),""))</f>
        <v/>
      </c>
      <c r="T185" s="37" t="str">
        <f>IF(J185="","",IFERROR(MIN(100,J185/'Input &amp; Settings'!$B$8*100),""))</f>
        <v/>
      </c>
      <c r="U185" s="37" t="str">
        <f>IF(K185="","",IFERROR(MIN(100,K185/'Input &amp; Settings'!$B$9*100),""))</f>
        <v/>
      </c>
      <c r="V185" s="37" t="str">
        <f>IF(L185="","",IFERROR(MIN(100,L185/'Input &amp; Settings'!$B$10*100),""))</f>
        <v/>
      </c>
      <c r="W185" s="37" t="str">
        <f>IF(M185="","",IFERROR(IF(M185&lt;='Input &amp; Settings'!$B$11,100,MAX(0,100-(M185-'Input &amp; Settings'!$B$11)*20)),""))</f>
        <v/>
      </c>
      <c r="X185" s="37" t="str">
        <f>IF(N185="","",IFERROR(MIN(100,N185/'Input &amp; Settings'!$B$12*100),""))</f>
        <v/>
      </c>
      <c r="Y185" s="37" t="str">
        <f>IF(O185="","",IFERROR(MIN(100,O185/'Input &amp; Settings'!$B$13*100),""))</f>
        <v/>
      </c>
      <c r="Z185" s="37" t="str">
        <f>IF(P185="","",IFERROR(IF(P185&lt;='Input &amp; Settings'!$B$14,100,MAX(0,100-(P185-'Input &amp; Settings'!$B$14)*20)),""))</f>
        <v/>
      </c>
      <c r="AA185" s="37" t="str">
        <f>IF(COUNTA(G185:P185)=0,"",ROUND(Q185*'Input &amp; Settings'!$C$5+R185*'Input &amp; Settings'!$C$6+S185*'Input &amp; Settings'!$C$7+T185*'Input &amp; Settings'!$C$8+U185*'Input &amp; Settings'!$C$9+V185*'Input &amp; Settings'!$C$10+W185*'Input &amp; Settings'!$C$11+X185*'Input &amp; Settings'!$C$12+Y185*'Input &amp; Settings'!$C$13+Z185*'Input &amp; Settings'!$C$14,1))</f>
        <v/>
      </c>
      <c r="AB185" s="38" t="str">
        <f>IF(OR(AA185="",E185=""),"",IFERROR(IF(AA185&gt;=VLOOKUP(E185,'Input &amp; Settings'!$F$5:$K$10,3,FALSE),"Outstanding",IF(AA185&gt;=VLOOKUP(E185,'Input &amp; Settings'!$F$5:$K$10,4,FALSE),"Exceeds Expectations",IF(AA185&gt;=VLOOKUP(E185,'Input &amp; Settings'!$F$5:$K$10,5,FALSE),"Meets Expectations",IF(AA185&gt;=VLOOKUP(E185,'Input &amp; Settings'!$F$5:$K$10,6,FALSE),"Needs Improvement","Performance Improvement Required")))),""))</f>
        <v/>
      </c>
      <c r="AC185" s="38" t="str">
        <f t="shared" si="8"/>
        <v/>
      </c>
      <c r="AD185" s="39"/>
      <c r="AE185" s="40"/>
      <c r="AF185" s="41" t="str">
        <f t="shared" si="9"/>
        <v/>
      </c>
      <c r="AG185" s="42" t="str">
        <f t="shared" si="10"/>
        <v/>
      </c>
      <c r="AH185" s="42" t="str">
        <f t="shared" si="11"/>
        <v>Jose Reyes-Navolskyi (Ivan)|May</v>
      </c>
    </row>
    <row r="186" spans="1:34" hidden="1">
      <c r="A186" s="32">
        <v>2026</v>
      </c>
      <c r="B186" s="32" t="s">
        <v>84</v>
      </c>
      <c r="C186" s="32" t="s">
        <v>36</v>
      </c>
      <c r="D186" s="32" t="s">
        <v>52</v>
      </c>
      <c r="E186" s="33"/>
      <c r="F186" s="34" t="str">
        <f>IF(E186="","",IFERROR(VLOOKUP(E186,'Input &amp; Settings'!$F$5:$G$10,2,FALSE),""))</f>
        <v/>
      </c>
      <c r="G186" s="33"/>
      <c r="H186" s="33"/>
      <c r="I186" s="35"/>
      <c r="J186" s="33"/>
      <c r="K186" s="36"/>
      <c r="L186" s="35"/>
      <c r="M186" s="33"/>
      <c r="N186" s="33"/>
      <c r="O186" s="33"/>
      <c r="P186" s="33"/>
      <c r="Q186" s="37" t="str">
        <f>IF(G186="","",IFERROR(MIN(100,G186/'Input &amp; Settings'!$B$5*100),""))</f>
        <v/>
      </c>
      <c r="R186" s="37" t="str">
        <f>IF(H186="","",IFERROR(MIN(100,H186/'Input &amp; Settings'!$B$6*100),""))</f>
        <v/>
      </c>
      <c r="S186" s="37" t="str">
        <f>IF(I186="","",IFERROR(MIN(100,I186/'Input &amp; Settings'!$B$7*100),""))</f>
        <v/>
      </c>
      <c r="T186" s="37" t="str">
        <f>IF(J186="","",IFERROR(MIN(100,J186/'Input &amp; Settings'!$B$8*100),""))</f>
        <v/>
      </c>
      <c r="U186" s="37" t="str">
        <f>IF(K186="","",IFERROR(MIN(100,K186/'Input &amp; Settings'!$B$9*100),""))</f>
        <v/>
      </c>
      <c r="V186" s="37" t="str">
        <f>IF(L186="","",IFERROR(MIN(100,L186/'Input &amp; Settings'!$B$10*100),""))</f>
        <v/>
      </c>
      <c r="W186" s="37" t="str">
        <f>IF(M186="","",IFERROR(IF(M186&lt;='Input &amp; Settings'!$B$11,100,MAX(0,100-(M186-'Input &amp; Settings'!$B$11)*20)),""))</f>
        <v/>
      </c>
      <c r="X186" s="37" t="str">
        <f>IF(N186="","",IFERROR(MIN(100,N186/'Input &amp; Settings'!$B$12*100),""))</f>
        <v/>
      </c>
      <c r="Y186" s="37" t="str">
        <f>IF(O186="","",IFERROR(MIN(100,O186/'Input &amp; Settings'!$B$13*100),""))</f>
        <v/>
      </c>
      <c r="Z186" s="37" t="str">
        <f>IF(P186="","",IFERROR(IF(P186&lt;='Input &amp; Settings'!$B$14,100,MAX(0,100-(P186-'Input &amp; Settings'!$B$14)*20)),""))</f>
        <v/>
      </c>
      <c r="AA186" s="37" t="str">
        <f>IF(COUNTA(G186:P186)=0,"",ROUND(Q186*'Input &amp; Settings'!$C$5+R186*'Input &amp; Settings'!$C$6+S186*'Input &amp; Settings'!$C$7+T186*'Input &amp; Settings'!$C$8+U186*'Input &amp; Settings'!$C$9+V186*'Input &amp; Settings'!$C$10+W186*'Input &amp; Settings'!$C$11+X186*'Input &amp; Settings'!$C$12+Y186*'Input &amp; Settings'!$C$13+Z186*'Input &amp; Settings'!$C$14,1))</f>
        <v/>
      </c>
      <c r="AB186" s="38" t="str">
        <f>IF(OR(AA186="",E186=""),"",IFERROR(IF(AA186&gt;=VLOOKUP(E186,'Input &amp; Settings'!$F$5:$K$10,3,FALSE),"Outstanding",IF(AA186&gt;=VLOOKUP(E186,'Input &amp; Settings'!$F$5:$K$10,4,FALSE),"Exceeds Expectations",IF(AA186&gt;=VLOOKUP(E186,'Input &amp; Settings'!$F$5:$K$10,5,FALSE),"Meets Expectations",IF(AA186&gt;=VLOOKUP(E186,'Input &amp; Settings'!$F$5:$K$10,6,FALSE),"Needs Improvement","Performance Improvement Required")))),""))</f>
        <v/>
      </c>
      <c r="AC186" s="38" t="str">
        <f t="shared" si="8"/>
        <v/>
      </c>
      <c r="AD186" s="39"/>
      <c r="AE186" s="40"/>
      <c r="AF186" s="41" t="str">
        <f t="shared" si="9"/>
        <v/>
      </c>
      <c r="AG186" s="42" t="str">
        <f t="shared" si="10"/>
        <v/>
      </c>
      <c r="AH186" s="42" t="str">
        <f t="shared" si="11"/>
        <v>Jonathan Davila|May</v>
      </c>
    </row>
    <row r="187" spans="1:34" hidden="1">
      <c r="A187" s="32">
        <v>2026</v>
      </c>
      <c r="B187" s="32" t="s">
        <v>84</v>
      </c>
      <c r="C187" s="32" t="s">
        <v>53</v>
      </c>
      <c r="D187" s="32" t="s">
        <v>54</v>
      </c>
      <c r="E187" s="33"/>
      <c r="F187" s="34" t="str">
        <f>IF(E187="","",IFERROR(VLOOKUP(E187,'Input &amp; Settings'!$F$5:$G$10,2,FALSE),""))</f>
        <v/>
      </c>
      <c r="G187" s="33"/>
      <c r="H187" s="33"/>
      <c r="I187" s="35"/>
      <c r="J187" s="33"/>
      <c r="K187" s="36"/>
      <c r="L187" s="35"/>
      <c r="M187" s="33"/>
      <c r="N187" s="33"/>
      <c r="O187" s="33"/>
      <c r="P187" s="33"/>
      <c r="Q187" s="37" t="str">
        <f>IF(G187="","",IFERROR(MIN(100,G187/'Input &amp; Settings'!$B$5*100),""))</f>
        <v/>
      </c>
      <c r="R187" s="37" t="str">
        <f>IF(H187="","",IFERROR(MIN(100,H187/'Input &amp; Settings'!$B$6*100),""))</f>
        <v/>
      </c>
      <c r="S187" s="37" t="str">
        <f>IF(I187="","",IFERROR(MIN(100,I187/'Input &amp; Settings'!$B$7*100),""))</f>
        <v/>
      </c>
      <c r="T187" s="37" t="str">
        <f>IF(J187="","",IFERROR(MIN(100,J187/'Input &amp; Settings'!$B$8*100),""))</f>
        <v/>
      </c>
      <c r="U187" s="37" t="str">
        <f>IF(K187="","",IFERROR(MIN(100,K187/'Input &amp; Settings'!$B$9*100),""))</f>
        <v/>
      </c>
      <c r="V187" s="37" t="str">
        <f>IF(L187="","",IFERROR(MIN(100,L187/'Input &amp; Settings'!$B$10*100),""))</f>
        <v/>
      </c>
      <c r="W187" s="37" t="str">
        <f>IF(M187="","",IFERROR(IF(M187&lt;='Input &amp; Settings'!$B$11,100,MAX(0,100-(M187-'Input &amp; Settings'!$B$11)*20)),""))</f>
        <v/>
      </c>
      <c r="X187" s="37" t="str">
        <f>IF(N187="","",IFERROR(MIN(100,N187/'Input &amp; Settings'!$B$12*100),""))</f>
        <v/>
      </c>
      <c r="Y187" s="37" t="str">
        <f>IF(O187="","",IFERROR(MIN(100,O187/'Input &amp; Settings'!$B$13*100),""))</f>
        <v/>
      </c>
      <c r="Z187" s="37" t="str">
        <f>IF(P187="","",IFERROR(IF(P187&lt;='Input &amp; Settings'!$B$14,100,MAX(0,100-(P187-'Input &amp; Settings'!$B$14)*20)),""))</f>
        <v/>
      </c>
      <c r="AA187" s="37" t="str">
        <f>IF(COUNTA(G187:P187)=0,"",ROUND(Q187*'Input &amp; Settings'!$C$5+R187*'Input &amp; Settings'!$C$6+S187*'Input &amp; Settings'!$C$7+T187*'Input &amp; Settings'!$C$8+U187*'Input &amp; Settings'!$C$9+V187*'Input &amp; Settings'!$C$10+W187*'Input &amp; Settings'!$C$11+X187*'Input &amp; Settings'!$C$12+Y187*'Input &amp; Settings'!$C$13+Z187*'Input &amp; Settings'!$C$14,1))</f>
        <v/>
      </c>
      <c r="AB187" s="38" t="str">
        <f>IF(OR(AA187="",E187=""),"",IFERROR(IF(AA187&gt;=VLOOKUP(E187,'Input &amp; Settings'!$F$5:$K$10,3,FALSE),"Outstanding",IF(AA187&gt;=VLOOKUP(E187,'Input &amp; Settings'!$F$5:$K$10,4,FALSE),"Exceeds Expectations",IF(AA187&gt;=VLOOKUP(E187,'Input &amp; Settings'!$F$5:$K$10,5,FALSE),"Meets Expectations",IF(AA187&gt;=VLOOKUP(E187,'Input &amp; Settings'!$F$5:$K$10,6,FALSE),"Needs Improvement","Performance Improvement Required")))),""))</f>
        <v/>
      </c>
      <c r="AC187" s="38" t="str">
        <f t="shared" si="8"/>
        <v/>
      </c>
      <c r="AD187" s="39"/>
      <c r="AE187" s="40"/>
      <c r="AF187" s="41" t="str">
        <f t="shared" si="9"/>
        <v/>
      </c>
      <c r="AG187" s="42" t="str">
        <f t="shared" si="10"/>
        <v/>
      </c>
      <c r="AH187" s="42" t="str">
        <f t="shared" si="11"/>
        <v>Kevin Luburd|May</v>
      </c>
    </row>
    <row r="188" spans="1:34" hidden="1">
      <c r="A188" s="32">
        <v>2026</v>
      </c>
      <c r="B188" s="32" t="s">
        <v>84</v>
      </c>
      <c r="C188" s="32" t="s">
        <v>53</v>
      </c>
      <c r="D188" s="32" t="s">
        <v>55</v>
      </c>
      <c r="E188" s="33"/>
      <c r="F188" s="34" t="str">
        <f>IF(E188="","",IFERROR(VLOOKUP(E188,'Input &amp; Settings'!$F$5:$G$10,2,FALSE),""))</f>
        <v/>
      </c>
      <c r="G188" s="33"/>
      <c r="H188" s="33"/>
      <c r="I188" s="35"/>
      <c r="J188" s="33"/>
      <c r="K188" s="36"/>
      <c r="L188" s="35"/>
      <c r="M188" s="33"/>
      <c r="N188" s="33"/>
      <c r="O188" s="33"/>
      <c r="P188" s="33"/>
      <c r="Q188" s="37" t="str">
        <f>IF(G188="","",IFERROR(MIN(100,G188/'Input &amp; Settings'!$B$5*100),""))</f>
        <v/>
      </c>
      <c r="R188" s="37" t="str">
        <f>IF(H188="","",IFERROR(MIN(100,H188/'Input &amp; Settings'!$B$6*100),""))</f>
        <v/>
      </c>
      <c r="S188" s="37" t="str">
        <f>IF(I188="","",IFERROR(MIN(100,I188/'Input &amp; Settings'!$B$7*100),""))</f>
        <v/>
      </c>
      <c r="T188" s="37" t="str">
        <f>IF(J188="","",IFERROR(MIN(100,J188/'Input &amp; Settings'!$B$8*100),""))</f>
        <v/>
      </c>
      <c r="U188" s="37" t="str">
        <f>IF(K188="","",IFERROR(MIN(100,K188/'Input &amp; Settings'!$B$9*100),""))</f>
        <v/>
      </c>
      <c r="V188" s="37" t="str">
        <f>IF(L188="","",IFERROR(MIN(100,L188/'Input &amp; Settings'!$B$10*100),""))</f>
        <v/>
      </c>
      <c r="W188" s="37" t="str">
        <f>IF(M188="","",IFERROR(IF(M188&lt;='Input &amp; Settings'!$B$11,100,MAX(0,100-(M188-'Input &amp; Settings'!$B$11)*20)),""))</f>
        <v/>
      </c>
      <c r="X188" s="37" t="str">
        <f>IF(N188="","",IFERROR(MIN(100,N188/'Input &amp; Settings'!$B$12*100),""))</f>
        <v/>
      </c>
      <c r="Y188" s="37" t="str">
        <f>IF(O188="","",IFERROR(MIN(100,O188/'Input &amp; Settings'!$B$13*100),""))</f>
        <v/>
      </c>
      <c r="Z188" s="37" t="str">
        <f>IF(P188="","",IFERROR(IF(P188&lt;='Input &amp; Settings'!$B$14,100,MAX(0,100-(P188-'Input &amp; Settings'!$B$14)*20)),""))</f>
        <v/>
      </c>
      <c r="AA188" s="37" t="str">
        <f>IF(COUNTA(G188:P188)=0,"",ROUND(Q188*'Input &amp; Settings'!$C$5+R188*'Input &amp; Settings'!$C$6+S188*'Input &amp; Settings'!$C$7+T188*'Input &amp; Settings'!$C$8+U188*'Input &amp; Settings'!$C$9+V188*'Input &amp; Settings'!$C$10+W188*'Input &amp; Settings'!$C$11+X188*'Input &amp; Settings'!$C$12+Y188*'Input &amp; Settings'!$C$13+Z188*'Input &amp; Settings'!$C$14,1))</f>
        <v/>
      </c>
      <c r="AB188" s="38" t="str">
        <f>IF(OR(AA188="",E188=""),"",IFERROR(IF(AA188&gt;=VLOOKUP(E188,'Input &amp; Settings'!$F$5:$K$10,3,FALSE),"Outstanding",IF(AA188&gt;=VLOOKUP(E188,'Input &amp; Settings'!$F$5:$K$10,4,FALSE),"Exceeds Expectations",IF(AA188&gt;=VLOOKUP(E188,'Input &amp; Settings'!$F$5:$K$10,5,FALSE),"Meets Expectations",IF(AA188&gt;=VLOOKUP(E188,'Input &amp; Settings'!$F$5:$K$10,6,FALSE),"Needs Improvement","Performance Improvement Required")))),""))</f>
        <v/>
      </c>
      <c r="AC188" s="38" t="str">
        <f t="shared" si="8"/>
        <v/>
      </c>
      <c r="AD188" s="39"/>
      <c r="AE188" s="40"/>
      <c r="AF188" s="41" t="str">
        <f t="shared" si="9"/>
        <v/>
      </c>
      <c r="AG188" s="42" t="str">
        <f t="shared" si="10"/>
        <v/>
      </c>
      <c r="AH188" s="42" t="str">
        <f t="shared" si="11"/>
        <v>Anthony Thompson|May</v>
      </c>
    </row>
    <row r="189" spans="1:34" hidden="1">
      <c r="A189" s="32">
        <v>2026</v>
      </c>
      <c r="B189" s="32" t="s">
        <v>84</v>
      </c>
      <c r="C189" s="32" t="s">
        <v>53</v>
      </c>
      <c r="D189" s="32" t="s">
        <v>56</v>
      </c>
      <c r="E189" s="33"/>
      <c r="F189" s="34" t="str">
        <f>IF(E189="","",IFERROR(VLOOKUP(E189,'Input &amp; Settings'!$F$5:$G$10,2,FALSE),""))</f>
        <v/>
      </c>
      <c r="G189" s="33"/>
      <c r="H189" s="33"/>
      <c r="I189" s="35"/>
      <c r="J189" s="33"/>
      <c r="K189" s="36"/>
      <c r="L189" s="35"/>
      <c r="M189" s="33"/>
      <c r="N189" s="33"/>
      <c r="O189" s="33"/>
      <c r="P189" s="33"/>
      <c r="Q189" s="37" t="str">
        <f>IF(G189="","",IFERROR(MIN(100,G189/'Input &amp; Settings'!$B$5*100),""))</f>
        <v/>
      </c>
      <c r="R189" s="37" t="str">
        <f>IF(H189="","",IFERROR(MIN(100,H189/'Input &amp; Settings'!$B$6*100),""))</f>
        <v/>
      </c>
      <c r="S189" s="37" t="str">
        <f>IF(I189="","",IFERROR(MIN(100,I189/'Input &amp; Settings'!$B$7*100),""))</f>
        <v/>
      </c>
      <c r="T189" s="37" t="str">
        <f>IF(J189="","",IFERROR(MIN(100,J189/'Input &amp; Settings'!$B$8*100),""))</f>
        <v/>
      </c>
      <c r="U189" s="37" t="str">
        <f>IF(K189="","",IFERROR(MIN(100,K189/'Input &amp; Settings'!$B$9*100),""))</f>
        <v/>
      </c>
      <c r="V189" s="37" t="str">
        <f>IF(L189="","",IFERROR(MIN(100,L189/'Input &amp; Settings'!$B$10*100),""))</f>
        <v/>
      </c>
      <c r="W189" s="37" t="str">
        <f>IF(M189="","",IFERROR(IF(M189&lt;='Input &amp; Settings'!$B$11,100,MAX(0,100-(M189-'Input &amp; Settings'!$B$11)*20)),""))</f>
        <v/>
      </c>
      <c r="X189" s="37" t="str">
        <f>IF(N189="","",IFERROR(MIN(100,N189/'Input &amp; Settings'!$B$12*100),""))</f>
        <v/>
      </c>
      <c r="Y189" s="37" t="str">
        <f>IF(O189="","",IFERROR(MIN(100,O189/'Input &amp; Settings'!$B$13*100),""))</f>
        <v/>
      </c>
      <c r="Z189" s="37" t="str">
        <f>IF(P189="","",IFERROR(IF(P189&lt;='Input &amp; Settings'!$B$14,100,MAX(0,100-(P189-'Input &amp; Settings'!$B$14)*20)),""))</f>
        <v/>
      </c>
      <c r="AA189" s="37" t="str">
        <f>IF(COUNTA(G189:P189)=0,"",ROUND(Q189*'Input &amp; Settings'!$C$5+R189*'Input &amp; Settings'!$C$6+S189*'Input &amp; Settings'!$C$7+T189*'Input &amp; Settings'!$C$8+U189*'Input &amp; Settings'!$C$9+V189*'Input &amp; Settings'!$C$10+W189*'Input &amp; Settings'!$C$11+X189*'Input &amp; Settings'!$C$12+Y189*'Input &amp; Settings'!$C$13+Z189*'Input &amp; Settings'!$C$14,1))</f>
        <v/>
      </c>
      <c r="AB189" s="38" t="str">
        <f>IF(OR(AA189="",E189=""),"",IFERROR(IF(AA189&gt;=VLOOKUP(E189,'Input &amp; Settings'!$F$5:$K$10,3,FALSE),"Outstanding",IF(AA189&gt;=VLOOKUP(E189,'Input &amp; Settings'!$F$5:$K$10,4,FALSE),"Exceeds Expectations",IF(AA189&gt;=VLOOKUP(E189,'Input &amp; Settings'!$F$5:$K$10,5,FALSE),"Meets Expectations",IF(AA189&gt;=VLOOKUP(E189,'Input &amp; Settings'!$F$5:$K$10,6,FALSE),"Needs Improvement","Performance Improvement Required")))),""))</f>
        <v/>
      </c>
      <c r="AC189" s="38" t="str">
        <f t="shared" si="8"/>
        <v/>
      </c>
      <c r="AD189" s="39"/>
      <c r="AE189" s="40"/>
      <c r="AF189" s="41" t="str">
        <f t="shared" si="9"/>
        <v/>
      </c>
      <c r="AG189" s="42" t="str">
        <f t="shared" si="10"/>
        <v/>
      </c>
      <c r="AH189" s="42" t="str">
        <f t="shared" si="11"/>
        <v>Shamar Modeste|May</v>
      </c>
    </row>
    <row r="190" spans="1:34" hidden="1">
      <c r="A190" s="32">
        <v>2026</v>
      </c>
      <c r="B190" s="32" t="s">
        <v>84</v>
      </c>
      <c r="C190" s="32" t="s">
        <v>53</v>
      </c>
      <c r="D190" s="32" t="s">
        <v>57</v>
      </c>
      <c r="E190" s="33"/>
      <c r="F190" s="34" t="str">
        <f>IF(E190="","",IFERROR(VLOOKUP(E190,'Input &amp; Settings'!$F$5:$G$10,2,FALSE),""))</f>
        <v/>
      </c>
      <c r="G190" s="33"/>
      <c r="H190" s="33"/>
      <c r="I190" s="35"/>
      <c r="J190" s="33"/>
      <c r="K190" s="36"/>
      <c r="L190" s="35"/>
      <c r="M190" s="33"/>
      <c r="N190" s="33"/>
      <c r="O190" s="33"/>
      <c r="P190" s="33"/>
      <c r="Q190" s="37" t="str">
        <f>IF(G190="","",IFERROR(MIN(100,G190/'Input &amp; Settings'!$B$5*100),""))</f>
        <v/>
      </c>
      <c r="R190" s="37" t="str">
        <f>IF(H190="","",IFERROR(MIN(100,H190/'Input &amp; Settings'!$B$6*100),""))</f>
        <v/>
      </c>
      <c r="S190" s="37" t="str">
        <f>IF(I190="","",IFERROR(MIN(100,I190/'Input &amp; Settings'!$B$7*100),""))</f>
        <v/>
      </c>
      <c r="T190" s="37" t="str">
        <f>IF(J190="","",IFERROR(MIN(100,J190/'Input &amp; Settings'!$B$8*100),""))</f>
        <v/>
      </c>
      <c r="U190" s="37" t="str">
        <f>IF(K190="","",IFERROR(MIN(100,K190/'Input &amp; Settings'!$B$9*100),""))</f>
        <v/>
      </c>
      <c r="V190" s="37" t="str">
        <f>IF(L190="","",IFERROR(MIN(100,L190/'Input &amp; Settings'!$B$10*100),""))</f>
        <v/>
      </c>
      <c r="W190" s="37" t="str">
        <f>IF(M190="","",IFERROR(IF(M190&lt;='Input &amp; Settings'!$B$11,100,MAX(0,100-(M190-'Input &amp; Settings'!$B$11)*20)),""))</f>
        <v/>
      </c>
      <c r="X190" s="37" t="str">
        <f>IF(N190="","",IFERROR(MIN(100,N190/'Input &amp; Settings'!$B$12*100),""))</f>
        <v/>
      </c>
      <c r="Y190" s="37" t="str">
        <f>IF(O190="","",IFERROR(MIN(100,O190/'Input &amp; Settings'!$B$13*100),""))</f>
        <v/>
      </c>
      <c r="Z190" s="37" t="str">
        <f>IF(P190="","",IFERROR(IF(P190&lt;='Input &amp; Settings'!$B$14,100,MAX(0,100-(P190-'Input &amp; Settings'!$B$14)*20)),""))</f>
        <v/>
      </c>
      <c r="AA190" s="37" t="str">
        <f>IF(COUNTA(G190:P190)=0,"",ROUND(Q190*'Input &amp; Settings'!$C$5+R190*'Input &amp; Settings'!$C$6+S190*'Input &amp; Settings'!$C$7+T190*'Input &amp; Settings'!$C$8+U190*'Input &amp; Settings'!$C$9+V190*'Input &amp; Settings'!$C$10+W190*'Input &amp; Settings'!$C$11+X190*'Input &amp; Settings'!$C$12+Y190*'Input &amp; Settings'!$C$13+Z190*'Input &amp; Settings'!$C$14,1))</f>
        <v/>
      </c>
      <c r="AB190" s="38" t="str">
        <f>IF(OR(AA190="",E190=""),"",IFERROR(IF(AA190&gt;=VLOOKUP(E190,'Input &amp; Settings'!$F$5:$K$10,3,FALSE),"Outstanding",IF(AA190&gt;=VLOOKUP(E190,'Input &amp; Settings'!$F$5:$K$10,4,FALSE),"Exceeds Expectations",IF(AA190&gt;=VLOOKUP(E190,'Input &amp; Settings'!$F$5:$K$10,5,FALSE),"Meets Expectations",IF(AA190&gt;=VLOOKUP(E190,'Input &amp; Settings'!$F$5:$K$10,6,FALSE),"Needs Improvement","Performance Improvement Required")))),""))</f>
        <v/>
      </c>
      <c r="AC190" s="38" t="str">
        <f t="shared" si="8"/>
        <v/>
      </c>
      <c r="AD190" s="39"/>
      <c r="AE190" s="40"/>
      <c r="AF190" s="41" t="str">
        <f t="shared" si="9"/>
        <v/>
      </c>
      <c r="AG190" s="42" t="str">
        <f t="shared" si="10"/>
        <v/>
      </c>
      <c r="AH190" s="42" t="str">
        <f t="shared" si="11"/>
        <v>Steven Morejon|May</v>
      </c>
    </row>
    <row r="191" spans="1:34" hidden="1">
      <c r="A191" s="32">
        <v>2026</v>
      </c>
      <c r="B191" s="32" t="s">
        <v>84</v>
      </c>
      <c r="C191" s="32" t="s">
        <v>53</v>
      </c>
      <c r="D191" s="32" t="s">
        <v>58</v>
      </c>
      <c r="E191" s="33"/>
      <c r="F191" s="34" t="str">
        <f>IF(E191="","",IFERROR(VLOOKUP(E191,'Input &amp; Settings'!$F$5:$G$10,2,FALSE),""))</f>
        <v/>
      </c>
      <c r="G191" s="33"/>
      <c r="H191" s="33"/>
      <c r="I191" s="35"/>
      <c r="J191" s="33"/>
      <c r="K191" s="36"/>
      <c r="L191" s="35"/>
      <c r="M191" s="33"/>
      <c r="N191" s="33"/>
      <c r="O191" s="33"/>
      <c r="P191" s="33"/>
      <c r="Q191" s="37" t="str">
        <f>IF(G191="","",IFERROR(MIN(100,G191/'Input &amp; Settings'!$B$5*100),""))</f>
        <v/>
      </c>
      <c r="R191" s="37" t="str">
        <f>IF(H191="","",IFERROR(MIN(100,H191/'Input &amp; Settings'!$B$6*100),""))</f>
        <v/>
      </c>
      <c r="S191" s="37" t="str">
        <f>IF(I191="","",IFERROR(MIN(100,I191/'Input &amp; Settings'!$B$7*100),""))</f>
        <v/>
      </c>
      <c r="T191" s="37" t="str">
        <f>IF(J191="","",IFERROR(MIN(100,J191/'Input &amp; Settings'!$B$8*100),""))</f>
        <v/>
      </c>
      <c r="U191" s="37" t="str">
        <f>IF(K191="","",IFERROR(MIN(100,K191/'Input &amp; Settings'!$B$9*100),""))</f>
        <v/>
      </c>
      <c r="V191" s="37" t="str">
        <f>IF(L191="","",IFERROR(MIN(100,L191/'Input &amp; Settings'!$B$10*100),""))</f>
        <v/>
      </c>
      <c r="W191" s="37" t="str">
        <f>IF(M191="","",IFERROR(IF(M191&lt;='Input &amp; Settings'!$B$11,100,MAX(0,100-(M191-'Input &amp; Settings'!$B$11)*20)),""))</f>
        <v/>
      </c>
      <c r="X191" s="37" t="str">
        <f>IF(N191="","",IFERROR(MIN(100,N191/'Input &amp; Settings'!$B$12*100),""))</f>
        <v/>
      </c>
      <c r="Y191" s="37" t="str">
        <f>IF(O191="","",IFERROR(MIN(100,O191/'Input &amp; Settings'!$B$13*100),""))</f>
        <v/>
      </c>
      <c r="Z191" s="37" t="str">
        <f>IF(P191="","",IFERROR(IF(P191&lt;='Input &amp; Settings'!$B$14,100,MAX(0,100-(P191-'Input &amp; Settings'!$B$14)*20)),""))</f>
        <v/>
      </c>
      <c r="AA191" s="37" t="str">
        <f>IF(COUNTA(G191:P191)=0,"",ROUND(Q191*'Input &amp; Settings'!$C$5+R191*'Input &amp; Settings'!$C$6+S191*'Input &amp; Settings'!$C$7+T191*'Input &amp; Settings'!$C$8+U191*'Input &amp; Settings'!$C$9+V191*'Input &amp; Settings'!$C$10+W191*'Input &amp; Settings'!$C$11+X191*'Input &amp; Settings'!$C$12+Y191*'Input &amp; Settings'!$C$13+Z191*'Input &amp; Settings'!$C$14,1))</f>
        <v/>
      </c>
      <c r="AB191" s="38" t="str">
        <f>IF(OR(AA191="",E191=""),"",IFERROR(IF(AA191&gt;=VLOOKUP(E191,'Input &amp; Settings'!$F$5:$K$10,3,FALSE),"Outstanding",IF(AA191&gt;=VLOOKUP(E191,'Input &amp; Settings'!$F$5:$K$10,4,FALSE),"Exceeds Expectations",IF(AA191&gt;=VLOOKUP(E191,'Input &amp; Settings'!$F$5:$K$10,5,FALSE),"Meets Expectations",IF(AA191&gt;=VLOOKUP(E191,'Input &amp; Settings'!$F$5:$K$10,6,FALSE),"Needs Improvement","Performance Improvement Required")))),""))</f>
        <v/>
      </c>
      <c r="AC191" s="38" t="str">
        <f t="shared" si="8"/>
        <v/>
      </c>
      <c r="AD191" s="39"/>
      <c r="AE191" s="40"/>
      <c r="AF191" s="41" t="str">
        <f t="shared" si="9"/>
        <v/>
      </c>
      <c r="AG191" s="42" t="str">
        <f t="shared" si="10"/>
        <v/>
      </c>
      <c r="AH191" s="42" t="str">
        <f t="shared" si="11"/>
        <v>Nicolas Abello|May</v>
      </c>
    </row>
    <row r="192" spans="1:34" hidden="1">
      <c r="A192" s="32">
        <v>2026</v>
      </c>
      <c r="B192" s="32" t="s">
        <v>84</v>
      </c>
      <c r="C192" s="32" t="s">
        <v>53</v>
      </c>
      <c r="D192" s="32" t="s">
        <v>59</v>
      </c>
      <c r="E192" s="33"/>
      <c r="F192" s="34" t="str">
        <f>IF(E192="","",IFERROR(VLOOKUP(E192,'Input &amp; Settings'!$F$5:$G$10,2,FALSE),""))</f>
        <v/>
      </c>
      <c r="G192" s="33"/>
      <c r="H192" s="33"/>
      <c r="I192" s="35"/>
      <c r="J192" s="33"/>
      <c r="K192" s="36"/>
      <c r="L192" s="35"/>
      <c r="M192" s="33"/>
      <c r="N192" s="33"/>
      <c r="O192" s="33"/>
      <c r="P192" s="33"/>
      <c r="Q192" s="37" t="str">
        <f>IF(G192="","",IFERROR(MIN(100,G192/'Input &amp; Settings'!$B$5*100),""))</f>
        <v/>
      </c>
      <c r="R192" s="37" t="str">
        <f>IF(H192="","",IFERROR(MIN(100,H192/'Input &amp; Settings'!$B$6*100),""))</f>
        <v/>
      </c>
      <c r="S192" s="37" t="str">
        <f>IF(I192="","",IFERROR(MIN(100,I192/'Input &amp; Settings'!$B$7*100),""))</f>
        <v/>
      </c>
      <c r="T192" s="37" t="str">
        <f>IF(J192="","",IFERROR(MIN(100,J192/'Input &amp; Settings'!$B$8*100),""))</f>
        <v/>
      </c>
      <c r="U192" s="37" t="str">
        <f>IF(K192="","",IFERROR(MIN(100,K192/'Input &amp; Settings'!$B$9*100),""))</f>
        <v/>
      </c>
      <c r="V192" s="37" t="str">
        <f>IF(L192="","",IFERROR(MIN(100,L192/'Input &amp; Settings'!$B$10*100),""))</f>
        <v/>
      </c>
      <c r="W192" s="37" t="str">
        <f>IF(M192="","",IFERROR(IF(M192&lt;='Input &amp; Settings'!$B$11,100,MAX(0,100-(M192-'Input &amp; Settings'!$B$11)*20)),""))</f>
        <v/>
      </c>
      <c r="X192" s="37" t="str">
        <f>IF(N192="","",IFERROR(MIN(100,N192/'Input &amp; Settings'!$B$12*100),""))</f>
        <v/>
      </c>
      <c r="Y192" s="37" t="str">
        <f>IF(O192="","",IFERROR(MIN(100,O192/'Input &amp; Settings'!$B$13*100),""))</f>
        <v/>
      </c>
      <c r="Z192" s="37" t="str">
        <f>IF(P192="","",IFERROR(IF(P192&lt;='Input &amp; Settings'!$B$14,100,MAX(0,100-(P192-'Input &amp; Settings'!$B$14)*20)),""))</f>
        <v/>
      </c>
      <c r="AA192" s="37" t="str">
        <f>IF(COUNTA(G192:P192)=0,"",ROUND(Q192*'Input &amp; Settings'!$C$5+R192*'Input &amp; Settings'!$C$6+S192*'Input &amp; Settings'!$C$7+T192*'Input &amp; Settings'!$C$8+U192*'Input &amp; Settings'!$C$9+V192*'Input &amp; Settings'!$C$10+W192*'Input &amp; Settings'!$C$11+X192*'Input &amp; Settings'!$C$12+Y192*'Input &amp; Settings'!$C$13+Z192*'Input &amp; Settings'!$C$14,1))</f>
        <v/>
      </c>
      <c r="AB192" s="38" t="str">
        <f>IF(OR(AA192="",E192=""),"",IFERROR(IF(AA192&gt;=VLOOKUP(E192,'Input &amp; Settings'!$F$5:$K$10,3,FALSE),"Outstanding",IF(AA192&gt;=VLOOKUP(E192,'Input &amp; Settings'!$F$5:$K$10,4,FALSE),"Exceeds Expectations",IF(AA192&gt;=VLOOKUP(E192,'Input &amp; Settings'!$F$5:$K$10,5,FALSE),"Meets Expectations",IF(AA192&gt;=VLOOKUP(E192,'Input &amp; Settings'!$F$5:$K$10,6,FALSE),"Needs Improvement","Performance Improvement Required")))),""))</f>
        <v/>
      </c>
      <c r="AC192" s="38" t="str">
        <f t="shared" si="8"/>
        <v/>
      </c>
      <c r="AD192" s="39"/>
      <c r="AE192" s="40"/>
      <c r="AF192" s="41" t="str">
        <f t="shared" si="9"/>
        <v/>
      </c>
      <c r="AG192" s="42" t="str">
        <f t="shared" si="10"/>
        <v/>
      </c>
      <c r="AH192" s="42" t="str">
        <f t="shared" si="11"/>
        <v>Carlos Espinosa|May</v>
      </c>
    </row>
    <row r="193" spans="1:34" hidden="1">
      <c r="A193" s="32">
        <v>2026</v>
      </c>
      <c r="B193" s="32" t="s">
        <v>84</v>
      </c>
      <c r="C193" s="32" t="s">
        <v>53</v>
      </c>
      <c r="D193" s="32" t="s">
        <v>60</v>
      </c>
      <c r="E193" s="33"/>
      <c r="F193" s="34" t="str">
        <f>IF(E193="","",IFERROR(VLOOKUP(E193,'Input &amp; Settings'!$F$5:$G$10,2,FALSE),""))</f>
        <v/>
      </c>
      <c r="G193" s="33"/>
      <c r="H193" s="33"/>
      <c r="I193" s="35"/>
      <c r="J193" s="33"/>
      <c r="K193" s="36"/>
      <c r="L193" s="35"/>
      <c r="M193" s="33"/>
      <c r="N193" s="33"/>
      <c r="O193" s="33"/>
      <c r="P193" s="33"/>
      <c r="Q193" s="37" t="str">
        <f>IF(G193="","",IFERROR(MIN(100,G193/'Input &amp; Settings'!$B$5*100),""))</f>
        <v/>
      </c>
      <c r="R193" s="37" t="str">
        <f>IF(H193="","",IFERROR(MIN(100,H193/'Input &amp; Settings'!$B$6*100),""))</f>
        <v/>
      </c>
      <c r="S193" s="37" t="str">
        <f>IF(I193="","",IFERROR(MIN(100,I193/'Input &amp; Settings'!$B$7*100),""))</f>
        <v/>
      </c>
      <c r="T193" s="37" t="str">
        <f>IF(J193="","",IFERROR(MIN(100,J193/'Input &amp; Settings'!$B$8*100),""))</f>
        <v/>
      </c>
      <c r="U193" s="37" t="str">
        <f>IF(K193="","",IFERROR(MIN(100,K193/'Input &amp; Settings'!$B$9*100),""))</f>
        <v/>
      </c>
      <c r="V193" s="37" t="str">
        <f>IF(L193="","",IFERROR(MIN(100,L193/'Input &amp; Settings'!$B$10*100),""))</f>
        <v/>
      </c>
      <c r="W193" s="37" t="str">
        <f>IF(M193="","",IFERROR(IF(M193&lt;='Input &amp; Settings'!$B$11,100,MAX(0,100-(M193-'Input &amp; Settings'!$B$11)*20)),""))</f>
        <v/>
      </c>
      <c r="X193" s="37" t="str">
        <f>IF(N193="","",IFERROR(MIN(100,N193/'Input &amp; Settings'!$B$12*100),""))</f>
        <v/>
      </c>
      <c r="Y193" s="37" t="str">
        <f>IF(O193="","",IFERROR(MIN(100,O193/'Input &amp; Settings'!$B$13*100),""))</f>
        <v/>
      </c>
      <c r="Z193" s="37" t="str">
        <f>IF(P193="","",IFERROR(IF(P193&lt;='Input &amp; Settings'!$B$14,100,MAX(0,100-(P193-'Input &amp; Settings'!$B$14)*20)),""))</f>
        <v/>
      </c>
      <c r="AA193" s="37" t="str">
        <f>IF(COUNTA(G193:P193)=0,"",ROUND(Q193*'Input &amp; Settings'!$C$5+R193*'Input &amp; Settings'!$C$6+S193*'Input &amp; Settings'!$C$7+T193*'Input &amp; Settings'!$C$8+U193*'Input &amp; Settings'!$C$9+V193*'Input &amp; Settings'!$C$10+W193*'Input &amp; Settings'!$C$11+X193*'Input &amp; Settings'!$C$12+Y193*'Input &amp; Settings'!$C$13+Z193*'Input &amp; Settings'!$C$14,1))</f>
        <v/>
      </c>
      <c r="AB193" s="38" t="str">
        <f>IF(OR(AA193="",E193=""),"",IFERROR(IF(AA193&gt;=VLOOKUP(E193,'Input &amp; Settings'!$F$5:$K$10,3,FALSE),"Outstanding",IF(AA193&gt;=VLOOKUP(E193,'Input &amp; Settings'!$F$5:$K$10,4,FALSE),"Exceeds Expectations",IF(AA193&gt;=VLOOKUP(E193,'Input &amp; Settings'!$F$5:$K$10,5,FALSE),"Meets Expectations",IF(AA193&gt;=VLOOKUP(E193,'Input &amp; Settings'!$F$5:$K$10,6,FALSE),"Needs Improvement","Performance Improvement Required")))),""))</f>
        <v/>
      </c>
      <c r="AC193" s="38" t="str">
        <f t="shared" si="8"/>
        <v/>
      </c>
      <c r="AD193" s="39"/>
      <c r="AE193" s="40"/>
      <c r="AF193" s="41" t="str">
        <f t="shared" si="9"/>
        <v/>
      </c>
      <c r="AG193" s="42" t="str">
        <f t="shared" si="10"/>
        <v/>
      </c>
      <c r="AH193" s="42" t="str">
        <f t="shared" si="11"/>
        <v>Fernando Barbera - Boyer|May</v>
      </c>
    </row>
    <row r="194" spans="1:34" hidden="1">
      <c r="A194" s="32">
        <v>2026</v>
      </c>
      <c r="B194" s="32" t="s">
        <v>84</v>
      </c>
      <c r="C194" s="32" t="s">
        <v>53</v>
      </c>
      <c r="D194" s="32" t="s">
        <v>61</v>
      </c>
      <c r="E194" s="33"/>
      <c r="F194" s="34" t="str">
        <f>IF(E194="","",IFERROR(VLOOKUP(E194,'Input &amp; Settings'!$F$5:$G$10,2,FALSE),""))</f>
        <v/>
      </c>
      <c r="G194" s="33"/>
      <c r="H194" s="33"/>
      <c r="I194" s="35"/>
      <c r="J194" s="33"/>
      <c r="K194" s="36"/>
      <c r="L194" s="35"/>
      <c r="M194" s="33"/>
      <c r="N194" s="33"/>
      <c r="O194" s="33"/>
      <c r="P194" s="33"/>
      <c r="Q194" s="37" t="str">
        <f>IF(G194="","",IFERROR(MIN(100,G194/'Input &amp; Settings'!$B$5*100),""))</f>
        <v/>
      </c>
      <c r="R194" s="37" t="str">
        <f>IF(H194="","",IFERROR(MIN(100,H194/'Input &amp; Settings'!$B$6*100),""))</f>
        <v/>
      </c>
      <c r="S194" s="37" t="str">
        <f>IF(I194="","",IFERROR(MIN(100,I194/'Input &amp; Settings'!$B$7*100),""))</f>
        <v/>
      </c>
      <c r="T194" s="37" t="str">
        <f>IF(J194="","",IFERROR(MIN(100,J194/'Input &amp; Settings'!$B$8*100),""))</f>
        <v/>
      </c>
      <c r="U194" s="37" t="str">
        <f>IF(K194="","",IFERROR(MIN(100,K194/'Input &amp; Settings'!$B$9*100),""))</f>
        <v/>
      </c>
      <c r="V194" s="37" t="str">
        <f>IF(L194="","",IFERROR(MIN(100,L194/'Input &amp; Settings'!$B$10*100),""))</f>
        <v/>
      </c>
      <c r="W194" s="37" t="str">
        <f>IF(M194="","",IFERROR(IF(M194&lt;='Input &amp; Settings'!$B$11,100,MAX(0,100-(M194-'Input &amp; Settings'!$B$11)*20)),""))</f>
        <v/>
      </c>
      <c r="X194" s="37" t="str">
        <f>IF(N194="","",IFERROR(MIN(100,N194/'Input &amp; Settings'!$B$12*100),""))</f>
        <v/>
      </c>
      <c r="Y194" s="37" t="str">
        <f>IF(O194="","",IFERROR(MIN(100,O194/'Input &amp; Settings'!$B$13*100),""))</f>
        <v/>
      </c>
      <c r="Z194" s="37" t="str">
        <f>IF(P194="","",IFERROR(IF(P194&lt;='Input &amp; Settings'!$B$14,100,MAX(0,100-(P194-'Input &amp; Settings'!$B$14)*20)),""))</f>
        <v/>
      </c>
      <c r="AA194" s="37" t="str">
        <f>IF(COUNTA(G194:P194)=0,"",ROUND(Q194*'Input &amp; Settings'!$C$5+R194*'Input &amp; Settings'!$C$6+S194*'Input &amp; Settings'!$C$7+T194*'Input &amp; Settings'!$C$8+U194*'Input &amp; Settings'!$C$9+V194*'Input &amp; Settings'!$C$10+W194*'Input &amp; Settings'!$C$11+X194*'Input &amp; Settings'!$C$12+Y194*'Input &amp; Settings'!$C$13+Z194*'Input &amp; Settings'!$C$14,1))</f>
        <v/>
      </c>
      <c r="AB194" s="38" t="str">
        <f>IF(OR(AA194="",E194=""),"",IFERROR(IF(AA194&gt;=VLOOKUP(E194,'Input &amp; Settings'!$F$5:$K$10,3,FALSE),"Outstanding",IF(AA194&gt;=VLOOKUP(E194,'Input &amp; Settings'!$F$5:$K$10,4,FALSE),"Exceeds Expectations",IF(AA194&gt;=VLOOKUP(E194,'Input &amp; Settings'!$F$5:$K$10,5,FALSE),"Meets Expectations",IF(AA194&gt;=VLOOKUP(E194,'Input &amp; Settings'!$F$5:$K$10,6,FALSE),"Needs Improvement","Performance Improvement Required")))),""))</f>
        <v/>
      </c>
      <c r="AC194" s="38" t="str">
        <f t="shared" si="8"/>
        <v/>
      </c>
      <c r="AD194" s="39"/>
      <c r="AE194" s="40"/>
      <c r="AF194" s="41" t="str">
        <f t="shared" si="9"/>
        <v/>
      </c>
      <c r="AG194" s="42" t="str">
        <f t="shared" si="10"/>
        <v/>
      </c>
      <c r="AH194" s="42" t="str">
        <f t="shared" si="11"/>
        <v>Miquelle Cordova|May</v>
      </c>
    </row>
    <row r="195" spans="1:34" hidden="1">
      <c r="A195" s="32">
        <v>2026</v>
      </c>
      <c r="B195" s="32" t="s">
        <v>84</v>
      </c>
      <c r="C195" s="32" t="s">
        <v>53</v>
      </c>
      <c r="D195" s="32" t="s">
        <v>62</v>
      </c>
      <c r="E195" s="33"/>
      <c r="F195" s="34" t="str">
        <f>IF(E195="","",IFERROR(VLOOKUP(E195,'Input &amp; Settings'!$F$5:$G$10,2,FALSE),""))</f>
        <v/>
      </c>
      <c r="G195" s="33"/>
      <c r="H195" s="33"/>
      <c r="I195" s="35"/>
      <c r="J195" s="33"/>
      <c r="K195" s="36"/>
      <c r="L195" s="35"/>
      <c r="M195" s="33"/>
      <c r="N195" s="33"/>
      <c r="O195" s="33"/>
      <c r="P195" s="33"/>
      <c r="Q195" s="37" t="str">
        <f>IF(G195="","",IFERROR(MIN(100,G195/'Input &amp; Settings'!$B$5*100),""))</f>
        <v/>
      </c>
      <c r="R195" s="37" t="str">
        <f>IF(H195="","",IFERROR(MIN(100,H195/'Input &amp; Settings'!$B$6*100),""))</f>
        <v/>
      </c>
      <c r="S195" s="37" t="str">
        <f>IF(I195="","",IFERROR(MIN(100,I195/'Input &amp; Settings'!$B$7*100),""))</f>
        <v/>
      </c>
      <c r="T195" s="37" t="str">
        <f>IF(J195="","",IFERROR(MIN(100,J195/'Input &amp; Settings'!$B$8*100),""))</f>
        <v/>
      </c>
      <c r="U195" s="37" t="str">
        <f>IF(K195="","",IFERROR(MIN(100,K195/'Input &amp; Settings'!$B$9*100),""))</f>
        <v/>
      </c>
      <c r="V195" s="37" t="str">
        <f>IF(L195="","",IFERROR(MIN(100,L195/'Input &amp; Settings'!$B$10*100),""))</f>
        <v/>
      </c>
      <c r="W195" s="37" t="str">
        <f>IF(M195="","",IFERROR(IF(M195&lt;='Input &amp; Settings'!$B$11,100,MAX(0,100-(M195-'Input &amp; Settings'!$B$11)*20)),""))</f>
        <v/>
      </c>
      <c r="X195" s="37" t="str">
        <f>IF(N195="","",IFERROR(MIN(100,N195/'Input &amp; Settings'!$B$12*100),""))</f>
        <v/>
      </c>
      <c r="Y195" s="37" t="str">
        <f>IF(O195="","",IFERROR(MIN(100,O195/'Input &amp; Settings'!$B$13*100),""))</f>
        <v/>
      </c>
      <c r="Z195" s="37" t="str">
        <f>IF(P195="","",IFERROR(IF(P195&lt;='Input &amp; Settings'!$B$14,100,MAX(0,100-(P195-'Input &amp; Settings'!$B$14)*20)),""))</f>
        <v/>
      </c>
      <c r="AA195" s="37" t="str">
        <f>IF(COUNTA(G195:P195)=0,"",ROUND(Q195*'Input &amp; Settings'!$C$5+R195*'Input &amp; Settings'!$C$6+S195*'Input &amp; Settings'!$C$7+T195*'Input &amp; Settings'!$C$8+U195*'Input &amp; Settings'!$C$9+V195*'Input &amp; Settings'!$C$10+W195*'Input &amp; Settings'!$C$11+X195*'Input &amp; Settings'!$C$12+Y195*'Input &amp; Settings'!$C$13+Z195*'Input &amp; Settings'!$C$14,1))</f>
        <v/>
      </c>
      <c r="AB195" s="38" t="str">
        <f>IF(OR(AA195="",E195=""),"",IFERROR(IF(AA195&gt;=VLOOKUP(E195,'Input &amp; Settings'!$F$5:$K$10,3,FALSE),"Outstanding",IF(AA195&gt;=VLOOKUP(E195,'Input &amp; Settings'!$F$5:$K$10,4,FALSE),"Exceeds Expectations",IF(AA195&gt;=VLOOKUP(E195,'Input &amp; Settings'!$F$5:$K$10,5,FALSE),"Meets Expectations",IF(AA195&gt;=VLOOKUP(E195,'Input &amp; Settings'!$F$5:$K$10,6,FALSE),"Needs Improvement","Performance Improvement Required")))),""))</f>
        <v/>
      </c>
      <c r="AC195" s="38" t="str">
        <f t="shared" ref="AC195:AC258" si="12">IF(COUNTA(G195:P195)+COUNTA(AD195:AE195)&gt;0,"Entered","")</f>
        <v/>
      </c>
      <c r="AD195" s="39"/>
      <c r="AE195" s="40"/>
      <c r="AF195" s="41" t="str">
        <f t="shared" ref="AF195:AF258" si="13">IF(AD195&lt;&gt;"",AD195,AA195)</f>
        <v/>
      </c>
      <c r="AG195" s="42" t="str">
        <f t="shared" ref="AG195:AG258" si="14">IF(AE195&lt;&gt;"",AE195,AB195)</f>
        <v/>
      </c>
      <c r="AH195" s="42" t="str">
        <f t="shared" ref="AH195:AH258" si="15">D195&amp;"|"&amp;B195</f>
        <v>Daniel Sanchez|May</v>
      </c>
    </row>
    <row r="196" spans="1:34" hidden="1">
      <c r="A196" s="32">
        <v>2026</v>
      </c>
      <c r="B196" s="32" t="s">
        <v>84</v>
      </c>
      <c r="C196" s="32" t="s">
        <v>53</v>
      </c>
      <c r="D196" s="32" t="s">
        <v>63</v>
      </c>
      <c r="E196" s="33"/>
      <c r="F196" s="34" t="str">
        <f>IF(E196="","",IFERROR(VLOOKUP(E196,'Input &amp; Settings'!$F$5:$G$10,2,FALSE),""))</f>
        <v/>
      </c>
      <c r="G196" s="33"/>
      <c r="H196" s="33"/>
      <c r="I196" s="35"/>
      <c r="J196" s="33"/>
      <c r="K196" s="36"/>
      <c r="L196" s="35"/>
      <c r="M196" s="33"/>
      <c r="N196" s="33"/>
      <c r="O196" s="33"/>
      <c r="P196" s="33"/>
      <c r="Q196" s="37" t="str">
        <f>IF(G196="","",IFERROR(MIN(100,G196/'Input &amp; Settings'!$B$5*100),""))</f>
        <v/>
      </c>
      <c r="R196" s="37" t="str">
        <f>IF(H196="","",IFERROR(MIN(100,H196/'Input &amp; Settings'!$B$6*100),""))</f>
        <v/>
      </c>
      <c r="S196" s="37" t="str">
        <f>IF(I196="","",IFERROR(MIN(100,I196/'Input &amp; Settings'!$B$7*100),""))</f>
        <v/>
      </c>
      <c r="T196" s="37" t="str">
        <f>IF(J196="","",IFERROR(MIN(100,J196/'Input &amp; Settings'!$B$8*100),""))</f>
        <v/>
      </c>
      <c r="U196" s="37" t="str">
        <f>IF(K196="","",IFERROR(MIN(100,K196/'Input &amp; Settings'!$B$9*100),""))</f>
        <v/>
      </c>
      <c r="V196" s="37" t="str">
        <f>IF(L196="","",IFERROR(MIN(100,L196/'Input &amp; Settings'!$B$10*100),""))</f>
        <v/>
      </c>
      <c r="W196" s="37" t="str">
        <f>IF(M196="","",IFERROR(IF(M196&lt;='Input &amp; Settings'!$B$11,100,MAX(0,100-(M196-'Input &amp; Settings'!$B$11)*20)),""))</f>
        <v/>
      </c>
      <c r="X196" s="37" t="str">
        <f>IF(N196="","",IFERROR(MIN(100,N196/'Input &amp; Settings'!$B$12*100),""))</f>
        <v/>
      </c>
      <c r="Y196" s="37" t="str">
        <f>IF(O196="","",IFERROR(MIN(100,O196/'Input &amp; Settings'!$B$13*100),""))</f>
        <v/>
      </c>
      <c r="Z196" s="37" t="str">
        <f>IF(P196="","",IFERROR(IF(P196&lt;='Input &amp; Settings'!$B$14,100,MAX(0,100-(P196-'Input &amp; Settings'!$B$14)*20)),""))</f>
        <v/>
      </c>
      <c r="AA196" s="37" t="str">
        <f>IF(COUNTA(G196:P196)=0,"",ROUND(Q196*'Input &amp; Settings'!$C$5+R196*'Input &amp; Settings'!$C$6+S196*'Input &amp; Settings'!$C$7+T196*'Input &amp; Settings'!$C$8+U196*'Input &amp; Settings'!$C$9+V196*'Input &amp; Settings'!$C$10+W196*'Input &amp; Settings'!$C$11+X196*'Input &amp; Settings'!$C$12+Y196*'Input &amp; Settings'!$C$13+Z196*'Input &amp; Settings'!$C$14,1))</f>
        <v/>
      </c>
      <c r="AB196" s="38" t="str">
        <f>IF(OR(AA196="",E196=""),"",IFERROR(IF(AA196&gt;=VLOOKUP(E196,'Input &amp; Settings'!$F$5:$K$10,3,FALSE),"Outstanding",IF(AA196&gt;=VLOOKUP(E196,'Input &amp; Settings'!$F$5:$K$10,4,FALSE),"Exceeds Expectations",IF(AA196&gt;=VLOOKUP(E196,'Input &amp; Settings'!$F$5:$K$10,5,FALSE),"Meets Expectations",IF(AA196&gt;=VLOOKUP(E196,'Input &amp; Settings'!$F$5:$K$10,6,FALSE),"Needs Improvement","Performance Improvement Required")))),""))</f>
        <v/>
      </c>
      <c r="AC196" s="38" t="str">
        <f t="shared" si="12"/>
        <v/>
      </c>
      <c r="AD196" s="39"/>
      <c r="AE196" s="40"/>
      <c r="AF196" s="41" t="str">
        <f t="shared" si="13"/>
        <v/>
      </c>
      <c r="AG196" s="42" t="str">
        <f t="shared" si="14"/>
        <v/>
      </c>
      <c r="AH196" s="42" t="str">
        <f t="shared" si="15"/>
        <v>Braynon Edwards|May</v>
      </c>
    </row>
    <row r="197" spans="1:34" hidden="1">
      <c r="A197" s="32">
        <v>2026</v>
      </c>
      <c r="B197" s="32" t="s">
        <v>84</v>
      </c>
      <c r="C197" s="32" t="s">
        <v>53</v>
      </c>
      <c r="D197" s="32" t="s">
        <v>64</v>
      </c>
      <c r="E197" s="33"/>
      <c r="F197" s="34" t="str">
        <f>IF(E197="","",IFERROR(VLOOKUP(E197,'Input &amp; Settings'!$F$5:$G$10,2,FALSE),""))</f>
        <v/>
      </c>
      <c r="G197" s="33"/>
      <c r="H197" s="33"/>
      <c r="I197" s="35"/>
      <c r="J197" s="33"/>
      <c r="K197" s="36"/>
      <c r="L197" s="35"/>
      <c r="M197" s="33"/>
      <c r="N197" s="33"/>
      <c r="O197" s="33"/>
      <c r="P197" s="33"/>
      <c r="Q197" s="37" t="str">
        <f>IF(G197="","",IFERROR(MIN(100,G197/'Input &amp; Settings'!$B$5*100),""))</f>
        <v/>
      </c>
      <c r="R197" s="37" t="str">
        <f>IF(H197="","",IFERROR(MIN(100,H197/'Input &amp; Settings'!$B$6*100),""))</f>
        <v/>
      </c>
      <c r="S197" s="37" t="str">
        <f>IF(I197="","",IFERROR(MIN(100,I197/'Input &amp; Settings'!$B$7*100),""))</f>
        <v/>
      </c>
      <c r="T197" s="37" t="str">
        <f>IF(J197="","",IFERROR(MIN(100,J197/'Input &amp; Settings'!$B$8*100),""))</f>
        <v/>
      </c>
      <c r="U197" s="37" t="str">
        <f>IF(K197="","",IFERROR(MIN(100,K197/'Input &amp; Settings'!$B$9*100),""))</f>
        <v/>
      </c>
      <c r="V197" s="37" t="str">
        <f>IF(L197="","",IFERROR(MIN(100,L197/'Input &amp; Settings'!$B$10*100),""))</f>
        <v/>
      </c>
      <c r="W197" s="37" t="str">
        <f>IF(M197="","",IFERROR(IF(M197&lt;='Input &amp; Settings'!$B$11,100,MAX(0,100-(M197-'Input &amp; Settings'!$B$11)*20)),""))</f>
        <v/>
      </c>
      <c r="X197" s="37" t="str">
        <f>IF(N197="","",IFERROR(MIN(100,N197/'Input &amp; Settings'!$B$12*100),""))</f>
        <v/>
      </c>
      <c r="Y197" s="37" t="str">
        <f>IF(O197="","",IFERROR(MIN(100,O197/'Input &amp; Settings'!$B$13*100),""))</f>
        <v/>
      </c>
      <c r="Z197" s="37" t="str">
        <f>IF(P197="","",IFERROR(IF(P197&lt;='Input &amp; Settings'!$B$14,100,MAX(0,100-(P197-'Input &amp; Settings'!$B$14)*20)),""))</f>
        <v/>
      </c>
      <c r="AA197" s="37" t="str">
        <f>IF(COUNTA(G197:P197)=0,"",ROUND(Q197*'Input &amp; Settings'!$C$5+R197*'Input &amp; Settings'!$C$6+S197*'Input &amp; Settings'!$C$7+T197*'Input &amp; Settings'!$C$8+U197*'Input &amp; Settings'!$C$9+V197*'Input &amp; Settings'!$C$10+W197*'Input &amp; Settings'!$C$11+X197*'Input &amp; Settings'!$C$12+Y197*'Input &amp; Settings'!$C$13+Z197*'Input &amp; Settings'!$C$14,1))</f>
        <v/>
      </c>
      <c r="AB197" s="38" t="str">
        <f>IF(OR(AA197="",E197=""),"",IFERROR(IF(AA197&gt;=VLOOKUP(E197,'Input &amp; Settings'!$F$5:$K$10,3,FALSE),"Outstanding",IF(AA197&gt;=VLOOKUP(E197,'Input &amp; Settings'!$F$5:$K$10,4,FALSE),"Exceeds Expectations",IF(AA197&gt;=VLOOKUP(E197,'Input &amp; Settings'!$F$5:$K$10,5,FALSE),"Meets Expectations",IF(AA197&gt;=VLOOKUP(E197,'Input &amp; Settings'!$F$5:$K$10,6,FALSE),"Needs Improvement","Performance Improvement Required")))),""))</f>
        <v/>
      </c>
      <c r="AC197" s="38" t="str">
        <f t="shared" si="12"/>
        <v/>
      </c>
      <c r="AD197" s="39"/>
      <c r="AE197" s="40"/>
      <c r="AF197" s="41" t="str">
        <f t="shared" si="13"/>
        <v/>
      </c>
      <c r="AG197" s="42" t="str">
        <f t="shared" si="14"/>
        <v/>
      </c>
      <c r="AH197" s="42" t="str">
        <f t="shared" si="15"/>
        <v>Sebastian Lopez|May</v>
      </c>
    </row>
    <row r="198" spans="1:34" hidden="1">
      <c r="A198" s="32">
        <v>2026</v>
      </c>
      <c r="B198" s="32" t="s">
        <v>84</v>
      </c>
      <c r="C198" s="32" t="s">
        <v>53</v>
      </c>
      <c r="D198" s="32" t="s">
        <v>65</v>
      </c>
      <c r="E198" s="33"/>
      <c r="F198" s="34" t="str">
        <f>IF(E198="","",IFERROR(VLOOKUP(E198,'Input &amp; Settings'!$F$5:$G$10,2,FALSE),""))</f>
        <v/>
      </c>
      <c r="G198" s="33"/>
      <c r="H198" s="33"/>
      <c r="I198" s="35"/>
      <c r="J198" s="33"/>
      <c r="K198" s="36"/>
      <c r="L198" s="35"/>
      <c r="M198" s="33"/>
      <c r="N198" s="33"/>
      <c r="O198" s="33"/>
      <c r="P198" s="33"/>
      <c r="Q198" s="37" t="str">
        <f>IF(G198="","",IFERROR(MIN(100,G198/'Input &amp; Settings'!$B$5*100),""))</f>
        <v/>
      </c>
      <c r="R198" s="37" t="str">
        <f>IF(H198="","",IFERROR(MIN(100,H198/'Input &amp; Settings'!$B$6*100),""))</f>
        <v/>
      </c>
      <c r="S198" s="37" t="str">
        <f>IF(I198="","",IFERROR(MIN(100,I198/'Input &amp; Settings'!$B$7*100),""))</f>
        <v/>
      </c>
      <c r="T198" s="37" t="str">
        <f>IF(J198="","",IFERROR(MIN(100,J198/'Input &amp; Settings'!$B$8*100),""))</f>
        <v/>
      </c>
      <c r="U198" s="37" t="str">
        <f>IF(K198="","",IFERROR(MIN(100,K198/'Input &amp; Settings'!$B$9*100),""))</f>
        <v/>
      </c>
      <c r="V198" s="37" t="str">
        <f>IF(L198="","",IFERROR(MIN(100,L198/'Input &amp; Settings'!$B$10*100),""))</f>
        <v/>
      </c>
      <c r="W198" s="37" t="str">
        <f>IF(M198="","",IFERROR(IF(M198&lt;='Input &amp; Settings'!$B$11,100,MAX(0,100-(M198-'Input &amp; Settings'!$B$11)*20)),""))</f>
        <v/>
      </c>
      <c r="X198" s="37" t="str">
        <f>IF(N198="","",IFERROR(MIN(100,N198/'Input &amp; Settings'!$B$12*100),""))</f>
        <v/>
      </c>
      <c r="Y198" s="37" t="str">
        <f>IF(O198="","",IFERROR(MIN(100,O198/'Input &amp; Settings'!$B$13*100),""))</f>
        <v/>
      </c>
      <c r="Z198" s="37" t="str">
        <f>IF(P198="","",IFERROR(IF(P198&lt;='Input &amp; Settings'!$B$14,100,MAX(0,100-(P198-'Input &amp; Settings'!$B$14)*20)),""))</f>
        <v/>
      </c>
      <c r="AA198" s="37" t="str">
        <f>IF(COUNTA(G198:P198)=0,"",ROUND(Q198*'Input &amp; Settings'!$C$5+R198*'Input &amp; Settings'!$C$6+S198*'Input &amp; Settings'!$C$7+T198*'Input &amp; Settings'!$C$8+U198*'Input &amp; Settings'!$C$9+V198*'Input &amp; Settings'!$C$10+W198*'Input &amp; Settings'!$C$11+X198*'Input &amp; Settings'!$C$12+Y198*'Input &amp; Settings'!$C$13+Z198*'Input &amp; Settings'!$C$14,1))</f>
        <v/>
      </c>
      <c r="AB198" s="38" t="str">
        <f>IF(OR(AA198="",E198=""),"",IFERROR(IF(AA198&gt;=VLOOKUP(E198,'Input &amp; Settings'!$F$5:$K$10,3,FALSE),"Outstanding",IF(AA198&gt;=VLOOKUP(E198,'Input &amp; Settings'!$F$5:$K$10,4,FALSE),"Exceeds Expectations",IF(AA198&gt;=VLOOKUP(E198,'Input &amp; Settings'!$F$5:$K$10,5,FALSE),"Meets Expectations",IF(AA198&gt;=VLOOKUP(E198,'Input &amp; Settings'!$F$5:$K$10,6,FALSE),"Needs Improvement","Performance Improvement Required")))),""))</f>
        <v/>
      </c>
      <c r="AC198" s="38" t="str">
        <f t="shared" si="12"/>
        <v/>
      </c>
      <c r="AD198" s="39"/>
      <c r="AE198" s="40"/>
      <c r="AF198" s="41" t="str">
        <f t="shared" si="13"/>
        <v/>
      </c>
      <c r="AG198" s="42" t="str">
        <f t="shared" si="14"/>
        <v/>
      </c>
      <c r="AH198" s="42" t="str">
        <f t="shared" si="15"/>
        <v>Lucas Degomme|May</v>
      </c>
    </row>
    <row r="199" spans="1:34" hidden="1">
      <c r="A199" s="32">
        <v>2026</v>
      </c>
      <c r="B199" s="32" t="s">
        <v>84</v>
      </c>
      <c r="C199" s="32" t="s">
        <v>53</v>
      </c>
      <c r="D199" s="32" t="s">
        <v>66</v>
      </c>
      <c r="E199" s="33"/>
      <c r="F199" s="34" t="str">
        <f>IF(E199="","",IFERROR(VLOOKUP(E199,'Input &amp; Settings'!$F$5:$G$10,2,FALSE),""))</f>
        <v/>
      </c>
      <c r="G199" s="33"/>
      <c r="H199" s="33"/>
      <c r="I199" s="35"/>
      <c r="J199" s="33"/>
      <c r="K199" s="36"/>
      <c r="L199" s="35"/>
      <c r="M199" s="33"/>
      <c r="N199" s="33"/>
      <c r="O199" s="33"/>
      <c r="P199" s="33"/>
      <c r="Q199" s="37" t="str">
        <f>IF(G199="","",IFERROR(MIN(100,G199/'Input &amp; Settings'!$B$5*100),""))</f>
        <v/>
      </c>
      <c r="R199" s="37" t="str">
        <f>IF(H199="","",IFERROR(MIN(100,H199/'Input &amp; Settings'!$B$6*100),""))</f>
        <v/>
      </c>
      <c r="S199" s="37" t="str">
        <f>IF(I199="","",IFERROR(MIN(100,I199/'Input &amp; Settings'!$B$7*100),""))</f>
        <v/>
      </c>
      <c r="T199" s="37" t="str">
        <f>IF(J199="","",IFERROR(MIN(100,J199/'Input &amp; Settings'!$B$8*100),""))</f>
        <v/>
      </c>
      <c r="U199" s="37" t="str">
        <f>IF(K199="","",IFERROR(MIN(100,K199/'Input &amp; Settings'!$B$9*100),""))</f>
        <v/>
      </c>
      <c r="V199" s="37" t="str">
        <f>IF(L199="","",IFERROR(MIN(100,L199/'Input &amp; Settings'!$B$10*100),""))</f>
        <v/>
      </c>
      <c r="W199" s="37" t="str">
        <f>IF(M199="","",IFERROR(IF(M199&lt;='Input &amp; Settings'!$B$11,100,MAX(0,100-(M199-'Input &amp; Settings'!$B$11)*20)),""))</f>
        <v/>
      </c>
      <c r="X199" s="37" t="str">
        <f>IF(N199="","",IFERROR(MIN(100,N199/'Input &amp; Settings'!$B$12*100),""))</f>
        <v/>
      </c>
      <c r="Y199" s="37" t="str">
        <f>IF(O199="","",IFERROR(MIN(100,O199/'Input &amp; Settings'!$B$13*100),""))</f>
        <v/>
      </c>
      <c r="Z199" s="37" t="str">
        <f>IF(P199="","",IFERROR(IF(P199&lt;='Input &amp; Settings'!$B$14,100,MAX(0,100-(P199-'Input &amp; Settings'!$B$14)*20)),""))</f>
        <v/>
      </c>
      <c r="AA199" s="37" t="str">
        <f>IF(COUNTA(G199:P199)=0,"",ROUND(Q199*'Input &amp; Settings'!$C$5+R199*'Input &amp; Settings'!$C$6+S199*'Input &amp; Settings'!$C$7+T199*'Input &amp; Settings'!$C$8+U199*'Input &amp; Settings'!$C$9+V199*'Input &amp; Settings'!$C$10+W199*'Input &amp; Settings'!$C$11+X199*'Input &amp; Settings'!$C$12+Y199*'Input &amp; Settings'!$C$13+Z199*'Input &amp; Settings'!$C$14,1))</f>
        <v/>
      </c>
      <c r="AB199" s="38" t="str">
        <f>IF(OR(AA199="",E199=""),"",IFERROR(IF(AA199&gt;=VLOOKUP(E199,'Input &amp; Settings'!$F$5:$K$10,3,FALSE),"Outstanding",IF(AA199&gt;=VLOOKUP(E199,'Input &amp; Settings'!$F$5:$K$10,4,FALSE),"Exceeds Expectations",IF(AA199&gt;=VLOOKUP(E199,'Input &amp; Settings'!$F$5:$K$10,5,FALSE),"Meets Expectations",IF(AA199&gt;=VLOOKUP(E199,'Input &amp; Settings'!$F$5:$K$10,6,FALSE),"Needs Improvement","Performance Improvement Required")))),""))</f>
        <v/>
      </c>
      <c r="AC199" s="38" t="str">
        <f t="shared" si="12"/>
        <v/>
      </c>
      <c r="AD199" s="39"/>
      <c r="AE199" s="40"/>
      <c r="AF199" s="41" t="str">
        <f t="shared" si="13"/>
        <v/>
      </c>
      <c r="AG199" s="42" t="str">
        <f t="shared" si="14"/>
        <v/>
      </c>
      <c r="AH199" s="42" t="str">
        <f t="shared" si="15"/>
        <v>Alexander Chinea|May</v>
      </c>
    </row>
    <row r="200" spans="1:34" hidden="1">
      <c r="A200" s="32">
        <v>2026</v>
      </c>
      <c r="B200" s="32" t="s">
        <v>84</v>
      </c>
      <c r="C200" s="32" t="s">
        <v>53</v>
      </c>
      <c r="D200" s="32" t="s">
        <v>67</v>
      </c>
      <c r="E200" s="33"/>
      <c r="F200" s="34" t="str">
        <f>IF(E200="","",IFERROR(VLOOKUP(E200,'Input &amp; Settings'!$F$5:$G$10,2,FALSE),""))</f>
        <v/>
      </c>
      <c r="G200" s="33"/>
      <c r="H200" s="33"/>
      <c r="I200" s="35"/>
      <c r="J200" s="33"/>
      <c r="K200" s="36"/>
      <c r="L200" s="35"/>
      <c r="M200" s="33"/>
      <c r="N200" s="33"/>
      <c r="O200" s="33"/>
      <c r="P200" s="33"/>
      <c r="Q200" s="37" t="str">
        <f>IF(G200="","",IFERROR(MIN(100,G200/'Input &amp; Settings'!$B$5*100),""))</f>
        <v/>
      </c>
      <c r="R200" s="37" t="str">
        <f>IF(H200="","",IFERROR(MIN(100,H200/'Input &amp; Settings'!$B$6*100),""))</f>
        <v/>
      </c>
      <c r="S200" s="37" t="str">
        <f>IF(I200="","",IFERROR(MIN(100,I200/'Input &amp; Settings'!$B$7*100),""))</f>
        <v/>
      </c>
      <c r="T200" s="37" t="str">
        <f>IF(J200="","",IFERROR(MIN(100,J200/'Input &amp; Settings'!$B$8*100),""))</f>
        <v/>
      </c>
      <c r="U200" s="37" t="str">
        <f>IF(K200="","",IFERROR(MIN(100,K200/'Input &amp; Settings'!$B$9*100),""))</f>
        <v/>
      </c>
      <c r="V200" s="37" t="str">
        <f>IF(L200="","",IFERROR(MIN(100,L200/'Input &amp; Settings'!$B$10*100),""))</f>
        <v/>
      </c>
      <c r="W200" s="37" t="str">
        <f>IF(M200="","",IFERROR(IF(M200&lt;='Input &amp; Settings'!$B$11,100,MAX(0,100-(M200-'Input &amp; Settings'!$B$11)*20)),""))</f>
        <v/>
      </c>
      <c r="X200" s="37" t="str">
        <f>IF(N200="","",IFERROR(MIN(100,N200/'Input &amp; Settings'!$B$12*100),""))</f>
        <v/>
      </c>
      <c r="Y200" s="37" t="str">
        <f>IF(O200="","",IFERROR(MIN(100,O200/'Input &amp; Settings'!$B$13*100),""))</f>
        <v/>
      </c>
      <c r="Z200" s="37" t="str">
        <f>IF(P200="","",IFERROR(IF(P200&lt;='Input &amp; Settings'!$B$14,100,MAX(0,100-(P200-'Input &amp; Settings'!$B$14)*20)),""))</f>
        <v/>
      </c>
      <c r="AA200" s="37" t="str">
        <f>IF(COUNTA(G200:P200)=0,"",ROUND(Q200*'Input &amp; Settings'!$C$5+R200*'Input &amp; Settings'!$C$6+S200*'Input &amp; Settings'!$C$7+T200*'Input &amp; Settings'!$C$8+U200*'Input &amp; Settings'!$C$9+V200*'Input &amp; Settings'!$C$10+W200*'Input &amp; Settings'!$C$11+X200*'Input &amp; Settings'!$C$12+Y200*'Input &amp; Settings'!$C$13+Z200*'Input &amp; Settings'!$C$14,1))</f>
        <v/>
      </c>
      <c r="AB200" s="38" t="str">
        <f>IF(OR(AA200="",E200=""),"",IFERROR(IF(AA200&gt;=VLOOKUP(E200,'Input &amp; Settings'!$F$5:$K$10,3,FALSE),"Outstanding",IF(AA200&gt;=VLOOKUP(E200,'Input &amp; Settings'!$F$5:$K$10,4,FALSE),"Exceeds Expectations",IF(AA200&gt;=VLOOKUP(E200,'Input &amp; Settings'!$F$5:$K$10,5,FALSE),"Meets Expectations",IF(AA200&gt;=VLOOKUP(E200,'Input &amp; Settings'!$F$5:$K$10,6,FALSE),"Needs Improvement","Performance Improvement Required")))),""))</f>
        <v/>
      </c>
      <c r="AC200" s="38" t="str">
        <f t="shared" si="12"/>
        <v/>
      </c>
      <c r="AD200" s="39"/>
      <c r="AE200" s="40"/>
      <c r="AF200" s="41" t="str">
        <f t="shared" si="13"/>
        <v/>
      </c>
      <c r="AG200" s="42" t="str">
        <f t="shared" si="14"/>
        <v/>
      </c>
      <c r="AH200" s="42" t="str">
        <f t="shared" si="15"/>
        <v>Carlos Martinez Monzon|May</v>
      </c>
    </row>
    <row r="201" spans="1:34" hidden="1">
      <c r="A201" s="32">
        <v>2026</v>
      </c>
      <c r="B201" s="32" t="s">
        <v>84</v>
      </c>
      <c r="C201" s="32" t="s">
        <v>53</v>
      </c>
      <c r="D201" s="32" t="s">
        <v>68</v>
      </c>
      <c r="E201" s="33"/>
      <c r="F201" s="34" t="str">
        <f>IF(E201="","",IFERROR(VLOOKUP(E201,'Input &amp; Settings'!$F$5:$G$10,2,FALSE),""))</f>
        <v/>
      </c>
      <c r="G201" s="33"/>
      <c r="H201" s="33"/>
      <c r="I201" s="35"/>
      <c r="J201" s="33"/>
      <c r="K201" s="36"/>
      <c r="L201" s="35"/>
      <c r="M201" s="33"/>
      <c r="N201" s="33"/>
      <c r="O201" s="33"/>
      <c r="P201" s="33"/>
      <c r="Q201" s="37" t="str">
        <f>IF(G201="","",IFERROR(MIN(100,G201/'Input &amp; Settings'!$B$5*100),""))</f>
        <v/>
      </c>
      <c r="R201" s="37" t="str">
        <f>IF(H201="","",IFERROR(MIN(100,H201/'Input &amp; Settings'!$B$6*100),""))</f>
        <v/>
      </c>
      <c r="S201" s="37" t="str">
        <f>IF(I201="","",IFERROR(MIN(100,I201/'Input &amp; Settings'!$B$7*100),""))</f>
        <v/>
      </c>
      <c r="T201" s="37" t="str">
        <f>IF(J201="","",IFERROR(MIN(100,J201/'Input &amp; Settings'!$B$8*100),""))</f>
        <v/>
      </c>
      <c r="U201" s="37" t="str">
        <f>IF(K201="","",IFERROR(MIN(100,K201/'Input &amp; Settings'!$B$9*100),""))</f>
        <v/>
      </c>
      <c r="V201" s="37" t="str">
        <f>IF(L201="","",IFERROR(MIN(100,L201/'Input &amp; Settings'!$B$10*100),""))</f>
        <v/>
      </c>
      <c r="W201" s="37" t="str">
        <f>IF(M201="","",IFERROR(IF(M201&lt;='Input &amp; Settings'!$B$11,100,MAX(0,100-(M201-'Input &amp; Settings'!$B$11)*20)),""))</f>
        <v/>
      </c>
      <c r="X201" s="37" t="str">
        <f>IF(N201="","",IFERROR(MIN(100,N201/'Input &amp; Settings'!$B$12*100),""))</f>
        <v/>
      </c>
      <c r="Y201" s="37" t="str">
        <f>IF(O201="","",IFERROR(MIN(100,O201/'Input &amp; Settings'!$B$13*100),""))</f>
        <v/>
      </c>
      <c r="Z201" s="37" t="str">
        <f>IF(P201="","",IFERROR(IF(P201&lt;='Input &amp; Settings'!$B$14,100,MAX(0,100-(P201-'Input &amp; Settings'!$B$14)*20)),""))</f>
        <v/>
      </c>
      <c r="AA201" s="37" t="str">
        <f>IF(COUNTA(G201:P201)=0,"",ROUND(Q201*'Input &amp; Settings'!$C$5+R201*'Input &amp; Settings'!$C$6+S201*'Input &amp; Settings'!$C$7+T201*'Input &amp; Settings'!$C$8+U201*'Input &amp; Settings'!$C$9+V201*'Input &amp; Settings'!$C$10+W201*'Input &amp; Settings'!$C$11+X201*'Input &amp; Settings'!$C$12+Y201*'Input &amp; Settings'!$C$13+Z201*'Input &amp; Settings'!$C$14,1))</f>
        <v/>
      </c>
      <c r="AB201" s="38" t="str">
        <f>IF(OR(AA201="",E201=""),"",IFERROR(IF(AA201&gt;=VLOOKUP(E201,'Input &amp; Settings'!$F$5:$K$10,3,FALSE),"Outstanding",IF(AA201&gt;=VLOOKUP(E201,'Input &amp; Settings'!$F$5:$K$10,4,FALSE),"Exceeds Expectations",IF(AA201&gt;=VLOOKUP(E201,'Input &amp; Settings'!$F$5:$K$10,5,FALSE),"Meets Expectations",IF(AA201&gt;=VLOOKUP(E201,'Input &amp; Settings'!$F$5:$K$10,6,FALSE),"Needs Improvement","Performance Improvement Required")))),""))</f>
        <v/>
      </c>
      <c r="AC201" s="38" t="str">
        <f t="shared" si="12"/>
        <v/>
      </c>
      <c r="AD201" s="39"/>
      <c r="AE201" s="40"/>
      <c r="AF201" s="41" t="str">
        <f t="shared" si="13"/>
        <v/>
      </c>
      <c r="AG201" s="42" t="str">
        <f t="shared" si="14"/>
        <v/>
      </c>
      <c r="AH201" s="42" t="str">
        <f t="shared" si="15"/>
        <v>Carlos Sanabria|May</v>
      </c>
    </row>
    <row r="202" spans="1:34" hidden="1">
      <c r="A202" s="32">
        <v>2026</v>
      </c>
      <c r="B202" s="32" t="s">
        <v>84</v>
      </c>
      <c r="C202" s="32" t="s">
        <v>53</v>
      </c>
      <c r="D202" s="32" t="s">
        <v>69</v>
      </c>
      <c r="E202" s="33"/>
      <c r="F202" s="34" t="str">
        <f>IF(E202="","",IFERROR(VLOOKUP(E202,'Input &amp; Settings'!$F$5:$G$10,2,FALSE),""))</f>
        <v/>
      </c>
      <c r="G202" s="33"/>
      <c r="H202" s="33"/>
      <c r="I202" s="35"/>
      <c r="J202" s="33"/>
      <c r="K202" s="36"/>
      <c r="L202" s="35"/>
      <c r="M202" s="33"/>
      <c r="N202" s="33"/>
      <c r="O202" s="33"/>
      <c r="P202" s="33"/>
      <c r="Q202" s="37" t="str">
        <f>IF(G202="","",IFERROR(MIN(100,G202/'Input &amp; Settings'!$B$5*100),""))</f>
        <v/>
      </c>
      <c r="R202" s="37" t="str">
        <f>IF(H202="","",IFERROR(MIN(100,H202/'Input &amp; Settings'!$B$6*100),""))</f>
        <v/>
      </c>
      <c r="S202" s="37" t="str">
        <f>IF(I202="","",IFERROR(MIN(100,I202/'Input &amp; Settings'!$B$7*100),""))</f>
        <v/>
      </c>
      <c r="T202" s="37" t="str">
        <f>IF(J202="","",IFERROR(MIN(100,J202/'Input &amp; Settings'!$B$8*100),""))</f>
        <v/>
      </c>
      <c r="U202" s="37" t="str">
        <f>IF(K202="","",IFERROR(MIN(100,K202/'Input &amp; Settings'!$B$9*100),""))</f>
        <v/>
      </c>
      <c r="V202" s="37" t="str">
        <f>IF(L202="","",IFERROR(MIN(100,L202/'Input &amp; Settings'!$B$10*100),""))</f>
        <v/>
      </c>
      <c r="W202" s="37" t="str">
        <f>IF(M202="","",IFERROR(IF(M202&lt;='Input &amp; Settings'!$B$11,100,MAX(0,100-(M202-'Input &amp; Settings'!$B$11)*20)),""))</f>
        <v/>
      </c>
      <c r="X202" s="37" t="str">
        <f>IF(N202="","",IFERROR(MIN(100,N202/'Input &amp; Settings'!$B$12*100),""))</f>
        <v/>
      </c>
      <c r="Y202" s="37" t="str">
        <f>IF(O202="","",IFERROR(MIN(100,O202/'Input &amp; Settings'!$B$13*100),""))</f>
        <v/>
      </c>
      <c r="Z202" s="37" t="str">
        <f>IF(P202="","",IFERROR(IF(P202&lt;='Input &amp; Settings'!$B$14,100,MAX(0,100-(P202-'Input &amp; Settings'!$B$14)*20)),""))</f>
        <v/>
      </c>
      <c r="AA202" s="37" t="str">
        <f>IF(COUNTA(G202:P202)=0,"",ROUND(Q202*'Input &amp; Settings'!$C$5+R202*'Input &amp; Settings'!$C$6+S202*'Input &amp; Settings'!$C$7+T202*'Input &amp; Settings'!$C$8+U202*'Input &amp; Settings'!$C$9+V202*'Input &amp; Settings'!$C$10+W202*'Input &amp; Settings'!$C$11+X202*'Input &amp; Settings'!$C$12+Y202*'Input &amp; Settings'!$C$13+Z202*'Input &amp; Settings'!$C$14,1))</f>
        <v/>
      </c>
      <c r="AB202" s="38" t="str">
        <f>IF(OR(AA202="",E202=""),"",IFERROR(IF(AA202&gt;=VLOOKUP(E202,'Input &amp; Settings'!$F$5:$K$10,3,FALSE),"Outstanding",IF(AA202&gt;=VLOOKUP(E202,'Input &amp; Settings'!$F$5:$K$10,4,FALSE),"Exceeds Expectations",IF(AA202&gt;=VLOOKUP(E202,'Input &amp; Settings'!$F$5:$K$10,5,FALSE),"Meets Expectations",IF(AA202&gt;=VLOOKUP(E202,'Input &amp; Settings'!$F$5:$K$10,6,FALSE),"Needs Improvement","Performance Improvement Required")))),""))</f>
        <v/>
      </c>
      <c r="AC202" s="38" t="str">
        <f t="shared" si="12"/>
        <v/>
      </c>
      <c r="AD202" s="39"/>
      <c r="AE202" s="40"/>
      <c r="AF202" s="41" t="str">
        <f t="shared" si="13"/>
        <v/>
      </c>
      <c r="AG202" s="42" t="str">
        <f t="shared" si="14"/>
        <v/>
      </c>
      <c r="AH202" s="42" t="str">
        <f t="shared" si="15"/>
        <v>Alex Gomes|May</v>
      </c>
    </row>
    <row r="203" spans="1:34" hidden="1">
      <c r="A203" s="32">
        <v>2026</v>
      </c>
      <c r="B203" s="32" t="s">
        <v>84</v>
      </c>
      <c r="C203" s="32" t="s">
        <v>53</v>
      </c>
      <c r="D203" s="32" t="s">
        <v>70</v>
      </c>
      <c r="E203" s="33"/>
      <c r="F203" s="34" t="str">
        <f>IF(E203="","",IFERROR(VLOOKUP(E203,'Input &amp; Settings'!$F$5:$G$10,2,FALSE),""))</f>
        <v/>
      </c>
      <c r="G203" s="33"/>
      <c r="H203" s="33"/>
      <c r="I203" s="35"/>
      <c r="J203" s="33"/>
      <c r="K203" s="36"/>
      <c r="L203" s="35"/>
      <c r="M203" s="33"/>
      <c r="N203" s="33"/>
      <c r="O203" s="33"/>
      <c r="P203" s="33"/>
      <c r="Q203" s="37" t="str">
        <f>IF(G203="","",IFERROR(MIN(100,G203/'Input &amp; Settings'!$B$5*100),""))</f>
        <v/>
      </c>
      <c r="R203" s="37" t="str">
        <f>IF(H203="","",IFERROR(MIN(100,H203/'Input &amp; Settings'!$B$6*100),""))</f>
        <v/>
      </c>
      <c r="S203" s="37" t="str">
        <f>IF(I203="","",IFERROR(MIN(100,I203/'Input &amp; Settings'!$B$7*100),""))</f>
        <v/>
      </c>
      <c r="T203" s="37" t="str">
        <f>IF(J203="","",IFERROR(MIN(100,J203/'Input &amp; Settings'!$B$8*100),""))</f>
        <v/>
      </c>
      <c r="U203" s="37" t="str">
        <f>IF(K203="","",IFERROR(MIN(100,K203/'Input &amp; Settings'!$B$9*100),""))</f>
        <v/>
      </c>
      <c r="V203" s="37" t="str">
        <f>IF(L203="","",IFERROR(MIN(100,L203/'Input &amp; Settings'!$B$10*100),""))</f>
        <v/>
      </c>
      <c r="W203" s="37" t="str">
        <f>IF(M203="","",IFERROR(IF(M203&lt;='Input &amp; Settings'!$B$11,100,MAX(0,100-(M203-'Input &amp; Settings'!$B$11)*20)),""))</f>
        <v/>
      </c>
      <c r="X203" s="37" t="str">
        <f>IF(N203="","",IFERROR(MIN(100,N203/'Input &amp; Settings'!$B$12*100),""))</f>
        <v/>
      </c>
      <c r="Y203" s="37" t="str">
        <f>IF(O203="","",IFERROR(MIN(100,O203/'Input &amp; Settings'!$B$13*100),""))</f>
        <v/>
      </c>
      <c r="Z203" s="37" t="str">
        <f>IF(P203="","",IFERROR(IF(P203&lt;='Input &amp; Settings'!$B$14,100,MAX(0,100-(P203-'Input &amp; Settings'!$B$14)*20)),""))</f>
        <v/>
      </c>
      <c r="AA203" s="37" t="str">
        <f>IF(COUNTA(G203:P203)=0,"",ROUND(Q203*'Input &amp; Settings'!$C$5+R203*'Input &amp; Settings'!$C$6+S203*'Input &amp; Settings'!$C$7+T203*'Input &amp; Settings'!$C$8+U203*'Input &amp; Settings'!$C$9+V203*'Input &amp; Settings'!$C$10+W203*'Input &amp; Settings'!$C$11+X203*'Input &amp; Settings'!$C$12+Y203*'Input &amp; Settings'!$C$13+Z203*'Input &amp; Settings'!$C$14,1))</f>
        <v/>
      </c>
      <c r="AB203" s="38" t="str">
        <f>IF(OR(AA203="",E203=""),"",IFERROR(IF(AA203&gt;=VLOOKUP(E203,'Input &amp; Settings'!$F$5:$K$10,3,FALSE),"Outstanding",IF(AA203&gt;=VLOOKUP(E203,'Input &amp; Settings'!$F$5:$K$10,4,FALSE),"Exceeds Expectations",IF(AA203&gt;=VLOOKUP(E203,'Input &amp; Settings'!$F$5:$K$10,5,FALSE),"Meets Expectations",IF(AA203&gt;=VLOOKUP(E203,'Input &amp; Settings'!$F$5:$K$10,6,FALSE),"Needs Improvement","Performance Improvement Required")))),""))</f>
        <v/>
      </c>
      <c r="AC203" s="38" t="str">
        <f t="shared" si="12"/>
        <v/>
      </c>
      <c r="AD203" s="39"/>
      <c r="AE203" s="40"/>
      <c r="AF203" s="41" t="str">
        <f t="shared" si="13"/>
        <v/>
      </c>
      <c r="AG203" s="42" t="str">
        <f t="shared" si="14"/>
        <v/>
      </c>
      <c r="AH203" s="42" t="str">
        <f t="shared" si="15"/>
        <v>Teddy Joseph|May</v>
      </c>
    </row>
    <row r="204" spans="1:34" hidden="1">
      <c r="A204" s="32">
        <v>2026</v>
      </c>
      <c r="B204" s="32" t="s">
        <v>84</v>
      </c>
      <c r="C204" s="32" t="s">
        <v>53</v>
      </c>
      <c r="D204" s="32" t="s">
        <v>71</v>
      </c>
      <c r="E204" s="33"/>
      <c r="F204" s="34" t="str">
        <f>IF(E204="","",IFERROR(VLOOKUP(E204,'Input &amp; Settings'!$F$5:$G$10,2,FALSE),""))</f>
        <v/>
      </c>
      <c r="G204" s="33"/>
      <c r="H204" s="33"/>
      <c r="I204" s="35"/>
      <c r="J204" s="33"/>
      <c r="K204" s="36"/>
      <c r="L204" s="35"/>
      <c r="M204" s="33"/>
      <c r="N204" s="33"/>
      <c r="O204" s="33"/>
      <c r="P204" s="33"/>
      <c r="Q204" s="37" t="str">
        <f>IF(G204="","",IFERROR(MIN(100,G204/'Input &amp; Settings'!$B$5*100),""))</f>
        <v/>
      </c>
      <c r="R204" s="37" t="str">
        <f>IF(H204="","",IFERROR(MIN(100,H204/'Input &amp; Settings'!$B$6*100),""))</f>
        <v/>
      </c>
      <c r="S204" s="37" t="str">
        <f>IF(I204="","",IFERROR(MIN(100,I204/'Input &amp; Settings'!$B$7*100),""))</f>
        <v/>
      </c>
      <c r="T204" s="37" t="str">
        <f>IF(J204="","",IFERROR(MIN(100,J204/'Input &amp; Settings'!$B$8*100),""))</f>
        <v/>
      </c>
      <c r="U204" s="37" t="str">
        <f>IF(K204="","",IFERROR(MIN(100,K204/'Input &amp; Settings'!$B$9*100),""))</f>
        <v/>
      </c>
      <c r="V204" s="37" t="str">
        <f>IF(L204="","",IFERROR(MIN(100,L204/'Input &amp; Settings'!$B$10*100),""))</f>
        <v/>
      </c>
      <c r="W204" s="37" t="str">
        <f>IF(M204="","",IFERROR(IF(M204&lt;='Input &amp; Settings'!$B$11,100,MAX(0,100-(M204-'Input &amp; Settings'!$B$11)*20)),""))</f>
        <v/>
      </c>
      <c r="X204" s="37" t="str">
        <f>IF(N204="","",IFERROR(MIN(100,N204/'Input &amp; Settings'!$B$12*100),""))</f>
        <v/>
      </c>
      <c r="Y204" s="37" t="str">
        <f>IF(O204="","",IFERROR(MIN(100,O204/'Input &amp; Settings'!$B$13*100),""))</f>
        <v/>
      </c>
      <c r="Z204" s="37" t="str">
        <f>IF(P204="","",IFERROR(IF(P204&lt;='Input &amp; Settings'!$B$14,100,MAX(0,100-(P204-'Input &amp; Settings'!$B$14)*20)),""))</f>
        <v/>
      </c>
      <c r="AA204" s="37" t="str">
        <f>IF(COUNTA(G204:P204)=0,"",ROUND(Q204*'Input &amp; Settings'!$C$5+R204*'Input &amp; Settings'!$C$6+S204*'Input &amp; Settings'!$C$7+T204*'Input &amp; Settings'!$C$8+U204*'Input &amp; Settings'!$C$9+V204*'Input &amp; Settings'!$C$10+W204*'Input &amp; Settings'!$C$11+X204*'Input &amp; Settings'!$C$12+Y204*'Input &amp; Settings'!$C$13+Z204*'Input &amp; Settings'!$C$14,1))</f>
        <v/>
      </c>
      <c r="AB204" s="38" t="str">
        <f>IF(OR(AA204="",E204=""),"",IFERROR(IF(AA204&gt;=VLOOKUP(E204,'Input &amp; Settings'!$F$5:$K$10,3,FALSE),"Outstanding",IF(AA204&gt;=VLOOKUP(E204,'Input &amp; Settings'!$F$5:$K$10,4,FALSE),"Exceeds Expectations",IF(AA204&gt;=VLOOKUP(E204,'Input &amp; Settings'!$F$5:$K$10,5,FALSE),"Meets Expectations",IF(AA204&gt;=VLOOKUP(E204,'Input &amp; Settings'!$F$5:$K$10,6,FALSE),"Needs Improvement","Performance Improvement Required")))),""))</f>
        <v/>
      </c>
      <c r="AC204" s="38" t="str">
        <f t="shared" si="12"/>
        <v/>
      </c>
      <c r="AD204" s="39"/>
      <c r="AE204" s="40"/>
      <c r="AF204" s="41" t="str">
        <f t="shared" si="13"/>
        <v/>
      </c>
      <c r="AG204" s="42" t="str">
        <f t="shared" si="14"/>
        <v/>
      </c>
      <c r="AH204" s="42" t="str">
        <f t="shared" si="15"/>
        <v>Andrew Montgomery|May</v>
      </c>
    </row>
    <row r="205" spans="1:34" hidden="1">
      <c r="A205" s="32">
        <v>2026</v>
      </c>
      <c r="B205" s="32" t="s">
        <v>84</v>
      </c>
      <c r="C205" s="32" t="s">
        <v>53</v>
      </c>
      <c r="D205" s="32" t="s">
        <v>72</v>
      </c>
      <c r="E205" s="33"/>
      <c r="F205" s="34" t="str">
        <f>IF(E205="","",IFERROR(VLOOKUP(E205,'Input &amp; Settings'!$F$5:$G$10,2,FALSE),""))</f>
        <v/>
      </c>
      <c r="G205" s="33"/>
      <c r="H205" s="33"/>
      <c r="I205" s="35"/>
      <c r="J205" s="33"/>
      <c r="K205" s="36"/>
      <c r="L205" s="35"/>
      <c r="M205" s="33"/>
      <c r="N205" s="33"/>
      <c r="O205" s="33"/>
      <c r="P205" s="33"/>
      <c r="Q205" s="37" t="str">
        <f>IF(G205="","",IFERROR(MIN(100,G205/'Input &amp; Settings'!$B$5*100),""))</f>
        <v/>
      </c>
      <c r="R205" s="37" t="str">
        <f>IF(H205="","",IFERROR(MIN(100,H205/'Input &amp; Settings'!$B$6*100),""))</f>
        <v/>
      </c>
      <c r="S205" s="37" t="str">
        <f>IF(I205="","",IFERROR(MIN(100,I205/'Input &amp; Settings'!$B$7*100),""))</f>
        <v/>
      </c>
      <c r="T205" s="37" t="str">
        <f>IF(J205="","",IFERROR(MIN(100,J205/'Input &amp; Settings'!$B$8*100),""))</f>
        <v/>
      </c>
      <c r="U205" s="37" t="str">
        <f>IF(K205="","",IFERROR(MIN(100,K205/'Input &amp; Settings'!$B$9*100),""))</f>
        <v/>
      </c>
      <c r="V205" s="37" t="str">
        <f>IF(L205="","",IFERROR(MIN(100,L205/'Input &amp; Settings'!$B$10*100),""))</f>
        <v/>
      </c>
      <c r="W205" s="37" t="str">
        <f>IF(M205="","",IFERROR(IF(M205&lt;='Input &amp; Settings'!$B$11,100,MAX(0,100-(M205-'Input &amp; Settings'!$B$11)*20)),""))</f>
        <v/>
      </c>
      <c r="X205" s="37" t="str">
        <f>IF(N205="","",IFERROR(MIN(100,N205/'Input &amp; Settings'!$B$12*100),""))</f>
        <v/>
      </c>
      <c r="Y205" s="37" t="str">
        <f>IF(O205="","",IFERROR(MIN(100,O205/'Input &amp; Settings'!$B$13*100),""))</f>
        <v/>
      </c>
      <c r="Z205" s="37" t="str">
        <f>IF(P205="","",IFERROR(IF(P205&lt;='Input &amp; Settings'!$B$14,100,MAX(0,100-(P205-'Input &amp; Settings'!$B$14)*20)),""))</f>
        <v/>
      </c>
      <c r="AA205" s="37" t="str">
        <f>IF(COUNTA(G205:P205)=0,"",ROUND(Q205*'Input &amp; Settings'!$C$5+R205*'Input &amp; Settings'!$C$6+S205*'Input &amp; Settings'!$C$7+T205*'Input &amp; Settings'!$C$8+U205*'Input &amp; Settings'!$C$9+V205*'Input &amp; Settings'!$C$10+W205*'Input &amp; Settings'!$C$11+X205*'Input &amp; Settings'!$C$12+Y205*'Input &amp; Settings'!$C$13+Z205*'Input &amp; Settings'!$C$14,1))</f>
        <v/>
      </c>
      <c r="AB205" s="38" t="str">
        <f>IF(OR(AA205="",E205=""),"",IFERROR(IF(AA205&gt;=VLOOKUP(E205,'Input &amp; Settings'!$F$5:$K$10,3,FALSE),"Outstanding",IF(AA205&gt;=VLOOKUP(E205,'Input &amp; Settings'!$F$5:$K$10,4,FALSE),"Exceeds Expectations",IF(AA205&gt;=VLOOKUP(E205,'Input &amp; Settings'!$F$5:$K$10,5,FALSE),"Meets Expectations",IF(AA205&gt;=VLOOKUP(E205,'Input &amp; Settings'!$F$5:$K$10,6,FALSE),"Needs Improvement","Performance Improvement Required")))),""))</f>
        <v/>
      </c>
      <c r="AC205" s="38" t="str">
        <f t="shared" si="12"/>
        <v/>
      </c>
      <c r="AD205" s="39"/>
      <c r="AE205" s="40"/>
      <c r="AF205" s="41" t="str">
        <f t="shared" si="13"/>
        <v/>
      </c>
      <c r="AG205" s="42" t="str">
        <f t="shared" si="14"/>
        <v/>
      </c>
      <c r="AH205" s="42" t="str">
        <f t="shared" si="15"/>
        <v>Amanda Rodriguez|May</v>
      </c>
    </row>
    <row r="206" spans="1:34" hidden="1">
      <c r="A206" s="32">
        <v>2026</v>
      </c>
      <c r="B206" s="32" t="s">
        <v>84</v>
      </c>
      <c r="C206" s="32" t="s">
        <v>53</v>
      </c>
      <c r="D206" s="32" t="s">
        <v>73</v>
      </c>
      <c r="E206" s="33"/>
      <c r="F206" s="34" t="str">
        <f>IF(E206="","",IFERROR(VLOOKUP(E206,'Input &amp; Settings'!$F$5:$G$10,2,FALSE),""))</f>
        <v/>
      </c>
      <c r="G206" s="33"/>
      <c r="H206" s="33"/>
      <c r="I206" s="35"/>
      <c r="J206" s="33"/>
      <c r="K206" s="36"/>
      <c r="L206" s="35"/>
      <c r="M206" s="33"/>
      <c r="N206" s="33"/>
      <c r="O206" s="33"/>
      <c r="P206" s="33"/>
      <c r="Q206" s="37" t="str">
        <f>IF(G206="","",IFERROR(MIN(100,G206/'Input &amp; Settings'!$B$5*100),""))</f>
        <v/>
      </c>
      <c r="R206" s="37" t="str">
        <f>IF(H206="","",IFERROR(MIN(100,H206/'Input &amp; Settings'!$B$6*100),""))</f>
        <v/>
      </c>
      <c r="S206" s="37" t="str">
        <f>IF(I206="","",IFERROR(MIN(100,I206/'Input &amp; Settings'!$B$7*100),""))</f>
        <v/>
      </c>
      <c r="T206" s="37" t="str">
        <f>IF(J206="","",IFERROR(MIN(100,J206/'Input &amp; Settings'!$B$8*100),""))</f>
        <v/>
      </c>
      <c r="U206" s="37" t="str">
        <f>IF(K206="","",IFERROR(MIN(100,K206/'Input &amp; Settings'!$B$9*100),""))</f>
        <v/>
      </c>
      <c r="V206" s="37" t="str">
        <f>IF(L206="","",IFERROR(MIN(100,L206/'Input &amp; Settings'!$B$10*100),""))</f>
        <v/>
      </c>
      <c r="W206" s="37" t="str">
        <f>IF(M206="","",IFERROR(IF(M206&lt;='Input &amp; Settings'!$B$11,100,MAX(0,100-(M206-'Input &amp; Settings'!$B$11)*20)),""))</f>
        <v/>
      </c>
      <c r="X206" s="37" t="str">
        <f>IF(N206="","",IFERROR(MIN(100,N206/'Input &amp; Settings'!$B$12*100),""))</f>
        <v/>
      </c>
      <c r="Y206" s="37" t="str">
        <f>IF(O206="","",IFERROR(MIN(100,O206/'Input &amp; Settings'!$B$13*100),""))</f>
        <v/>
      </c>
      <c r="Z206" s="37" t="str">
        <f>IF(P206="","",IFERROR(IF(P206&lt;='Input &amp; Settings'!$B$14,100,MAX(0,100-(P206-'Input &amp; Settings'!$B$14)*20)),""))</f>
        <v/>
      </c>
      <c r="AA206" s="37" t="str">
        <f>IF(COUNTA(G206:P206)=0,"",ROUND(Q206*'Input &amp; Settings'!$C$5+R206*'Input &amp; Settings'!$C$6+S206*'Input &amp; Settings'!$C$7+T206*'Input &amp; Settings'!$C$8+U206*'Input &amp; Settings'!$C$9+V206*'Input &amp; Settings'!$C$10+W206*'Input &amp; Settings'!$C$11+X206*'Input &amp; Settings'!$C$12+Y206*'Input &amp; Settings'!$C$13+Z206*'Input &amp; Settings'!$C$14,1))</f>
        <v/>
      </c>
      <c r="AB206" s="38" t="str">
        <f>IF(OR(AA206="",E206=""),"",IFERROR(IF(AA206&gt;=VLOOKUP(E206,'Input &amp; Settings'!$F$5:$K$10,3,FALSE),"Outstanding",IF(AA206&gt;=VLOOKUP(E206,'Input &amp; Settings'!$F$5:$K$10,4,FALSE),"Exceeds Expectations",IF(AA206&gt;=VLOOKUP(E206,'Input &amp; Settings'!$F$5:$K$10,5,FALSE),"Meets Expectations",IF(AA206&gt;=VLOOKUP(E206,'Input &amp; Settings'!$F$5:$K$10,6,FALSE),"Needs Improvement","Performance Improvement Required")))),""))</f>
        <v/>
      </c>
      <c r="AC206" s="38" t="str">
        <f t="shared" si="12"/>
        <v/>
      </c>
      <c r="AD206" s="39"/>
      <c r="AE206" s="40"/>
      <c r="AF206" s="41" t="str">
        <f t="shared" si="13"/>
        <v/>
      </c>
      <c r="AG206" s="42" t="str">
        <f t="shared" si="14"/>
        <v/>
      </c>
      <c r="AH206" s="42" t="str">
        <f t="shared" si="15"/>
        <v>Erick Mojica|May</v>
      </c>
    </row>
    <row r="207" spans="1:34" hidden="1">
      <c r="A207" s="32">
        <v>2026</v>
      </c>
      <c r="B207" s="32" t="s">
        <v>84</v>
      </c>
      <c r="C207" s="32" t="s">
        <v>74</v>
      </c>
      <c r="D207" s="32" t="s">
        <v>75</v>
      </c>
      <c r="E207" s="33"/>
      <c r="F207" s="34" t="str">
        <f>IF(E207="","",IFERROR(VLOOKUP(E207,'Input &amp; Settings'!$F$5:$G$10,2,FALSE),""))</f>
        <v/>
      </c>
      <c r="G207" s="33"/>
      <c r="H207" s="33"/>
      <c r="I207" s="35"/>
      <c r="J207" s="33"/>
      <c r="K207" s="36"/>
      <c r="L207" s="35"/>
      <c r="M207" s="33"/>
      <c r="N207" s="33"/>
      <c r="O207" s="33"/>
      <c r="P207" s="33"/>
      <c r="Q207" s="37" t="str">
        <f>IF(G207="","",IFERROR(MIN(100,G207/'Input &amp; Settings'!$B$5*100),""))</f>
        <v/>
      </c>
      <c r="R207" s="37" t="str">
        <f>IF(H207="","",IFERROR(MIN(100,H207/'Input &amp; Settings'!$B$6*100),""))</f>
        <v/>
      </c>
      <c r="S207" s="37" t="str">
        <f>IF(I207="","",IFERROR(MIN(100,I207/'Input &amp; Settings'!$B$7*100),""))</f>
        <v/>
      </c>
      <c r="T207" s="37" t="str">
        <f>IF(J207="","",IFERROR(MIN(100,J207/'Input &amp; Settings'!$B$8*100),""))</f>
        <v/>
      </c>
      <c r="U207" s="37" t="str">
        <f>IF(K207="","",IFERROR(MIN(100,K207/'Input &amp; Settings'!$B$9*100),""))</f>
        <v/>
      </c>
      <c r="V207" s="37" t="str">
        <f>IF(L207="","",IFERROR(MIN(100,L207/'Input &amp; Settings'!$B$10*100),""))</f>
        <v/>
      </c>
      <c r="W207" s="37" t="str">
        <f>IF(M207="","",IFERROR(IF(M207&lt;='Input &amp; Settings'!$B$11,100,MAX(0,100-(M207-'Input &amp; Settings'!$B$11)*20)),""))</f>
        <v/>
      </c>
      <c r="X207" s="37" t="str">
        <f>IF(N207="","",IFERROR(MIN(100,N207/'Input &amp; Settings'!$B$12*100),""))</f>
        <v/>
      </c>
      <c r="Y207" s="37" t="str">
        <f>IF(O207="","",IFERROR(MIN(100,O207/'Input &amp; Settings'!$B$13*100),""))</f>
        <v/>
      </c>
      <c r="Z207" s="37" t="str">
        <f>IF(P207="","",IFERROR(IF(P207&lt;='Input &amp; Settings'!$B$14,100,MAX(0,100-(P207-'Input &amp; Settings'!$B$14)*20)),""))</f>
        <v/>
      </c>
      <c r="AA207" s="37" t="str">
        <f>IF(COUNTA(G207:P207)=0,"",ROUND(Q207*'Input &amp; Settings'!$C$5+R207*'Input &amp; Settings'!$C$6+S207*'Input &amp; Settings'!$C$7+T207*'Input &amp; Settings'!$C$8+U207*'Input &amp; Settings'!$C$9+V207*'Input &amp; Settings'!$C$10+W207*'Input &amp; Settings'!$C$11+X207*'Input &amp; Settings'!$C$12+Y207*'Input &amp; Settings'!$C$13+Z207*'Input &amp; Settings'!$C$14,1))</f>
        <v/>
      </c>
      <c r="AB207" s="38" t="str">
        <f>IF(OR(AA207="",E207=""),"",IFERROR(IF(AA207&gt;=VLOOKUP(E207,'Input &amp; Settings'!$F$5:$K$10,3,FALSE),"Outstanding",IF(AA207&gt;=VLOOKUP(E207,'Input &amp; Settings'!$F$5:$K$10,4,FALSE),"Exceeds Expectations",IF(AA207&gt;=VLOOKUP(E207,'Input &amp; Settings'!$F$5:$K$10,5,FALSE),"Meets Expectations",IF(AA207&gt;=VLOOKUP(E207,'Input &amp; Settings'!$F$5:$K$10,6,FALSE),"Needs Improvement","Performance Improvement Required")))),""))</f>
        <v/>
      </c>
      <c r="AC207" s="38" t="str">
        <f t="shared" si="12"/>
        <v/>
      </c>
      <c r="AD207" s="39"/>
      <c r="AE207" s="40"/>
      <c r="AF207" s="41" t="str">
        <f t="shared" si="13"/>
        <v/>
      </c>
      <c r="AG207" s="42" t="str">
        <f t="shared" si="14"/>
        <v/>
      </c>
      <c r="AH207" s="42" t="str">
        <f t="shared" si="15"/>
        <v>Raul Rama|May</v>
      </c>
    </row>
    <row r="208" spans="1:34" hidden="1">
      <c r="A208" s="32">
        <v>2026</v>
      </c>
      <c r="B208" s="32" t="s">
        <v>84</v>
      </c>
      <c r="C208" s="32" t="s">
        <v>74</v>
      </c>
      <c r="D208" s="32" t="s">
        <v>76</v>
      </c>
      <c r="E208" s="33"/>
      <c r="F208" s="34" t="str">
        <f>IF(E208="","",IFERROR(VLOOKUP(E208,'Input &amp; Settings'!$F$5:$G$10,2,FALSE),""))</f>
        <v/>
      </c>
      <c r="G208" s="33"/>
      <c r="H208" s="33"/>
      <c r="I208" s="35"/>
      <c r="J208" s="33"/>
      <c r="K208" s="36"/>
      <c r="L208" s="35"/>
      <c r="M208" s="33"/>
      <c r="N208" s="33"/>
      <c r="O208" s="33"/>
      <c r="P208" s="33"/>
      <c r="Q208" s="37" t="str">
        <f>IF(G208="","",IFERROR(MIN(100,G208/'Input &amp; Settings'!$B$5*100),""))</f>
        <v/>
      </c>
      <c r="R208" s="37" t="str">
        <f>IF(H208="","",IFERROR(MIN(100,H208/'Input &amp; Settings'!$B$6*100),""))</f>
        <v/>
      </c>
      <c r="S208" s="37" t="str">
        <f>IF(I208="","",IFERROR(MIN(100,I208/'Input &amp; Settings'!$B$7*100),""))</f>
        <v/>
      </c>
      <c r="T208" s="37" t="str">
        <f>IF(J208="","",IFERROR(MIN(100,J208/'Input &amp; Settings'!$B$8*100),""))</f>
        <v/>
      </c>
      <c r="U208" s="37" t="str">
        <f>IF(K208="","",IFERROR(MIN(100,K208/'Input &amp; Settings'!$B$9*100),""))</f>
        <v/>
      </c>
      <c r="V208" s="37" t="str">
        <f>IF(L208="","",IFERROR(MIN(100,L208/'Input &amp; Settings'!$B$10*100),""))</f>
        <v/>
      </c>
      <c r="W208" s="37" t="str">
        <f>IF(M208="","",IFERROR(IF(M208&lt;='Input &amp; Settings'!$B$11,100,MAX(0,100-(M208-'Input &amp; Settings'!$B$11)*20)),""))</f>
        <v/>
      </c>
      <c r="X208" s="37" t="str">
        <f>IF(N208="","",IFERROR(MIN(100,N208/'Input &amp; Settings'!$B$12*100),""))</f>
        <v/>
      </c>
      <c r="Y208" s="37" t="str">
        <f>IF(O208="","",IFERROR(MIN(100,O208/'Input &amp; Settings'!$B$13*100),""))</f>
        <v/>
      </c>
      <c r="Z208" s="37" t="str">
        <f>IF(P208="","",IFERROR(IF(P208&lt;='Input &amp; Settings'!$B$14,100,MAX(0,100-(P208-'Input &amp; Settings'!$B$14)*20)),""))</f>
        <v/>
      </c>
      <c r="AA208" s="37" t="str">
        <f>IF(COUNTA(G208:P208)=0,"",ROUND(Q208*'Input &amp; Settings'!$C$5+R208*'Input &amp; Settings'!$C$6+S208*'Input &amp; Settings'!$C$7+T208*'Input &amp; Settings'!$C$8+U208*'Input &amp; Settings'!$C$9+V208*'Input &amp; Settings'!$C$10+W208*'Input &amp; Settings'!$C$11+X208*'Input &amp; Settings'!$C$12+Y208*'Input &amp; Settings'!$C$13+Z208*'Input &amp; Settings'!$C$14,1))</f>
        <v/>
      </c>
      <c r="AB208" s="38" t="str">
        <f>IF(OR(AA208="",E208=""),"",IFERROR(IF(AA208&gt;=VLOOKUP(E208,'Input &amp; Settings'!$F$5:$K$10,3,FALSE),"Outstanding",IF(AA208&gt;=VLOOKUP(E208,'Input &amp; Settings'!$F$5:$K$10,4,FALSE),"Exceeds Expectations",IF(AA208&gt;=VLOOKUP(E208,'Input &amp; Settings'!$F$5:$K$10,5,FALSE),"Meets Expectations",IF(AA208&gt;=VLOOKUP(E208,'Input &amp; Settings'!$F$5:$K$10,6,FALSE),"Needs Improvement","Performance Improvement Required")))),""))</f>
        <v/>
      </c>
      <c r="AC208" s="38" t="str">
        <f t="shared" si="12"/>
        <v/>
      </c>
      <c r="AD208" s="39"/>
      <c r="AE208" s="40"/>
      <c r="AF208" s="41" t="str">
        <f t="shared" si="13"/>
        <v/>
      </c>
      <c r="AG208" s="42" t="str">
        <f t="shared" si="14"/>
        <v/>
      </c>
      <c r="AH208" s="42" t="str">
        <f t="shared" si="15"/>
        <v>Kaevon Tyler|May</v>
      </c>
    </row>
    <row r="209" spans="1:34" hidden="1">
      <c r="A209" s="32">
        <v>2026</v>
      </c>
      <c r="B209" s="32" t="s">
        <v>84</v>
      </c>
      <c r="C209" s="32" t="s">
        <v>74</v>
      </c>
      <c r="D209" s="32" t="s">
        <v>77</v>
      </c>
      <c r="E209" s="33"/>
      <c r="F209" s="34" t="str">
        <f>IF(E209="","",IFERROR(VLOOKUP(E209,'Input &amp; Settings'!$F$5:$G$10,2,FALSE),""))</f>
        <v/>
      </c>
      <c r="G209" s="33"/>
      <c r="H209" s="33"/>
      <c r="I209" s="35"/>
      <c r="J209" s="33"/>
      <c r="K209" s="36"/>
      <c r="L209" s="35"/>
      <c r="M209" s="33"/>
      <c r="N209" s="33"/>
      <c r="O209" s="33"/>
      <c r="P209" s="33"/>
      <c r="Q209" s="37" t="str">
        <f>IF(G209="","",IFERROR(MIN(100,G209/'Input &amp; Settings'!$B$5*100),""))</f>
        <v/>
      </c>
      <c r="R209" s="37" t="str">
        <f>IF(H209="","",IFERROR(MIN(100,H209/'Input &amp; Settings'!$B$6*100),""))</f>
        <v/>
      </c>
      <c r="S209" s="37" t="str">
        <f>IF(I209="","",IFERROR(MIN(100,I209/'Input &amp; Settings'!$B$7*100),""))</f>
        <v/>
      </c>
      <c r="T209" s="37" t="str">
        <f>IF(J209="","",IFERROR(MIN(100,J209/'Input &amp; Settings'!$B$8*100),""))</f>
        <v/>
      </c>
      <c r="U209" s="37" t="str">
        <f>IF(K209="","",IFERROR(MIN(100,K209/'Input &amp; Settings'!$B$9*100),""))</f>
        <v/>
      </c>
      <c r="V209" s="37" t="str">
        <f>IF(L209="","",IFERROR(MIN(100,L209/'Input &amp; Settings'!$B$10*100),""))</f>
        <v/>
      </c>
      <c r="W209" s="37" t="str">
        <f>IF(M209="","",IFERROR(IF(M209&lt;='Input &amp; Settings'!$B$11,100,MAX(0,100-(M209-'Input &amp; Settings'!$B$11)*20)),""))</f>
        <v/>
      </c>
      <c r="X209" s="37" t="str">
        <f>IF(N209="","",IFERROR(MIN(100,N209/'Input &amp; Settings'!$B$12*100),""))</f>
        <v/>
      </c>
      <c r="Y209" s="37" t="str">
        <f>IF(O209="","",IFERROR(MIN(100,O209/'Input &amp; Settings'!$B$13*100),""))</f>
        <v/>
      </c>
      <c r="Z209" s="37" t="str">
        <f>IF(P209="","",IFERROR(IF(P209&lt;='Input &amp; Settings'!$B$14,100,MAX(0,100-(P209-'Input &amp; Settings'!$B$14)*20)),""))</f>
        <v/>
      </c>
      <c r="AA209" s="37" t="str">
        <f>IF(COUNTA(G209:P209)=0,"",ROUND(Q209*'Input &amp; Settings'!$C$5+R209*'Input &amp; Settings'!$C$6+S209*'Input &amp; Settings'!$C$7+T209*'Input &amp; Settings'!$C$8+U209*'Input &amp; Settings'!$C$9+V209*'Input &amp; Settings'!$C$10+W209*'Input &amp; Settings'!$C$11+X209*'Input &amp; Settings'!$C$12+Y209*'Input &amp; Settings'!$C$13+Z209*'Input &amp; Settings'!$C$14,1))</f>
        <v/>
      </c>
      <c r="AB209" s="38" t="str">
        <f>IF(OR(AA209="",E209=""),"",IFERROR(IF(AA209&gt;=VLOOKUP(E209,'Input &amp; Settings'!$F$5:$K$10,3,FALSE),"Outstanding",IF(AA209&gt;=VLOOKUP(E209,'Input &amp; Settings'!$F$5:$K$10,4,FALSE),"Exceeds Expectations",IF(AA209&gt;=VLOOKUP(E209,'Input &amp; Settings'!$F$5:$K$10,5,FALSE),"Meets Expectations",IF(AA209&gt;=VLOOKUP(E209,'Input &amp; Settings'!$F$5:$K$10,6,FALSE),"Needs Improvement","Performance Improvement Required")))),""))</f>
        <v/>
      </c>
      <c r="AC209" s="38" t="str">
        <f t="shared" si="12"/>
        <v/>
      </c>
      <c r="AD209" s="39"/>
      <c r="AE209" s="40"/>
      <c r="AF209" s="41" t="str">
        <f t="shared" si="13"/>
        <v/>
      </c>
      <c r="AG209" s="42" t="str">
        <f t="shared" si="14"/>
        <v/>
      </c>
      <c r="AH209" s="42" t="str">
        <f t="shared" si="15"/>
        <v>Christopher Dorta|May</v>
      </c>
    </row>
    <row r="210" spans="1:34" hidden="1">
      <c r="A210" s="32">
        <v>2026</v>
      </c>
      <c r="B210" s="32" t="s">
        <v>84</v>
      </c>
      <c r="C210" s="32" t="s">
        <v>74</v>
      </c>
      <c r="D210" s="32" t="s">
        <v>78</v>
      </c>
      <c r="E210" s="33"/>
      <c r="F210" s="34" t="str">
        <f>IF(E210="","",IFERROR(VLOOKUP(E210,'Input &amp; Settings'!$F$5:$G$10,2,FALSE),""))</f>
        <v/>
      </c>
      <c r="G210" s="33"/>
      <c r="H210" s="33"/>
      <c r="I210" s="35"/>
      <c r="J210" s="33"/>
      <c r="K210" s="36"/>
      <c r="L210" s="35"/>
      <c r="M210" s="33"/>
      <c r="N210" s="33"/>
      <c r="O210" s="33"/>
      <c r="P210" s="33"/>
      <c r="Q210" s="37" t="str">
        <f>IF(G210="","",IFERROR(MIN(100,G210/'Input &amp; Settings'!$B$5*100),""))</f>
        <v/>
      </c>
      <c r="R210" s="37" t="str">
        <f>IF(H210="","",IFERROR(MIN(100,H210/'Input &amp; Settings'!$B$6*100),""))</f>
        <v/>
      </c>
      <c r="S210" s="37" t="str">
        <f>IF(I210="","",IFERROR(MIN(100,I210/'Input &amp; Settings'!$B$7*100),""))</f>
        <v/>
      </c>
      <c r="T210" s="37" t="str">
        <f>IF(J210="","",IFERROR(MIN(100,J210/'Input &amp; Settings'!$B$8*100),""))</f>
        <v/>
      </c>
      <c r="U210" s="37" t="str">
        <f>IF(K210="","",IFERROR(MIN(100,K210/'Input &amp; Settings'!$B$9*100),""))</f>
        <v/>
      </c>
      <c r="V210" s="37" t="str">
        <f>IF(L210="","",IFERROR(MIN(100,L210/'Input &amp; Settings'!$B$10*100),""))</f>
        <v/>
      </c>
      <c r="W210" s="37" t="str">
        <f>IF(M210="","",IFERROR(IF(M210&lt;='Input &amp; Settings'!$B$11,100,MAX(0,100-(M210-'Input &amp; Settings'!$B$11)*20)),""))</f>
        <v/>
      </c>
      <c r="X210" s="37" t="str">
        <f>IF(N210="","",IFERROR(MIN(100,N210/'Input &amp; Settings'!$B$12*100),""))</f>
        <v/>
      </c>
      <c r="Y210" s="37" t="str">
        <f>IF(O210="","",IFERROR(MIN(100,O210/'Input &amp; Settings'!$B$13*100),""))</f>
        <v/>
      </c>
      <c r="Z210" s="37" t="str">
        <f>IF(P210="","",IFERROR(IF(P210&lt;='Input &amp; Settings'!$B$14,100,MAX(0,100-(P210-'Input &amp; Settings'!$B$14)*20)),""))</f>
        <v/>
      </c>
      <c r="AA210" s="37" t="str">
        <f>IF(COUNTA(G210:P210)=0,"",ROUND(Q210*'Input &amp; Settings'!$C$5+R210*'Input &amp; Settings'!$C$6+S210*'Input &amp; Settings'!$C$7+T210*'Input &amp; Settings'!$C$8+U210*'Input &amp; Settings'!$C$9+V210*'Input &amp; Settings'!$C$10+W210*'Input &amp; Settings'!$C$11+X210*'Input &amp; Settings'!$C$12+Y210*'Input &amp; Settings'!$C$13+Z210*'Input &amp; Settings'!$C$14,1))</f>
        <v/>
      </c>
      <c r="AB210" s="38" t="str">
        <f>IF(OR(AA210="",E210=""),"",IFERROR(IF(AA210&gt;=VLOOKUP(E210,'Input &amp; Settings'!$F$5:$K$10,3,FALSE),"Outstanding",IF(AA210&gt;=VLOOKUP(E210,'Input &amp; Settings'!$F$5:$K$10,4,FALSE),"Exceeds Expectations",IF(AA210&gt;=VLOOKUP(E210,'Input &amp; Settings'!$F$5:$K$10,5,FALSE),"Meets Expectations",IF(AA210&gt;=VLOOKUP(E210,'Input &amp; Settings'!$F$5:$K$10,6,FALSE),"Needs Improvement","Performance Improvement Required")))),""))</f>
        <v/>
      </c>
      <c r="AC210" s="38" t="str">
        <f t="shared" si="12"/>
        <v/>
      </c>
      <c r="AD210" s="39"/>
      <c r="AE210" s="40"/>
      <c r="AF210" s="41" t="str">
        <f t="shared" si="13"/>
        <v/>
      </c>
      <c r="AG210" s="42" t="str">
        <f t="shared" si="14"/>
        <v/>
      </c>
      <c r="AH210" s="42" t="str">
        <f t="shared" si="15"/>
        <v>Andres Galvis|May</v>
      </c>
    </row>
    <row r="211" spans="1:34" hidden="1">
      <c r="A211" s="32">
        <v>2026</v>
      </c>
      <c r="B211" s="32" t="s">
        <v>84</v>
      </c>
      <c r="C211" s="32" t="s">
        <v>74</v>
      </c>
      <c r="D211" s="32" t="s">
        <v>79</v>
      </c>
      <c r="E211" s="33"/>
      <c r="F211" s="34" t="str">
        <f>IF(E211="","",IFERROR(VLOOKUP(E211,'Input &amp; Settings'!$F$5:$G$10,2,FALSE),""))</f>
        <v/>
      </c>
      <c r="G211" s="33"/>
      <c r="H211" s="33"/>
      <c r="I211" s="35"/>
      <c r="J211" s="33"/>
      <c r="K211" s="36"/>
      <c r="L211" s="35"/>
      <c r="M211" s="33"/>
      <c r="N211" s="33"/>
      <c r="O211" s="33"/>
      <c r="P211" s="33"/>
      <c r="Q211" s="37" t="str">
        <f>IF(G211="","",IFERROR(MIN(100,G211/'Input &amp; Settings'!$B$5*100),""))</f>
        <v/>
      </c>
      <c r="R211" s="37" t="str">
        <f>IF(H211="","",IFERROR(MIN(100,H211/'Input &amp; Settings'!$B$6*100),""))</f>
        <v/>
      </c>
      <c r="S211" s="37" t="str">
        <f>IF(I211="","",IFERROR(MIN(100,I211/'Input &amp; Settings'!$B$7*100),""))</f>
        <v/>
      </c>
      <c r="T211" s="37" t="str">
        <f>IF(J211="","",IFERROR(MIN(100,J211/'Input &amp; Settings'!$B$8*100),""))</f>
        <v/>
      </c>
      <c r="U211" s="37" t="str">
        <f>IF(K211="","",IFERROR(MIN(100,K211/'Input &amp; Settings'!$B$9*100),""))</f>
        <v/>
      </c>
      <c r="V211" s="37" t="str">
        <f>IF(L211="","",IFERROR(MIN(100,L211/'Input &amp; Settings'!$B$10*100),""))</f>
        <v/>
      </c>
      <c r="W211" s="37" t="str">
        <f>IF(M211="","",IFERROR(IF(M211&lt;='Input &amp; Settings'!$B$11,100,MAX(0,100-(M211-'Input &amp; Settings'!$B$11)*20)),""))</f>
        <v/>
      </c>
      <c r="X211" s="37" t="str">
        <f>IF(N211="","",IFERROR(MIN(100,N211/'Input &amp; Settings'!$B$12*100),""))</f>
        <v/>
      </c>
      <c r="Y211" s="37" t="str">
        <f>IF(O211="","",IFERROR(MIN(100,O211/'Input &amp; Settings'!$B$13*100),""))</f>
        <v/>
      </c>
      <c r="Z211" s="37" t="str">
        <f>IF(P211="","",IFERROR(IF(P211&lt;='Input &amp; Settings'!$B$14,100,MAX(0,100-(P211-'Input &amp; Settings'!$B$14)*20)),""))</f>
        <v/>
      </c>
      <c r="AA211" s="37" t="str">
        <f>IF(COUNTA(G211:P211)=0,"",ROUND(Q211*'Input &amp; Settings'!$C$5+R211*'Input &amp; Settings'!$C$6+S211*'Input &amp; Settings'!$C$7+T211*'Input &amp; Settings'!$C$8+U211*'Input &amp; Settings'!$C$9+V211*'Input &amp; Settings'!$C$10+W211*'Input &amp; Settings'!$C$11+X211*'Input &amp; Settings'!$C$12+Y211*'Input &amp; Settings'!$C$13+Z211*'Input &amp; Settings'!$C$14,1))</f>
        <v/>
      </c>
      <c r="AB211" s="38" t="str">
        <f>IF(OR(AA211="",E211=""),"",IFERROR(IF(AA211&gt;=VLOOKUP(E211,'Input &amp; Settings'!$F$5:$K$10,3,FALSE),"Outstanding",IF(AA211&gt;=VLOOKUP(E211,'Input &amp; Settings'!$F$5:$K$10,4,FALSE),"Exceeds Expectations",IF(AA211&gt;=VLOOKUP(E211,'Input &amp; Settings'!$F$5:$K$10,5,FALSE),"Meets Expectations",IF(AA211&gt;=VLOOKUP(E211,'Input &amp; Settings'!$F$5:$K$10,6,FALSE),"Needs Improvement","Performance Improvement Required")))),""))</f>
        <v/>
      </c>
      <c r="AC211" s="38" t="str">
        <f t="shared" si="12"/>
        <v/>
      </c>
      <c r="AD211" s="39"/>
      <c r="AE211" s="40"/>
      <c r="AF211" s="41" t="str">
        <f t="shared" si="13"/>
        <v/>
      </c>
      <c r="AG211" s="42" t="str">
        <f t="shared" si="14"/>
        <v/>
      </c>
      <c r="AH211" s="42" t="str">
        <f t="shared" si="15"/>
        <v>Roberto Eckardt|May</v>
      </c>
    </row>
    <row r="212" spans="1:34" hidden="1">
      <c r="A212" s="32">
        <v>2026</v>
      </c>
      <c r="B212" s="32" t="s">
        <v>84</v>
      </c>
      <c r="C212" s="32" t="s">
        <v>74</v>
      </c>
      <c r="D212" s="32" t="s">
        <v>80</v>
      </c>
      <c r="E212" s="33"/>
      <c r="F212" s="34" t="str">
        <f>IF(E212="","",IFERROR(VLOOKUP(E212,'Input &amp; Settings'!$F$5:$G$10,2,FALSE),""))</f>
        <v/>
      </c>
      <c r="G212" s="33"/>
      <c r="H212" s="33"/>
      <c r="I212" s="35"/>
      <c r="J212" s="33"/>
      <c r="K212" s="36"/>
      <c r="L212" s="35"/>
      <c r="M212" s="33"/>
      <c r="N212" s="33"/>
      <c r="O212" s="33"/>
      <c r="P212" s="33"/>
      <c r="Q212" s="37" t="str">
        <f>IF(G212="","",IFERROR(MIN(100,G212/'Input &amp; Settings'!$B$5*100),""))</f>
        <v/>
      </c>
      <c r="R212" s="37" t="str">
        <f>IF(H212="","",IFERROR(MIN(100,H212/'Input &amp; Settings'!$B$6*100),""))</f>
        <v/>
      </c>
      <c r="S212" s="37" t="str">
        <f>IF(I212="","",IFERROR(MIN(100,I212/'Input &amp; Settings'!$B$7*100),""))</f>
        <v/>
      </c>
      <c r="T212" s="37" t="str">
        <f>IF(J212="","",IFERROR(MIN(100,J212/'Input &amp; Settings'!$B$8*100),""))</f>
        <v/>
      </c>
      <c r="U212" s="37" t="str">
        <f>IF(K212="","",IFERROR(MIN(100,K212/'Input &amp; Settings'!$B$9*100),""))</f>
        <v/>
      </c>
      <c r="V212" s="37" t="str">
        <f>IF(L212="","",IFERROR(MIN(100,L212/'Input &amp; Settings'!$B$10*100),""))</f>
        <v/>
      </c>
      <c r="W212" s="37" t="str">
        <f>IF(M212="","",IFERROR(IF(M212&lt;='Input &amp; Settings'!$B$11,100,MAX(0,100-(M212-'Input &amp; Settings'!$B$11)*20)),""))</f>
        <v/>
      </c>
      <c r="X212" s="37" t="str">
        <f>IF(N212="","",IFERROR(MIN(100,N212/'Input &amp; Settings'!$B$12*100),""))</f>
        <v/>
      </c>
      <c r="Y212" s="37" t="str">
        <f>IF(O212="","",IFERROR(MIN(100,O212/'Input &amp; Settings'!$B$13*100),""))</f>
        <v/>
      </c>
      <c r="Z212" s="37" t="str">
        <f>IF(P212="","",IFERROR(IF(P212&lt;='Input &amp; Settings'!$B$14,100,MAX(0,100-(P212-'Input &amp; Settings'!$B$14)*20)),""))</f>
        <v/>
      </c>
      <c r="AA212" s="37" t="str">
        <f>IF(COUNTA(G212:P212)=0,"",ROUND(Q212*'Input &amp; Settings'!$C$5+R212*'Input &amp; Settings'!$C$6+S212*'Input &amp; Settings'!$C$7+T212*'Input &amp; Settings'!$C$8+U212*'Input &amp; Settings'!$C$9+V212*'Input &amp; Settings'!$C$10+W212*'Input &amp; Settings'!$C$11+X212*'Input &amp; Settings'!$C$12+Y212*'Input &amp; Settings'!$C$13+Z212*'Input &amp; Settings'!$C$14,1))</f>
        <v/>
      </c>
      <c r="AB212" s="38" t="str">
        <f>IF(OR(AA212="",E212=""),"",IFERROR(IF(AA212&gt;=VLOOKUP(E212,'Input &amp; Settings'!$F$5:$K$10,3,FALSE),"Outstanding",IF(AA212&gt;=VLOOKUP(E212,'Input &amp; Settings'!$F$5:$K$10,4,FALSE),"Exceeds Expectations",IF(AA212&gt;=VLOOKUP(E212,'Input &amp; Settings'!$F$5:$K$10,5,FALSE),"Meets Expectations",IF(AA212&gt;=VLOOKUP(E212,'Input &amp; Settings'!$F$5:$K$10,6,FALSE),"Needs Improvement","Performance Improvement Required")))),""))</f>
        <v/>
      </c>
      <c r="AC212" s="38" t="str">
        <f t="shared" si="12"/>
        <v/>
      </c>
      <c r="AD212" s="39"/>
      <c r="AE212" s="40"/>
      <c r="AF212" s="41" t="str">
        <f t="shared" si="13"/>
        <v/>
      </c>
      <c r="AG212" s="42" t="str">
        <f t="shared" si="14"/>
        <v/>
      </c>
      <c r="AH212" s="42" t="str">
        <f t="shared" si="15"/>
        <v>Angel Perez Martinez|May</v>
      </c>
    </row>
    <row r="213" spans="1:34" hidden="1">
      <c r="A213" s="32">
        <v>2026</v>
      </c>
      <c r="B213" s="32" t="s">
        <v>85</v>
      </c>
      <c r="C213" s="32" t="s">
        <v>36</v>
      </c>
      <c r="D213" s="32" t="s">
        <v>37</v>
      </c>
      <c r="E213" s="33" t="s">
        <v>86</v>
      </c>
      <c r="F213" s="34" t="str">
        <f>IF(E213="","",IFERROR(VLOOKUP(E213,'Input &amp; Settings'!$F$5:$G$10,2,FALSE),""))</f>
        <v>High</v>
      </c>
      <c r="G213" s="33"/>
      <c r="H213" s="33"/>
      <c r="I213" s="35"/>
      <c r="J213" s="33"/>
      <c r="K213" s="36"/>
      <c r="L213" s="35"/>
      <c r="M213" s="33"/>
      <c r="N213" s="33"/>
      <c r="O213" s="33"/>
      <c r="P213" s="33"/>
      <c r="Q213" s="37" t="str">
        <f>IF(G213="","",IFERROR(MIN(100,G213/'Input &amp; Settings'!$B$5*100),""))</f>
        <v/>
      </c>
      <c r="R213" s="37" t="str">
        <f>IF(H213="","",IFERROR(MIN(100,H213/'Input &amp; Settings'!$B$6*100),""))</f>
        <v/>
      </c>
      <c r="S213" s="37" t="str">
        <f>IF(I213="","",IFERROR(MIN(100,I213/'Input &amp; Settings'!$B$7*100),""))</f>
        <v/>
      </c>
      <c r="T213" s="37" t="str">
        <f>IF(J213="","",IFERROR(MIN(100,J213/'Input &amp; Settings'!$B$8*100),""))</f>
        <v/>
      </c>
      <c r="U213" s="37" t="str">
        <f>IF(K213="","",IFERROR(MIN(100,K213/'Input &amp; Settings'!$B$9*100),""))</f>
        <v/>
      </c>
      <c r="V213" s="37" t="str">
        <f>IF(L213="","",IFERROR(MIN(100,L213/'Input &amp; Settings'!$B$10*100),""))</f>
        <v/>
      </c>
      <c r="W213" s="37" t="str">
        <f>IF(M213="","",IFERROR(IF(M213&lt;='Input &amp; Settings'!$B$11,100,MAX(0,100-(M213-'Input &amp; Settings'!$B$11)*20)),""))</f>
        <v/>
      </c>
      <c r="X213" s="37" t="str">
        <f>IF(N213="","",IFERROR(MIN(100,N213/'Input &amp; Settings'!$B$12*100),""))</f>
        <v/>
      </c>
      <c r="Y213" s="37" t="str">
        <f>IF(O213="","",IFERROR(MIN(100,O213/'Input &amp; Settings'!$B$13*100),""))</f>
        <v/>
      </c>
      <c r="Z213" s="37" t="str">
        <f>IF(P213="","",IFERROR(IF(P213&lt;='Input &amp; Settings'!$B$14,100,MAX(0,100-(P213-'Input &amp; Settings'!$B$14)*20)),""))</f>
        <v/>
      </c>
      <c r="AA213" s="37" t="str">
        <f>IF(COUNTA(G213:P213)=0,"",ROUND(Q213*'Input &amp; Settings'!$C$5+R213*'Input &amp; Settings'!$C$6+S213*'Input &amp; Settings'!$C$7+T213*'Input &amp; Settings'!$C$8+U213*'Input &amp; Settings'!$C$9+V213*'Input &amp; Settings'!$C$10+W213*'Input &amp; Settings'!$C$11+X213*'Input &amp; Settings'!$C$12+Y213*'Input &amp; Settings'!$C$13+Z213*'Input &amp; Settings'!$C$14,1))</f>
        <v/>
      </c>
      <c r="AB213" s="38" t="str">
        <f>IF(OR(AA213="",E213=""),"",IFERROR(IF(AA213&gt;=VLOOKUP(E213,'Input &amp; Settings'!$F$5:$K$10,3,FALSE),"Outstanding",IF(AA213&gt;=VLOOKUP(E213,'Input &amp; Settings'!$F$5:$K$10,4,FALSE),"Exceeds Expectations",IF(AA213&gt;=VLOOKUP(E213,'Input &amp; Settings'!$F$5:$K$10,5,FALSE),"Meets Expectations",IF(AA213&gt;=VLOOKUP(E213,'Input &amp; Settings'!$F$5:$K$10,6,FALSE),"Needs Improvement","Performance Improvement Required")))),""))</f>
        <v/>
      </c>
      <c r="AC213" s="38" t="str">
        <f t="shared" si="12"/>
        <v/>
      </c>
      <c r="AD213" s="39"/>
      <c r="AE213" s="40"/>
      <c r="AF213" s="41" t="str">
        <f t="shared" si="13"/>
        <v/>
      </c>
      <c r="AG213" s="42" t="str">
        <f t="shared" si="14"/>
        <v/>
      </c>
      <c r="AH213" s="42" t="str">
        <f t="shared" si="15"/>
        <v>Carly Huber|June</v>
      </c>
    </row>
    <row r="214" spans="1:34" hidden="1">
      <c r="A214" s="32">
        <v>2026</v>
      </c>
      <c r="B214" s="32" t="s">
        <v>85</v>
      </c>
      <c r="C214" s="32" t="s">
        <v>36</v>
      </c>
      <c r="D214" s="32" t="s">
        <v>38</v>
      </c>
      <c r="E214" s="33"/>
      <c r="F214" s="34" t="str">
        <f>IF(E214="","",IFERROR(VLOOKUP(E214,'Input &amp; Settings'!$F$5:$G$10,2,FALSE),""))</f>
        <v/>
      </c>
      <c r="G214" s="33"/>
      <c r="H214" s="33"/>
      <c r="I214" s="35"/>
      <c r="J214" s="33"/>
      <c r="K214" s="36"/>
      <c r="L214" s="35"/>
      <c r="M214" s="33"/>
      <c r="N214" s="33"/>
      <c r="O214" s="33"/>
      <c r="P214" s="33"/>
      <c r="Q214" s="37" t="str">
        <f>IF(G214="","",IFERROR(MIN(100,G214/'Input &amp; Settings'!$B$5*100),""))</f>
        <v/>
      </c>
      <c r="R214" s="37" t="str">
        <f>IF(H214="","",IFERROR(MIN(100,H214/'Input &amp; Settings'!$B$6*100),""))</f>
        <v/>
      </c>
      <c r="S214" s="37" t="str">
        <f>IF(I214="","",IFERROR(MIN(100,I214/'Input &amp; Settings'!$B$7*100),""))</f>
        <v/>
      </c>
      <c r="T214" s="37" t="str">
        <f>IF(J214="","",IFERROR(MIN(100,J214/'Input &amp; Settings'!$B$8*100),""))</f>
        <v/>
      </c>
      <c r="U214" s="37" t="str">
        <f>IF(K214="","",IFERROR(MIN(100,K214/'Input &amp; Settings'!$B$9*100),""))</f>
        <v/>
      </c>
      <c r="V214" s="37" t="str">
        <f>IF(L214="","",IFERROR(MIN(100,L214/'Input &amp; Settings'!$B$10*100),""))</f>
        <v/>
      </c>
      <c r="W214" s="37" t="str">
        <f>IF(M214="","",IFERROR(IF(M214&lt;='Input &amp; Settings'!$B$11,100,MAX(0,100-(M214-'Input &amp; Settings'!$B$11)*20)),""))</f>
        <v/>
      </c>
      <c r="X214" s="37" t="str">
        <f>IF(N214="","",IFERROR(MIN(100,N214/'Input &amp; Settings'!$B$12*100),""))</f>
        <v/>
      </c>
      <c r="Y214" s="37" t="str">
        <f>IF(O214="","",IFERROR(MIN(100,O214/'Input &amp; Settings'!$B$13*100),""))</f>
        <v/>
      </c>
      <c r="Z214" s="37" t="str">
        <f>IF(P214="","",IFERROR(IF(P214&lt;='Input &amp; Settings'!$B$14,100,MAX(0,100-(P214-'Input &amp; Settings'!$B$14)*20)),""))</f>
        <v/>
      </c>
      <c r="AA214" s="37" t="str">
        <f>IF(COUNTA(G214:P214)=0,"",ROUND(Q214*'Input &amp; Settings'!$C$5+R214*'Input &amp; Settings'!$C$6+S214*'Input &amp; Settings'!$C$7+T214*'Input &amp; Settings'!$C$8+U214*'Input &amp; Settings'!$C$9+V214*'Input &amp; Settings'!$C$10+W214*'Input &amp; Settings'!$C$11+X214*'Input &amp; Settings'!$C$12+Y214*'Input &amp; Settings'!$C$13+Z214*'Input &amp; Settings'!$C$14,1))</f>
        <v/>
      </c>
      <c r="AB214" s="38" t="str">
        <f>IF(OR(AA214="",E214=""),"",IFERROR(IF(AA214&gt;=VLOOKUP(E214,'Input &amp; Settings'!$F$5:$K$10,3,FALSE),"Outstanding",IF(AA214&gt;=VLOOKUP(E214,'Input &amp; Settings'!$F$5:$K$10,4,FALSE),"Exceeds Expectations",IF(AA214&gt;=VLOOKUP(E214,'Input &amp; Settings'!$F$5:$K$10,5,FALSE),"Meets Expectations",IF(AA214&gt;=VLOOKUP(E214,'Input &amp; Settings'!$F$5:$K$10,6,FALSE),"Needs Improvement","Performance Improvement Required")))),""))</f>
        <v/>
      </c>
      <c r="AC214" s="38" t="str">
        <f t="shared" si="12"/>
        <v/>
      </c>
      <c r="AD214" s="39"/>
      <c r="AE214" s="40"/>
      <c r="AF214" s="41" t="str">
        <f t="shared" si="13"/>
        <v/>
      </c>
      <c r="AG214" s="42" t="str">
        <f t="shared" si="14"/>
        <v/>
      </c>
      <c r="AH214" s="42" t="str">
        <f t="shared" si="15"/>
        <v>Julian Grier|June</v>
      </c>
    </row>
    <row r="215" spans="1:34" hidden="1">
      <c r="A215" s="32">
        <v>2026</v>
      </c>
      <c r="B215" s="32" t="s">
        <v>85</v>
      </c>
      <c r="C215" s="32" t="s">
        <v>36</v>
      </c>
      <c r="D215" s="32" t="s">
        <v>39</v>
      </c>
      <c r="E215" s="33"/>
      <c r="F215" s="34" t="str">
        <f>IF(E215="","",IFERROR(VLOOKUP(E215,'Input &amp; Settings'!$F$5:$G$10,2,FALSE),""))</f>
        <v/>
      </c>
      <c r="G215" s="33"/>
      <c r="H215" s="33"/>
      <c r="I215" s="35"/>
      <c r="J215" s="33"/>
      <c r="K215" s="36"/>
      <c r="L215" s="35"/>
      <c r="M215" s="33"/>
      <c r="N215" s="33"/>
      <c r="O215" s="33"/>
      <c r="P215" s="33"/>
      <c r="Q215" s="37" t="str">
        <f>IF(G215="","",IFERROR(MIN(100,G215/'Input &amp; Settings'!$B$5*100),""))</f>
        <v/>
      </c>
      <c r="R215" s="37" t="str">
        <f>IF(H215="","",IFERROR(MIN(100,H215/'Input &amp; Settings'!$B$6*100),""))</f>
        <v/>
      </c>
      <c r="S215" s="37" t="str">
        <f>IF(I215="","",IFERROR(MIN(100,I215/'Input &amp; Settings'!$B$7*100),""))</f>
        <v/>
      </c>
      <c r="T215" s="37" t="str">
        <f>IF(J215="","",IFERROR(MIN(100,J215/'Input &amp; Settings'!$B$8*100),""))</f>
        <v/>
      </c>
      <c r="U215" s="37" t="str">
        <f>IF(K215="","",IFERROR(MIN(100,K215/'Input &amp; Settings'!$B$9*100),""))</f>
        <v/>
      </c>
      <c r="V215" s="37" t="str">
        <f>IF(L215="","",IFERROR(MIN(100,L215/'Input &amp; Settings'!$B$10*100),""))</f>
        <v/>
      </c>
      <c r="W215" s="37" t="str">
        <f>IF(M215="","",IFERROR(IF(M215&lt;='Input &amp; Settings'!$B$11,100,MAX(0,100-(M215-'Input &amp; Settings'!$B$11)*20)),""))</f>
        <v/>
      </c>
      <c r="X215" s="37" t="str">
        <f>IF(N215="","",IFERROR(MIN(100,N215/'Input &amp; Settings'!$B$12*100),""))</f>
        <v/>
      </c>
      <c r="Y215" s="37" t="str">
        <f>IF(O215="","",IFERROR(MIN(100,O215/'Input &amp; Settings'!$B$13*100),""))</f>
        <v/>
      </c>
      <c r="Z215" s="37" t="str">
        <f>IF(P215="","",IFERROR(IF(P215&lt;='Input &amp; Settings'!$B$14,100,MAX(0,100-(P215-'Input &amp; Settings'!$B$14)*20)),""))</f>
        <v/>
      </c>
      <c r="AA215" s="37" t="str">
        <f>IF(COUNTA(G215:P215)=0,"",ROUND(Q215*'Input &amp; Settings'!$C$5+R215*'Input &amp; Settings'!$C$6+S215*'Input &amp; Settings'!$C$7+T215*'Input &amp; Settings'!$C$8+U215*'Input &amp; Settings'!$C$9+V215*'Input &amp; Settings'!$C$10+W215*'Input &amp; Settings'!$C$11+X215*'Input &amp; Settings'!$C$12+Y215*'Input &amp; Settings'!$C$13+Z215*'Input &amp; Settings'!$C$14,1))</f>
        <v/>
      </c>
      <c r="AB215" s="38" t="str">
        <f>IF(OR(AA215="",E215=""),"",IFERROR(IF(AA215&gt;=VLOOKUP(E215,'Input &amp; Settings'!$F$5:$K$10,3,FALSE),"Outstanding",IF(AA215&gt;=VLOOKUP(E215,'Input &amp; Settings'!$F$5:$K$10,4,FALSE),"Exceeds Expectations",IF(AA215&gt;=VLOOKUP(E215,'Input &amp; Settings'!$F$5:$K$10,5,FALSE),"Meets Expectations",IF(AA215&gt;=VLOOKUP(E215,'Input &amp; Settings'!$F$5:$K$10,6,FALSE),"Needs Improvement","Performance Improvement Required")))),""))</f>
        <v/>
      </c>
      <c r="AC215" s="38" t="str">
        <f t="shared" si="12"/>
        <v/>
      </c>
      <c r="AD215" s="39"/>
      <c r="AE215" s="40"/>
      <c r="AF215" s="41" t="str">
        <f t="shared" si="13"/>
        <v/>
      </c>
      <c r="AG215" s="42" t="str">
        <f t="shared" si="14"/>
        <v/>
      </c>
      <c r="AH215" s="42" t="str">
        <f t="shared" si="15"/>
        <v>Jorge Lopez|June</v>
      </c>
    </row>
    <row r="216" spans="1:34" hidden="1">
      <c r="A216" s="32">
        <v>2026</v>
      </c>
      <c r="B216" s="32" t="s">
        <v>85</v>
      </c>
      <c r="C216" s="32" t="s">
        <v>36</v>
      </c>
      <c r="D216" s="32" t="s">
        <v>40</v>
      </c>
      <c r="E216" s="33"/>
      <c r="F216" s="34" t="str">
        <f>IF(E216="","",IFERROR(VLOOKUP(E216,'Input &amp; Settings'!$F$5:$G$10,2,FALSE),""))</f>
        <v/>
      </c>
      <c r="G216" s="33"/>
      <c r="H216" s="33"/>
      <c r="I216" s="35"/>
      <c r="J216" s="33"/>
      <c r="K216" s="36"/>
      <c r="L216" s="35"/>
      <c r="M216" s="33"/>
      <c r="N216" s="33"/>
      <c r="O216" s="33"/>
      <c r="P216" s="33"/>
      <c r="Q216" s="37" t="str">
        <f>IF(G216="","",IFERROR(MIN(100,G216/'Input &amp; Settings'!$B$5*100),""))</f>
        <v/>
      </c>
      <c r="R216" s="37" t="str">
        <f>IF(H216="","",IFERROR(MIN(100,H216/'Input &amp; Settings'!$B$6*100),""))</f>
        <v/>
      </c>
      <c r="S216" s="37" t="str">
        <f>IF(I216="","",IFERROR(MIN(100,I216/'Input &amp; Settings'!$B$7*100),""))</f>
        <v/>
      </c>
      <c r="T216" s="37" t="str">
        <f>IF(J216="","",IFERROR(MIN(100,J216/'Input &amp; Settings'!$B$8*100),""))</f>
        <v/>
      </c>
      <c r="U216" s="37" t="str">
        <f>IF(K216="","",IFERROR(MIN(100,K216/'Input &amp; Settings'!$B$9*100),""))</f>
        <v/>
      </c>
      <c r="V216" s="37" t="str">
        <f>IF(L216="","",IFERROR(MIN(100,L216/'Input &amp; Settings'!$B$10*100),""))</f>
        <v/>
      </c>
      <c r="W216" s="37" t="str">
        <f>IF(M216="","",IFERROR(IF(M216&lt;='Input &amp; Settings'!$B$11,100,MAX(0,100-(M216-'Input &amp; Settings'!$B$11)*20)),""))</f>
        <v/>
      </c>
      <c r="X216" s="37" t="str">
        <f>IF(N216="","",IFERROR(MIN(100,N216/'Input &amp; Settings'!$B$12*100),""))</f>
        <v/>
      </c>
      <c r="Y216" s="37" t="str">
        <f>IF(O216="","",IFERROR(MIN(100,O216/'Input &amp; Settings'!$B$13*100),""))</f>
        <v/>
      </c>
      <c r="Z216" s="37" t="str">
        <f>IF(P216="","",IFERROR(IF(P216&lt;='Input &amp; Settings'!$B$14,100,MAX(0,100-(P216-'Input &amp; Settings'!$B$14)*20)),""))</f>
        <v/>
      </c>
      <c r="AA216" s="37" t="str">
        <f>IF(COUNTA(G216:P216)=0,"",ROUND(Q216*'Input &amp; Settings'!$C$5+R216*'Input &amp; Settings'!$C$6+S216*'Input &amp; Settings'!$C$7+T216*'Input &amp; Settings'!$C$8+U216*'Input &amp; Settings'!$C$9+V216*'Input &amp; Settings'!$C$10+W216*'Input &amp; Settings'!$C$11+X216*'Input &amp; Settings'!$C$12+Y216*'Input &amp; Settings'!$C$13+Z216*'Input &amp; Settings'!$C$14,1))</f>
        <v/>
      </c>
      <c r="AB216" s="38" t="str">
        <f>IF(OR(AA216="",E216=""),"",IFERROR(IF(AA216&gt;=VLOOKUP(E216,'Input &amp; Settings'!$F$5:$K$10,3,FALSE),"Outstanding",IF(AA216&gt;=VLOOKUP(E216,'Input &amp; Settings'!$F$5:$K$10,4,FALSE),"Exceeds Expectations",IF(AA216&gt;=VLOOKUP(E216,'Input &amp; Settings'!$F$5:$K$10,5,FALSE),"Meets Expectations",IF(AA216&gt;=VLOOKUP(E216,'Input &amp; Settings'!$F$5:$K$10,6,FALSE),"Needs Improvement","Performance Improvement Required")))),""))</f>
        <v/>
      </c>
      <c r="AC216" s="38" t="str">
        <f t="shared" si="12"/>
        <v/>
      </c>
      <c r="AD216" s="39"/>
      <c r="AE216" s="40"/>
      <c r="AF216" s="41" t="str">
        <f t="shared" si="13"/>
        <v/>
      </c>
      <c r="AG216" s="42" t="str">
        <f t="shared" si="14"/>
        <v/>
      </c>
      <c r="AH216" s="42" t="str">
        <f t="shared" si="15"/>
        <v>Juan Pablo Pique Buil (JP)|June</v>
      </c>
    </row>
    <row r="217" spans="1:34" hidden="1">
      <c r="A217" s="32">
        <v>2026</v>
      </c>
      <c r="B217" s="32" t="s">
        <v>85</v>
      </c>
      <c r="C217" s="32" t="s">
        <v>36</v>
      </c>
      <c r="D217" s="32" t="s">
        <v>41</v>
      </c>
      <c r="E217" s="33"/>
      <c r="F217" s="34" t="str">
        <f>IF(E217="","",IFERROR(VLOOKUP(E217,'Input &amp; Settings'!$F$5:$G$10,2,FALSE),""))</f>
        <v/>
      </c>
      <c r="G217" s="33"/>
      <c r="H217" s="33"/>
      <c r="I217" s="35"/>
      <c r="J217" s="33"/>
      <c r="K217" s="36"/>
      <c r="L217" s="35"/>
      <c r="M217" s="33"/>
      <c r="N217" s="33"/>
      <c r="O217" s="33"/>
      <c r="P217" s="33"/>
      <c r="Q217" s="37" t="str">
        <f>IF(G217="","",IFERROR(MIN(100,G217/'Input &amp; Settings'!$B$5*100),""))</f>
        <v/>
      </c>
      <c r="R217" s="37" t="str">
        <f>IF(H217="","",IFERROR(MIN(100,H217/'Input &amp; Settings'!$B$6*100),""))</f>
        <v/>
      </c>
      <c r="S217" s="37" t="str">
        <f>IF(I217="","",IFERROR(MIN(100,I217/'Input &amp; Settings'!$B$7*100),""))</f>
        <v/>
      </c>
      <c r="T217" s="37" t="str">
        <f>IF(J217="","",IFERROR(MIN(100,J217/'Input &amp; Settings'!$B$8*100),""))</f>
        <v/>
      </c>
      <c r="U217" s="37" t="str">
        <f>IF(K217="","",IFERROR(MIN(100,K217/'Input &amp; Settings'!$B$9*100),""))</f>
        <v/>
      </c>
      <c r="V217" s="37" t="str">
        <f>IF(L217="","",IFERROR(MIN(100,L217/'Input &amp; Settings'!$B$10*100),""))</f>
        <v/>
      </c>
      <c r="W217" s="37" t="str">
        <f>IF(M217="","",IFERROR(IF(M217&lt;='Input &amp; Settings'!$B$11,100,MAX(0,100-(M217-'Input &amp; Settings'!$B$11)*20)),""))</f>
        <v/>
      </c>
      <c r="X217" s="37" t="str">
        <f>IF(N217="","",IFERROR(MIN(100,N217/'Input &amp; Settings'!$B$12*100),""))</f>
        <v/>
      </c>
      <c r="Y217" s="37" t="str">
        <f>IF(O217="","",IFERROR(MIN(100,O217/'Input &amp; Settings'!$B$13*100),""))</f>
        <v/>
      </c>
      <c r="Z217" s="37" t="str">
        <f>IF(P217="","",IFERROR(IF(P217&lt;='Input &amp; Settings'!$B$14,100,MAX(0,100-(P217-'Input &amp; Settings'!$B$14)*20)),""))</f>
        <v/>
      </c>
      <c r="AA217" s="37" t="str">
        <f>IF(COUNTA(G217:P217)=0,"",ROUND(Q217*'Input &amp; Settings'!$C$5+R217*'Input &amp; Settings'!$C$6+S217*'Input &amp; Settings'!$C$7+T217*'Input &amp; Settings'!$C$8+U217*'Input &amp; Settings'!$C$9+V217*'Input &amp; Settings'!$C$10+W217*'Input &amp; Settings'!$C$11+X217*'Input &amp; Settings'!$C$12+Y217*'Input &amp; Settings'!$C$13+Z217*'Input &amp; Settings'!$C$14,1))</f>
        <v/>
      </c>
      <c r="AB217" s="38" t="str">
        <f>IF(OR(AA217="",E217=""),"",IFERROR(IF(AA217&gt;=VLOOKUP(E217,'Input &amp; Settings'!$F$5:$K$10,3,FALSE),"Outstanding",IF(AA217&gt;=VLOOKUP(E217,'Input &amp; Settings'!$F$5:$K$10,4,FALSE),"Exceeds Expectations",IF(AA217&gt;=VLOOKUP(E217,'Input &amp; Settings'!$F$5:$K$10,5,FALSE),"Meets Expectations",IF(AA217&gt;=VLOOKUP(E217,'Input &amp; Settings'!$F$5:$K$10,6,FALSE),"Needs Improvement","Performance Improvement Required")))),""))</f>
        <v/>
      </c>
      <c r="AC217" s="38" t="str">
        <f t="shared" si="12"/>
        <v/>
      </c>
      <c r="AD217" s="39"/>
      <c r="AE217" s="40"/>
      <c r="AF217" s="41" t="str">
        <f t="shared" si="13"/>
        <v/>
      </c>
      <c r="AG217" s="42" t="str">
        <f t="shared" si="14"/>
        <v/>
      </c>
      <c r="AH217" s="42" t="str">
        <f t="shared" si="15"/>
        <v>Peter Gonzalez|June</v>
      </c>
    </row>
    <row r="218" spans="1:34" hidden="1">
      <c r="A218" s="32">
        <v>2026</v>
      </c>
      <c r="B218" s="32" t="s">
        <v>85</v>
      </c>
      <c r="C218" s="32" t="s">
        <v>36</v>
      </c>
      <c r="D218" s="32" t="s">
        <v>42</v>
      </c>
      <c r="E218" s="33"/>
      <c r="F218" s="34" t="str">
        <f>IF(E218="","",IFERROR(VLOOKUP(E218,'Input &amp; Settings'!$F$5:$G$10,2,FALSE),""))</f>
        <v/>
      </c>
      <c r="G218" s="33"/>
      <c r="H218" s="33"/>
      <c r="I218" s="35"/>
      <c r="J218" s="33"/>
      <c r="K218" s="36"/>
      <c r="L218" s="35"/>
      <c r="M218" s="33"/>
      <c r="N218" s="33"/>
      <c r="O218" s="33"/>
      <c r="P218" s="33"/>
      <c r="Q218" s="37" t="str">
        <f>IF(G218="","",IFERROR(MIN(100,G218/'Input &amp; Settings'!$B$5*100),""))</f>
        <v/>
      </c>
      <c r="R218" s="37" t="str">
        <f>IF(H218="","",IFERROR(MIN(100,H218/'Input &amp; Settings'!$B$6*100),""))</f>
        <v/>
      </c>
      <c r="S218" s="37" t="str">
        <f>IF(I218="","",IFERROR(MIN(100,I218/'Input &amp; Settings'!$B$7*100),""))</f>
        <v/>
      </c>
      <c r="T218" s="37" t="str">
        <f>IF(J218="","",IFERROR(MIN(100,J218/'Input &amp; Settings'!$B$8*100),""))</f>
        <v/>
      </c>
      <c r="U218" s="37" t="str">
        <f>IF(K218="","",IFERROR(MIN(100,K218/'Input &amp; Settings'!$B$9*100),""))</f>
        <v/>
      </c>
      <c r="V218" s="37" t="str">
        <f>IF(L218="","",IFERROR(MIN(100,L218/'Input &amp; Settings'!$B$10*100),""))</f>
        <v/>
      </c>
      <c r="W218" s="37" t="str">
        <f>IF(M218="","",IFERROR(IF(M218&lt;='Input &amp; Settings'!$B$11,100,MAX(0,100-(M218-'Input &amp; Settings'!$B$11)*20)),""))</f>
        <v/>
      </c>
      <c r="X218" s="37" t="str">
        <f>IF(N218="","",IFERROR(MIN(100,N218/'Input &amp; Settings'!$B$12*100),""))</f>
        <v/>
      </c>
      <c r="Y218" s="37" t="str">
        <f>IF(O218="","",IFERROR(MIN(100,O218/'Input &amp; Settings'!$B$13*100),""))</f>
        <v/>
      </c>
      <c r="Z218" s="37" t="str">
        <f>IF(P218="","",IFERROR(IF(P218&lt;='Input &amp; Settings'!$B$14,100,MAX(0,100-(P218-'Input &amp; Settings'!$B$14)*20)),""))</f>
        <v/>
      </c>
      <c r="AA218" s="37" t="str">
        <f>IF(COUNTA(G218:P218)=0,"",ROUND(Q218*'Input &amp; Settings'!$C$5+R218*'Input &amp; Settings'!$C$6+S218*'Input &amp; Settings'!$C$7+T218*'Input &amp; Settings'!$C$8+U218*'Input &amp; Settings'!$C$9+V218*'Input &amp; Settings'!$C$10+W218*'Input &amp; Settings'!$C$11+X218*'Input &amp; Settings'!$C$12+Y218*'Input &amp; Settings'!$C$13+Z218*'Input &amp; Settings'!$C$14,1))</f>
        <v/>
      </c>
      <c r="AB218" s="38" t="str">
        <f>IF(OR(AA218="",E218=""),"",IFERROR(IF(AA218&gt;=VLOOKUP(E218,'Input &amp; Settings'!$F$5:$K$10,3,FALSE),"Outstanding",IF(AA218&gt;=VLOOKUP(E218,'Input &amp; Settings'!$F$5:$K$10,4,FALSE),"Exceeds Expectations",IF(AA218&gt;=VLOOKUP(E218,'Input &amp; Settings'!$F$5:$K$10,5,FALSE),"Meets Expectations",IF(AA218&gt;=VLOOKUP(E218,'Input &amp; Settings'!$F$5:$K$10,6,FALSE),"Needs Improvement","Performance Improvement Required")))),""))</f>
        <v/>
      </c>
      <c r="AC218" s="38" t="str">
        <f t="shared" si="12"/>
        <v/>
      </c>
      <c r="AD218" s="39"/>
      <c r="AE218" s="40"/>
      <c r="AF218" s="41" t="str">
        <f t="shared" si="13"/>
        <v/>
      </c>
      <c r="AG218" s="42" t="str">
        <f t="shared" si="14"/>
        <v/>
      </c>
      <c r="AH218" s="42" t="str">
        <f t="shared" si="15"/>
        <v>Dennis Hartling|June</v>
      </c>
    </row>
    <row r="219" spans="1:34" hidden="1">
      <c r="A219" s="32">
        <v>2026</v>
      </c>
      <c r="B219" s="32" t="s">
        <v>85</v>
      </c>
      <c r="C219" s="32" t="s">
        <v>36</v>
      </c>
      <c r="D219" s="32" t="s">
        <v>43</v>
      </c>
      <c r="E219" s="33"/>
      <c r="F219" s="34" t="str">
        <f>IF(E219="","",IFERROR(VLOOKUP(E219,'Input &amp; Settings'!$F$5:$G$10,2,FALSE),""))</f>
        <v/>
      </c>
      <c r="G219" s="33"/>
      <c r="H219" s="33"/>
      <c r="I219" s="35"/>
      <c r="J219" s="33"/>
      <c r="K219" s="36"/>
      <c r="L219" s="35"/>
      <c r="M219" s="33"/>
      <c r="N219" s="33"/>
      <c r="O219" s="33"/>
      <c r="P219" s="33"/>
      <c r="Q219" s="37" t="str">
        <f>IF(G219="","",IFERROR(MIN(100,G219/'Input &amp; Settings'!$B$5*100),""))</f>
        <v/>
      </c>
      <c r="R219" s="37" t="str">
        <f>IF(H219="","",IFERROR(MIN(100,H219/'Input &amp; Settings'!$B$6*100),""))</f>
        <v/>
      </c>
      <c r="S219" s="37" t="str">
        <f>IF(I219="","",IFERROR(MIN(100,I219/'Input &amp; Settings'!$B$7*100),""))</f>
        <v/>
      </c>
      <c r="T219" s="37" t="str">
        <f>IF(J219="","",IFERROR(MIN(100,J219/'Input &amp; Settings'!$B$8*100),""))</f>
        <v/>
      </c>
      <c r="U219" s="37" t="str">
        <f>IF(K219="","",IFERROR(MIN(100,K219/'Input &amp; Settings'!$B$9*100),""))</f>
        <v/>
      </c>
      <c r="V219" s="37" t="str">
        <f>IF(L219="","",IFERROR(MIN(100,L219/'Input &amp; Settings'!$B$10*100),""))</f>
        <v/>
      </c>
      <c r="W219" s="37" t="str">
        <f>IF(M219="","",IFERROR(IF(M219&lt;='Input &amp; Settings'!$B$11,100,MAX(0,100-(M219-'Input &amp; Settings'!$B$11)*20)),""))</f>
        <v/>
      </c>
      <c r="X219" s="37" t="str">
        <f>IF(N219="","",IFERROR(MIN(100,N219/'Input &amp; Settings'!$B$12*100),""))</f>
        <v/>
      </c>
      <c r="Y219" s="37" t="str">
        <f>IF(O219="","",IFERROR(MIN(100,O219/'Input &amp; Settings'!$B$13*100),""))</f>
        <v/>
      </c>
      <c r="Z219" s="37" t="str">
        <f>IF(P219="","",IFERROR(IF(P219&lt;='Input &amp; Settings'!$B$14,100,MAX(0,100-(P219-'Input &amp; Settings'!$B$14)*20)),""))</f>
        <v/>
      </c>
      <c r="AA219" s="37" t="str">
        <f>IF(COUNTA(G219:P219)=0,"",ROUND(Q219*'Input &amp; Settings'!$C$5+R219*'Input &amp; Settings'!$C$6+S219*'Input &amp; Settings'!$C$7+T219*'Input &amp; Settings'!$C$8+U219*'Input &amp; Settings'!$C$9+V219*'Input &amp; Settings'!$C$10+W219*'Input &amp; Settings'!$C$11+X219*'Input &amp; Settings'!$C$12+Y219*'Input &amp; Settings'!$C$13+Z219*'Input &amp; Settings'!$C$14,1))</f>
        <v/>
      </c>
      <c r="AB219" s="38" t="str">
        <f>IF(OR(AA219="",E219=""),"",IFERROR(IF(AA219&gt;=VLOOKUP(E219,'Input &amp; Settings'!$F$5:$K$10,3,FALSE),"Outstanding",IF(AA219&gt;=VLOOKUP(E219,'Input &amp; Settings'!$F$5:$K$10,4,FALSE),"Exceeds Expectations",IF(AA219&gt;=VLOOKUP(E219,'Input &amp; Settings'!$F$5:$K$10,5,FALSE),"Meets Expectations",IF(AA219&gt;=VLOOKUP(E219,'Input &amp; Settings'!$F$5:$K$10,6,FALSE),"Needs Improvement","Performance Improvement Required")))),""))</f>
        <v/>
      </c>
      <c r="AC219" s="38" t="str">
        <f t="shared" si="12"/>
        <v/>
      </c>
      <c r="AD219" s="39"/>
      <c r="AE219" s="40"/>
      <c r="AF219" s="41" t="str">
        <f t="shared" si="13"/>
        <v/>
      </c>
      <c r="AG219" s="42" t="str">
        <f t="shared" si="14"/>
        <v/>
      </c>
      <c r="AH219" s="42" t="str">
        <f t="shared" si="15"/>
        <v>Gilbert Eugene|June</v>
      </c>
    </row>
    <row r="220" spans="1:34" hidden="1">
      <c r="A220" s="32">
        <v>2026</v>
      </c>
      <c r="B220" s="32" t="s">
        <v>85</v>
      </c>
      <c r="C220" s="32" t="s">
        <v>36</v>
      </c>
      <c r="D220" s="32" t="s">
        <v>44</v>
      </c>
      <c r="E220" s="33"/>
      <c r="F220" s="34" t="str">
        <f>IF(E220="","",IFERROR(VLOOKUP(E220,'Input &amp; Settings'!$F$5:$G$10,2,FALSE),""))</f>
        <v/>
      </c>
      <c r="G220" s="33"/>
      <c r="H220" s="33"/>
      <c r="I220" s="35"/>
      <c r="J220" s="33"/>
      <c r="K220" s="36"/>
      <c r="L220" s="35"/>
      <c r="M220" s="33"/>
      <c r="N220" s="33"/>
      <c r="O220" s="33"/>
      <c r="P220" s="33"/>
      <c r="Q220" s="37" t="str">
        <f>IF(G220="","",IFERROR(MIN(100,G220/'Input &amp; Settings'!$B$5*100),""))</f>
        <v/>
      </c>
      <c r="R220" s="37" t="str">
        <f>IF(H220="","",IFERROR(MIN(100,H220/'Input &amp; Settings'!$B$6*100),""))</f>
        <v/>
      </c>
      <c r="S220" s="37" t="str">
        <f>IF(I220="","",IFERROR(MIN(100,I220/'Input &amp; Settings'!$B$7*100),""))</f>
        <v/>
      </c>
      <c r="T220" s="37" t="str">
        <f>IF(J220="","",IFERROR(MIN(100,J220/'Input &amp; Settings'!$B$8*100),""))</f>
        <v/>
      </c>
      <c r="U220" s="37" t="str">
        <f>IF(K220="","",IFERROR(MIN(100,K220/'Input &amp; Settings'!$B$9*100),""))</f>
        <v/>
      </c>
      <c r="V220" s="37" t="str">
        <f>IF(L220="","",IFERROR(MIN(100,L220/'Input &amp; Settings'!$B$10*100),""))</f>
        <v/>
      </c>
      <c r="W220" s="37" t="str">
        <f>IF(M220="","",IFERROR(IF(M220&lt;='Input &amp; Settings'!$B$11,100,MAX(0,100-(M220-'Input &amp; Settings'!$B$11)*20)),""))</f>
        <v/>
      </c>
      <c r="X220" s="37" t="str">
        <f>IF(N220="","",IFERROR(MIN(100,N220/'Input &amp; Settings'!$B$12*100),""))</f>
        <v/>
      </c>
      <c r="Y220" s="37" t="str">
        <f>IF(O220="","",IFERROR(MIN(100,O220/'Input &amp; Settings'!$B$13*100),""))</f>
        <v/>
      </c>
      <c r="Z220" s="37" t="str">
        <f>IF(P220="","",IFERROR(IF(P220&lt;='Input &amp; Settings'!$B$14,100,MAX(0,100-(P220-'Input &amp; Settings'!$B$14)*20)),""))</f>
        <v/>
      </c>
      <c r="AA220" s="37" t="str">
        <f>IF(COUNTA(G220:P220)=0,"",ROUND(Q220*'Input &amp; Settings'!$C$5+R220*'Input &amp; Settings'!$C$6+S220*'Input &amp; Settings'!$C$7+T220*'Input &amp; Settings'!$C$8+U220*'Input &amp; Settings'!$C$9+V220*'Input &amp; Settings'!$C$10+W220*'Input &amp; Settings'!$C$11+X220*'Input &amp; Settings'!$C$12+Y220*'Input &amp; Settings'!$C$13+Z220*'Input &amp; Settings'!$C$14,1))</f>
        <v/>
      </c>
      <c r="AB220" s="38" t="str">
        <f>IF(OR(AA220="",E220=""),"",IFERROR(IF(AA220&gt;=VLOOKUP(E220,'Input &amp; Settings'!$F$5:$K$10,3,FALSE),"Outstanding",IF(AA220&gt;=VLOOKUP(E220,'Input &amp; Settings'!$F$5:$K$10,4,FALSE),"Exceeds Expectations",IF(AA220&gt;=VLOOKUP(E220,'Input &amp; Settings'!$F$5:$K$10,5,FALSE),"Meets Expectations",IF(AA220&gt;=VLOOKUP(E220,'Input &amp; Settings'!$F$5:$K$10,6,FALSE),"Needs Improvement","Performance Improvement Required")))),""))</f>
        <v/>
      </c>
      <c r="AC220" s="38" t="str">
        <f t="shared" si="12"/>
        <v/>
      </c>
      <c r="AD220" s="39"/>
      <c r="AE220" s="40"/>
      <c r="AF220" s="41" t="str">
        <f t="shared" si="13"/>
        <v/>
      </c>
      <c r="AG220" s="42" t="str">
        <f t="shared" si="14"/>
        <v/>
      </c>
      <c r="AH220" s="42" t="str">
        <f t="shared" si="15"/>
        <v>Cory Colstock|June</v>
      </c>
    </row>
    <row r="221" spans="1:34" hidden="1">
      <c r="A221" s="32">
        <v>2026</v>
      </c>
      <c r="B221" s="32" t="s">
        <v>85</v>
      </c>
      <c r="C221" s="32" t="s">
        <v>36</v>
      </c>
      <c r="D221" s="32" t="s">
        <v>45</v>
      </c>
      <c r="E221" s="33"/>
      <c r="F221" s="34" t="str">
        <f>IF(E221="","",IFERROR(VLOOKUP(E221,'Input &amp; Settings'!$F$5:$G$10,2,FALSE),""))</f>
        <v/>
      </c>
      <c r="G221" s="33"/>
      <c r="H221" s="33"/>
      <c r="I221" s="35"/>
      <c r="J221" s="33"/>
      <c r="K221" s="36"/>
      <c r="L221" s="35"/>
      <c r="M221" s="33"/>
      <c r="N221" s="33"/>
      <c r="O221" s="33"/>
      <c r="P221" s="33"/>
      <c r="Q221" s="37" t="str">
        <f>IF(G221="","",IFERROR(MIN(100,G221/'Input &amp; Settings'!$B$5*100),""))</f>
        <v/>
      </c>
      <c r="R221" s="37" t="str">
        <f>IF(H221="","",IFERROR(MIN(100,H221/'Input &amp; Settings'!$B$6*100),""))</f>
        <v/>
      </c>
      <c r="S221" s="37" t="str">
        <f>IF(I221="","",IFERROR(MIN(100,I221/'Input &amp; Settings'!$B$7*100),""))</f>
        <v/>
      </c>
      <c r="T221" s="37" t="str">
        <f>IF(J221="","",IFERROR(MIN(100,J221/'Input &amp; Settings'!$B$8*100),""))</f>
        <v/>
      </c>
      <c r="U221" s="37" t="str">
        <f>IF(K221="","",IFERROR(MIN(100,K221/'Input &amp; Settings'!$B$9*100),""))</f>
        <v/>
      </c>
      <c r="V221" s="37" t="str">
        <f>IF(L221="","",IFERROR(MIN(100,L221/'Input &amp; Settings'!$B$10*100),""))</f>
        <v/>
      </c>
      <c r="W221" s="37" t="str">
        <f>IF(M221="","",IFERROR(IF(M221&lt;='Input &amp; Settings'!$B$11,100,MAX(0,100-(M221-'Input &amp; Settings'!$B$11)*20)),""))</f>
        <v/>
      </c>
      <c r="X221" s="37" t="str">
        <f>IF(N221="","",IFERROR(MIN(100,N221/'Input &amp; Settings'!$B$12*100),""))</f>
        <v/>
      </c>
      <c r="Y221" s="37" t="str">
        <f>IF(O221="","",IFERROR(MIN(100,O221/'Input &amp; Settings'!$B$13*100),""))</f>
        <v/>
      </c>
      <c r="Z221" s="37" t="str">
        <f>IF(P221="","",IFERROR(IF(P221&lt;='Input &amp; Settings'!$B$14,100,MAX(0,100-(P221-'Input &amp; Settings'!$B$14)*20)),""))</f>
        <v/>
      </c>
      <c r="AA221" s="37" t="str">
        <f>IF(COUNTA(G221:P221)=0,"",ROUND(Q221*'Input &amp; Settings'!$C$5+R221*'Input &amp; Settings'!$C$6+S221*'Input &amp; Settings'!$C$7+T221*'Input &amp; Settings'!$C$8+U221*'Input &amp; Settings'!$C$9+V221*'Input &amp; Settings'!$C$10+W221*'Input &amp; Settings'!$C$11+X221*'Input &amp; Settings'!$C$12+Y221*'Input &amp; Settings'!$C$13+Z221*'Input &amp; Settings'!$C$14,1))</f>
        <v/>
      </c>
      <c r="AB221" s="38" t="str">
        <f>IF(OR(AA221="",E221=""),"",IFERROR(IF(AA221&gt;=VLOOKUP(E221,'Input &amp; Settings'!$F$5:$K$10,3,FALSE),"Outstanding",IF(AA221&gt;=VLOOKUP(E221,'Input &amp; Settings'!$F$5:$K$10,4,FALSE),"Exceeds Expectations",IF(AA221&gt;=VLOOKUP(E221,'Input &amp; Settings'!$F$5:$K$10,5,FALSE),"Meets Expectations",IF(AA221&gt;=VLOOKUP(E221,'Input &amp; Settings'!$F$5:$K$10,6,FALSE),"Needs Improvement","Performance Improvement Required")))),""))</f>
        <v/>
      </c>
      <c r="AC221" s="38" t="str">
        <f t="shared" si="12"/>
        <v/>
      </c>
      <c r="AD221" s="39"/>
      <c r="AE221" s="40"/>
      <c r="AF221" s="41" t="str">
        <f t="shared" si="13"/>
        <v/>
      </c>
      <c r="AG221" s="42" t="str">
        <f t="shared" si="14"/>
        <v/>
      </c>
      <c r="AH221" s="42" t="str">
        <f t="shared" si="15"/>
        <v>Jerald Woodward (Jerry)|June</v>
      </c>
    </row>
    <row r="222" spans="1:34" hidden="1">
      <c r="A222" s="32">
        <v>2026</v>
      </c>
      <c r="B222" s="32" t="s">
        <v>85</v>
      </c>
      <c r="C222" s="32" t="s">
        <v>36</v>
      </c>
      <c r="D222" s="32" t="s">
        <v>46</v>
      </c>
      <c r="E222" s="33" t="s">
        <v>86</v>
      </c>
      <c r="F222" s="34" t="str">
        <f>IF(E222="","",IFERROR(VLOOKUP(E222,'Input &amp; Settings'!$F$5:$G$10,2,FALSE),""))</f>
        <v>High</v>
      </c>
      <c r="G222" s="33"/>
      <c r="H222" s="33"/>
      <c r="I222" s="35"/>
      <c r="J222" s="33"/>
      <c r="K222" s="36"/>
      <c r="L222" s="35"/>
      <c r="M222" s="33"/>
      <c r="N222" s="33"/>
      <c r="O222" s="33"/>
      <c r="P222" s="33"/>
      <c r="Q222" s="37" t="str">
        <f>IF(G222="","",IFERROR(MIN(100,G222/'Input &amp; Settings'!$B$5*100),""))</f>
        <v/>
      </c>
      <c r="R222" s="37" t="str">
        <f>IF(H222="","",IFERROR(MIN(100,H222/'Input &amp; Settings'!$B$6*100),""))</f>
        <v/>
      </c>
      <c r="S222" s="37" t="str">
        <f>IF(I222="","",IFERROR(MIN(100,I222/'Input &amp; Settings'!$B$7*100),""))</f>
        <v/>
      </c>
      <c r="T222" s="37" t="str">
        <f>IF(J222="","",IFERROR(MIN(100,J222/'Input &amp; Settings'!$B$8*100),""))</f>
        <v/>
      </c>
      <c r="U222" s="37" t="str">
        <f>IF(K222="","",IFERROR(MIN(100,K222/'Input &amp; Settings'!$B$9*100),""))</f>
        <v/>
      </c>
      <c r="V222" s="37" t="str">
        <f>IF(L222="","",IFERROR(MIN(100,L222/'Input &amp; Settings'!$B$10*100),""))</f>
        <v/>
      </c>
      <c r="W222" s="37" t="str">
        <f>IF(M222="","",IFERROR(IF(M222&lt;='Input &amp; Settings'!$B$11,100,MAX(0,100-(M222-'Input &amp; Settings'!$B$11)*20)),""))</f>
        <v/>
      </c>
      <c r="X222" s="37" t="str">
        <f>IF(N222="","",IFERROR(MIN(100,N222/'Input &amp; Settings'!$B$12*100),""))</f>
        <v/>
      </c>
      <c r="Y222" s="37" t="str">
        <f>IF(O222="","",IFERROR(MIN(100,O222/'Input &amp; Settings'!$B$13*100),""))</f>
        <v/>
      </c>
      <c r="Z222" s="37" t="str">
        <f>IF(P222="","",IFERROR(IF(P222&lt;='Input &amp; Settings'!$B$14,100,MAX(0,100-(P222-'Input &amp; Settings'!$B$14)*20)),""))</f>
        <v/>
      </c>
      <c r="AA222" s="37" t="str">
        <f>IF(COUNTA(G222:P222)=0,"",ROUND(Q222*'Input &amp; Settings'!$C$5+R222*'Input &amp; Settings'!$C$6+S222*'Input &amp; Settings'!$C$7+T222*'Input &amp; Settings'!$C$8+U222*'Input &amp; Settings'!$C$9+V222*'Input &amp; Settings'!$C$10+W222*'Input &amp; Settings'!$C$11+X222*'Input &amp; Settings'!$C$12+Y222*'Input &amp; Settings'!$C$13+Z222*'Input &amp; Settings'!$C$14,1))</f>
        <v/>
      </c>
      <c r="AB222" s="38" t="str">
        <f>IF(OR(AA222="",E222=""),"",IFERROR(IF(AA222&gt;=VLOOKUP(E222,'Input &amp; Settings'!$F$5:$K$10,3,FALSE),"Outstanding",IF(AA222&gt;=VLOOKUP(E222,'Input &amp; Settings'!$F$5:$K$10,4,FALSE),"Exceeds Expectations",IF(AA222&gt;=VLOOKUP(E222,'Input &amp; Settings'!$F$5:$K$10,5,FALSE),"Meets Expectations",IF(AA222&gt;=VLOOKUP(E222,'Input &amp; Settings'!$F$5:$K$10,6,FALSE),"Needs Improvement","Performance Improvement Required")))),""))</f>
        <v/>
      </c>
      <c r="AC222" s="38" t="str">
        <f t="shared" si="12"/>
        <v/>
      </c>
      <c r="AD222" s="39"/>
      <c r="AE222" s="40"/>
      <c r="AF222" s="41" t="str">
        <f t="shared" si="13"/>
        <v/>
      </c>
      <c r="AG222" s="42" t="str">
        <f t="shared" si="14"/>
        <v/>
      </c>
      <c r="AH222" s="42" t="str">
        <f t="shared" si="15"/>
        <v>Alvaro Hernandez|June</v>
      </c>
    </row>
    <row r="223" spans="1:34" hidden="1">
      <c r="A223" s="32">
        <v>2026</v>
      </c>
      <c r="B223" s="32" t="s">
        <v>85</v>
      </c>
      <c r="C223" s="32" t="s">
        <v>36</v>
      </c>
      <c r="D223" s="32" t="s">
        <v>47</v>
      </c>
      <c r="E223" s="33"/>
      <c r="F223" s="34" t="str">
        <f>IF(E223="","",IFERROR(VLOOKUP(E223,'Input &amp; Settings'!$F$5:$G$10,2,FALSE),""))</f>
        <v/>
      </c>
      <c r="G223" s="33"/>
      <c r="H223" s="33"/>
      <c r="I223" s="35"/>
      <c r="J223" s="33"/>
      <c r="K223" s="36"/>
      <c r="L223" s="35"/>
      <c r="M223" s="33"/>
      <c r="N223" s="33"/>
      <c r="O223" s="33"/>
      <c r="P223" s="33"/>
      <c r="Q223" s="37" t="str">
        <f>IF(G223="","",IFERROR(MIN(100,G223/'Input &amp; Settings'!$B$5*100),""))</f>
        <v/>
      </c>
      <c r="R223" s="37" t="str">
        <f>IF(H223="","",IFERROR(MIN(100,H223/'Input &amp; Settings'!$B$6*100),""))</f>
        <v/>
      </c>
      <c r="S223" s="37" t="str">
        <f>IF(I223="","",IFERROR(MIN(100,I223/'Input &amp; Settings'!$B$7*100),""))</f>
        <v/>
      </c>
      <c r="T223" s="37" t="str">
        <f>IF(J223="","",IFERROR(MIN(100,J223/'Input &amp; Settings'!$B$8*100),""))</f>
        <v/>
      </c>
      <c r="U223" s="37" t="str">
        <f>IF(K223="","",IFERROR(MIN(100,K223/'Input &amp; Settings'!$B$9*100),""))</f>
        <v/>
      </c>
      <c r="V223" s="37" t="str">
        <f>IF(L223="","",IFERROR(MIN(100,L223/'Input &amp; Settings'!$B$10*100),""))</f>
        <v/>
      </c>
      <c r="W223" s="37" t="str">
        <f>IF(M223="","",IFERROR(IF(M223&lt;='Input &amp; Settings'!$B$11,100,MAX(0,100-(M223-'Input &amp; Settings'!$B$11)*20)),""))</f>
        <v/>
      </c>
      <c r="X223" s="37" t="str">
        <f>IF(N223="","",IFERROR(MIN(100,N223/'Input &amp; Settings'!$B$12*100),""))</f>
        <v/>
      </c>
      <c r="Y223" s="37" t="str">
        <f>IF(O223="","",IFERROR(MIN(100,O223/'Input &amp; Settings'!$B$13*100),""))</f>
        <v/>
      </c>
      <c r="Z223" s="37" t="str">
        <f>IF(P223="","",IFERROR(IF(P223&lt;='Input &amp; Settings'!$B$14,100,MAX(0,100-(P223-'Input &amp; Settings'!$B$14)*20)),""))</f>
        <v/>
      </c>
      <c r="AA223" s="37" t="str">
        <f>IF(COUNTA(G223:P223)=0,"",ROUND(Q223*'Input &amp; Settings'!$C$5+R223*'Input &amp; Settings'!$C$6+S223*'Input &amp; Settings'!$C$7+T223*'Input &amp; Settings'!$C$8+U223*'Input &amp; Settings'!$C$9+V223*'Input &amp; Settings'!$C$10+W223*'Input &amp; Settings'!$C$11+X223*'Input &amp; Settings'!$C$12+Y223*'Input &amp; Settings'!$C$13+Z223*'Input &amp; Settings'!$C$14,1))</f>
        <v/>
      </c>
      <c r="AB223" s="38" t="str">
        <f>IF(OR(AA223="",E223=""),"",IFERROR(IF(AA223&gt;=VLOOKUP(E223,'Input &amp; Settings'!$F$5:$K$10,3,FALSE),"Outstanding",IF(AA223&gt;=VLOOKUP(E223,'Input &amp; Settings'!$F$5:$K$10,4,FALSE),"Exceeds Expectations",IF(AA223&gt;=VLOOKUP(E223,'Input &amp; Settings'!$F$5:$K$10,5,FALSE),"Meets Expectations",IF(AA223&gt;=VLOOKUP(E223,'Input &amp; Settings'!$F$5:$K$10,6,FALSE),"Needs Improvement","Performance Improvement Required")))),""))</f>
        <v/>
      </c>
      <c r="AC223" s="38" t="str">
        <f t="shared" si="12"/>
        <v/>
      </c>
      <c r="AD223" s="39"/>
      <c r="AE223" s="40"/>
      <c r="AF223" s="41" t="str">
        <f t="shared" si="13"/>
        <v/>
      </c>
      <c r="AG223" s="42" t="str">
        <f t="shared" si="14"/>
        <v/>
      </c>
      <c r="AH223" s="42" t="str">
        <f t="shared" si="15"/>
        <v>Sarah Clervil|June</v>
      </c>
    </row>
    <row r="224" spans="1:34" hidden="1">
      <c r="A224" s="32">
        <v>2026</v>
      </c>
      <c r="B224" s="32" t="s">
        <v>85</v>
      </c>
      <c r="C224" s="32" t="s">
        <v>36</v>
      </c>
      <c r="D224" s="32" t="s">
        <v>48</v>
      </c>
      <c r="E224" s="33"/>
      <c r="F224" s="34" t="str">
        <f>IF(E224="","",IFERROR(VLOOKUP(E224,'Input &amp; Settings'!$F$5:$G$10,2,FALSE),""))</f>
        <v/>
      </c>
      <c r="G224" s="33"/>
      <c r="H224" s="33"/>
      <c r="I224" s="35"/>
      <c r="J224" s="33"/>
      <c r="K224" s="36"/>
      <c r="L224" s="35"/>
      <c r="M224" s="33"/>
      <c r="N224" s="33"/>
      <c r="O224" s="33"/>
      <c r="P224" s="33"/>
      <c r="Q224" s="37" t="str">
        <f>IF(G224="","",IFERROR(MIN(100,G224/'Input &amp; Settings'!$B$5*100),""))</f>
        <v/>
      </c>
      <c r="R224" s="37" t="str">
        <f>IF(H224="","",IFERROR(MIN(100,H224/'Input &amp; Settings'!$B$6*100),""))</f>
        <v/>
      </c>
      <c r="S224" s="37" t="str">
        <f>IF(I224="","",IFERROR(MIN(100,I224/'Input &amp; Settings'!$B$7*100),""))</f>
        <v/>
      </c>
      <c r="T224" s="37" t="str">
        <f>IF(J224="","",IFERROR(MIN(100,J224/'Input &amp; Settings'!$B$8*100),""))</f>
        <v/>
      </c>
      <c r="U224" s="37" t="str">
        <f>IF(K224="","",IFERROR(MIN(100,K224/'Input &amp; Settings'!$B$9*100),""))</f>
        <v/>
      </c>
      <c r="V224" s="37" t="str">
        <f>IF(L224="","",IFERROR(MIN(100,L224/'Input &amp; Settings'!$B$10*100),""))</f>
        <v/>
      </c>
      <c r="W224" s="37" t="str">
        <f>IF(M224="","",IFERROR(IF(M224&lt;='Input &amp; Settings'!$B$11,100,MAX(0,100-(M224-'Input &amp; Settings'!$B$11)*20)),""))</f>
        <v/>
      </c>
      <c r="X224" s="37" t="str">
        <f>IF(N224="","",IFERROR(MIN(100,N224/'Input &amp; Settings'!$B$12*100),""))</f>
        <v/>
      </c>
      <c r="Y224" s="37" t="str">
        <f>IF(O224="","",IFERROR(MIN(100,O224/'Input &amp; Settings'!$B$13*100),""))</f>
        <v/>
      </c>
      <c r="Z224" s="37" t="str">
        <f>IF(P224="","",IFERROR(IF(P224&lt;='Input &amp; Settings'!$B$14,100,MAX(0,100-(P224-'Input &amp; Settings'!$B$14)*20)),""))</f>
        <v/>
      </c>
      <c r="AA224" s="37" t="str">
        <f>IF(COUNTA(G224:P224)=0,"",ROUND(Q224*'Input &amp; Settings'!$C$5+R224*'Input &amp; Settings'!$C$6+S224*'Input &amp; Settings'!$C$7+T224*'Input &amp; Settings'!$C$8+U224*'Input &amp; Settings'!$C$9+V224*'Input &amp; Settings'!$C$10+W224*'Input &amp; Settings'!$C$11+X224*'Input &amp; Settings'!$C$12+Y224*'Input &amp; Settings'!$C$13+Z224*'Input &amp; Settings'!$C$14,1))</f>
        <v/>
      </c>
      <c r="AB224" s="38" t="str">
        <f>IF(OR(AA224="",E224=""),"",IFERROR(IF(AA224&gt;=VLOOKUP(E224,'Input &amp; Settings'!$F$5:$K$10,3,FALSE),"Outstanding",IF(AA224&gt;=VLOOKUP(E224,'Input &amp; Settings'!$F$5:$K$10,4,FALSE),"Exceeds Expectations",IF(AA224&gt;=VLOOKUP(E224,'Input &amp; Settings'!$F$5:$K$10,5,FALSE),"Meets Expectations",IF(AA224&gt;=VLOOKUP(E224,'Input &amp; Settings'!$F$5:$K$10,6,FALSE),"Needs Improvement","Performance Improvement Required")))),""))</f>
        <v/>
      </c>
      <c r="AC224" s="38" t="str">
        <f t="shared" si="12"/>
        <v/>
      </c>
      <c r="AD224" s="39"/>
      <c r="AE224" s="40"/>
      <c r="AF224" s="41" t="str">
        <f t="shared" si="13"/>
        <v/>
      </c>
      <c r="AG224" s="42" t="str">
        <f t="shared" si="14"/>
        <v/>
      </c>
      <c r="AH224" s="42" t="str">
        <f t="shared" si="15"/>
        <v>Christopher Ovid|June</v>
      </c>
    </row>
    <row r="225" spans="1:34" hidden="1">
      <c r="A225" s="32">
        <v>2026</v>
      </c>
      <c r="B225" s="32" t="s">
        <v>85</v>
      </c>
      <c r="C225" s="32" t="s">
        <v>36</v>
      </c>
      <c r="D225" s="32" t="s">
        <v>49</v>
      </c>
      <c r="E225" s="33" t="s">
        <v>86</v>
      </c>
      <c r="F225" s="34" t="str">
        <f>IF(E225="","",IFERROR(VLOOKUP(E225,'Input &amp; Settings'!$F$5:$G$10,2,FALSE),""))</f>
        <v>High</v>
      </c>
      <c r="G225" s="33"/>
      <c r="H225" s="33"/>
      <c r="I225" s="35"/>
      <c r="J225" s="33"/>
      <c r="K225" s="36"/>
      <c r="L225" s="35"/>
      <c r="M225" s="33"/>
      <c r="N225" s="33"/>
      <c r="O225" s="33"/>
      <c r="P225" s="33"/>
      <c r="Q225" s="37" t="str">
        <f>IF(G225="","",IFERROR(MIN(100,G225/'Input &amp; Settings'!$B$5*100),""))</f>
        <v/>
      </c>
      <c r="R225" s="37" t="str">
        <f>IF(H225="","",IFERROR(MIN(100,H225/'Input &amp; Settings'!$B$6*100),""))</f>
        <v/>
      </c>
      <c r="S225" s="37" t="str">
        <f>IF(I225="","",IFERROR(MIN(100,I225/'Input &amp; Settings'!$B$7*100),""))</f>
        <v/>
      </c>
      <c r="T225" s="37" t="str">
        <f>IF(J225="","",IFERROR(MIN(100,J225/'Input &amp; Settings'!$B$8*100),""))</f>
        <v/>
      </c>
      <c r="U225" s="37" t="str">
        <f>IF(K225="","",IFERROR(MIN(100,K225/'Input &amp; Settings'!$B$9*100),""))</f>
        <v/>
      </c>
      <c r="V225" s="37" t="str">
        <f>IF(L225="","",IFERROR(MIN(100,L225/'Input &amp; Settings'!$B$10*100),""))</f>
        <v/>
      </c>
      <c r="W225" s="37" t="str">
        <f>IF(M225="","",IFERROR(IF(M225&lt;='Input &amp; Settings'!$B$11,100,MAX(0,100-(M225-'Input &amp; Settings'!$B$11)*20)),""))</f>
        <v/>
      </c>
      <c r="X225" s="37" t="str">
        <f>IF(N225="","",IFERROR(MIN(100,N225/'Input &amp; Settings'!$B$12*100),""))</f>
        <v/>
      </c>
      <c r="Y225" s="37" t="str">
        <f>IF(O225="","",IFERROR(MIN(100,O225/'Input &amp; Settings'!$B$13*100),""))</f>
        <v/>
      </c>
      <c r="Z225" s="37" t="str">
        <f>IF(P225="","",IFERROR(IF(P225&lt;='Input &amp; Settings'!$B$14,100,MAX(0,100-(P225-'Input &amp; Settings'!$B$14)*20)),""))</f>
        <v/>
      </c>
      <c r="AA225" s="37" t="str">
        <f>IF(COUNTA(G225:P225)=0,"",ROUND(Q225*'Input &amp; Settings'!$C$5+R225*'Input &amp; Settings'!$C$6+S225*'Input &amp; Settings'!$C$7+T225*'Input &amp; Settings'!$C$8+U225*'Input &amp; Settings'!$C$9+V225*'Input &amp; Settings'!$C$10+W225*'Input &amp; Settings'!$C$11+X225*'Input &amp; Settings'!$C$12+Y225*'Input &amp; Settings'!$C$13+Z225*'Input &amp; Settings'!$C$14,1))</f>
        <v/>
      </c>
      <c r="AB225" s="38" t="str">
        <f>IF(OR(AA225="",E225=""),"",IFERROR(IF(AA225&gt;=VLOOKUP(E225,'Input &amp; Settings'!$F$5:$K$10,3,FALSE),"Outstanding",IF(AA225&gt;=VLOOKUP(E225,'Input &amp; Settings'!$F$5:$K$10,4,FALSE),"Exceeds Expectations",IF(AA225&gt;=VLOOKUP(E225,'Input &amp; Settings'!$F$5:$K$10,5,FALSE),"Meets Expectations",IF(AA225&gt;=VLOOKUP(E225,'Input &amp; Settings'!$F$5:$K$10,6,FALSE),"Needs Improvement","Performance Improvement Required")))),""))</f>
        <v/>
      </c>
      <c r="AC225" s="38" t="str">
        <f t="shared" si="12"/>
        <v/>
      </c>
      <c r="AD225" s="39"/>
      <c r="AE225" s="40"/>
      <c r="AF225" s="41" t="str">
        <f t="shared" si="13"/>
        <v/>
      </c>
      <c r="AG225" s="42" t="str">
        <f t="shared" si="14"/>
        <v/>
      </c>
      <c r="AH225" s="42" t="str">
        <f t="shared" si="15"/>
        <v>Rafael Godinez|June</v>
      </c>
    </row>
    <row r="226" spans="1:34" hidden="1">
      <c r="A226" s="32">
        <v>2026</v>
      </c>
      <c r="B226" s="32" t="s">
        <v>85</v>
      </c>
      <c r="C226" s="32" t="s">
        <v>36</v>
      </c>
      <c r="D226" s="32" t="s">
        <v>50</v>
      </c>
      <c r="E226" s="33" t="s">
        <v>87</v>
      </c>
      <c r="F226" s="34" t="str">
        <f>IF(E226="","",IFERROR(VLOOKUP(E226,'Input &amp; Settings'!$F$5:$G$10,2,FALSE),""))</f>
        <v>Normal</v>
      </c>
      <c r="G226" s="33"/>
      <c r="H226" s="33"/>
      <c r="I226" s="35"/>
      <c r="J226" s="33"/>
      <c r="K226" s="36"/>
      <c r="L226" s="35"/>
      <c r="M226" s="33"/>
      <c r="N226" s="33"/>
      <c r="O226" s="33"/>
      <c r="P226" s="33"/>
      <c r="Q226" s="37" t="str">
        <f>IF(G226="","",IFERROR(MIN(100,G226/'Input &amp; Settings'!$B$5*100),""))</f>
        <v/>
      </c>
      <c r="R226" s="37" t="str">
        <f>IF(H226="","",IFERROR(MIN(100,H226/'Input &amp; Settings'!$B$6*100),""))</f>
        <v/>
      </c>
      <c r="S226" s="37" t="str">
        <f>IF(I226="","",IFERROR(MIN(100,I226/'Input &amp; Settings'!$B$7*100),""))</f>
        <v/>
      </c>
      <c r="T226" s="37" t="str">
        <f>IF(J226="","",IFERROR(MIN(100,J226/'Input &amp; Settings'!$B$8*100),""))</f>
        <v/>
      </c>
      <c r="U226" s="37" t="str">
        <f>IF(K226="","",IFERROR(MIN(100,K226/'Input &amp; Settings'!$B$9*100),""))</f>
        <v/>
      </c>
      <c r="V226" s="37" t="str">
        <f>IF(L226="","",IFERROR(MIN(100,L226/'Input &amp; Settings'!$B$10*100),""))</f>
        <v/>
      </c>
      <c r="W226" s="37" t="str">
        <f>IF(M226="","",IFERROR(IF(M226&lt;='Input &amp; Settings'!$B$11,100,MAX(0,100-(M226-'Input &amp; Settings'!$B$11)*20)),""))</f>
        <v/>
      </c>
      <c r="X226" s="37" t="str">
        <f>IF(N226="","",IFERROR(MIN(100,N226/'Input &amp; Settings'!$B$12*100),""))</f>
        <v/>
      </c>
      <c r="Y226" s="37" t="str">
        <f>IF(O226="","",IFERROR(MIN(100,O226/'Input &amp; Settings'!$B$13*100),""))</f>
        <v/>
      </c>
      <c r="Z226" s="37" t="str">
        <f>IF(P226="","",IFERROR(IF(P226&lt;='Input &amp; Settings'!$B$14,100,MAX(0,100-(P226-'Input &amp; Settings'!$B$14)*20)),""))</f>
        <v/>
      </c>
      <c r="AA226" s="37" t="str">
        <f>IF(COUNTA(G226:P226)=0,"",ROUND(Q226*'Input &amp; Settings'!$C$5+R226*'Input &amp; Settings'!$C$6+S226*'Input &amp; Settings'!$C$7+T226*'Input &amp; Settings'!$C$8+U226*'Input &amp; Settings'!$C$9+V226*'Input &amp; Settings'!$C$10+W226*'Input &amp; Settings'!$C$11+X226*'Input &amp; Settings'!$C$12+Y226*'Input &amp; Settings'!$C$13+Z226*'Input &amp; Settings'!$C$14,1))</f>
        <v/>
      </c>
      <c r="AB226" s="38" t="str">
        <f>IF(OR(AA226="",E226=""),"",IFERROR(IF(AA226&gt;=VLOOKUP(E226,'Input &amp; Settings'!$F$5:$K$10,3,FALSE),"Outstanding",IF(AA226&gt;=VLOOKUP(E226,'Input &amp; Settings'!$F$5:$K$10,4,FALSE),"Exceeds Expectations",IF(AA226&gt;=VLOOKUP(E226,'Input &amp; Settings'!$F$5:$K$10,5,FALSE),"Meets Expectations",IF(AA226&gt;=VLOOKUP(E226,'Input &amp; Settings'!$F$5:$K$10,6,FALSE),"Needs Improvement","Performance Improvement Required")))),""))</f>
        <v/>
      </c>
      <c r="AC226" s="38" t="str">
        <f t="shared" si="12"/>
        <v/>
      </c>
      <c r="AD226" s="39"/>
      <c r="AE226" s="40"/>
      <c r="AF226" s="41" t="str">
        <f t="shared" si="13"/>
        <v/>
      </c>
      <c r="AG226" s="42" t="str">
        <f t="shared" si="14"/>
        <v/>
      </c>
      <c r="AH226" s="42" t="str">
        <f t="shared" si="15"/>
        <v>Dennis Mayorga|June</v>
      </c>
    </row>
    <row r="227" spans="1:34" hidden="1">
      <c r="A227" s="32">
        <v>2026</v>
      </c>
      <c r="B227" s="32" t="s">
        <v>85</v>
      </c>
      <c r="C227" s="32" t="s">
        <v>36</v>
      </c>
      <c r="D227" s="32" t="s">
        <v>51</v>
      </c>
      <c r="E227" s="33" t="s">
        <v>88</v>
      </c>
      <c r="F227" s="34" t="str">
        <f>IF(E227="","",IFERROR(VLOOKUP(E227,'Input &amp; Settings'!$F$5:$G$10,2,FALSE),""))</f>
        <v>Normal</v>
      </c>
      <c r="G227" s="33"/>
      <c r="H227" s="33"/>
      <c r="I227" s="35"/>
      <c r="J227" s="33"/>
      <c r="K227" s="36"/>
      <c r="L227" s="35"/>
      <c r="M227" s="33"/>
      <c r="N227" s="33"/>
      <c r="O227" s="33"/>
      <c r="P227" s="33"/>
      <c r="Q227" s="37" t="str">
        <f>IF(G227="","",IFERROR(MIN(100,G227/'Input &amp; Settings'!$B$5*100),""))</f>
        <v/>
      </c>
      <c r="R227" s="37" t="str">
        <f>IF(H227="","",IFERROR(MIN(100,H227/'Input &amp; Settings'!$B$6*100),""))</f>
        <v/>
      </c>
      <c r="S227" s="37" t="str">
        <f>IF(I227="","",IFERROR(MIN(100,I227/'Input &amp; Settings'!$B$7*100),""))</f>
        <v/>
      </c>
      <c r="T227" s="37" t="str">
        <f>IF(J227="","",IFERROR(MIN(100,J227/'Input &amp; Settings'!$B$8*100),""))</f>
        <v/>
      </c>
      <c r="U227" s="37" t="str">
        <f>IF(K227="","",IFERROR(MIN(100,K227/'Input &amp; Settings'!$B$9*100),""))</f>
        <v/>
      </c>
      <c r="V227" s="37" t="str">
        <f>IF(L227="","",IFERROR(MIN(100,L227/'Input &amp; Settings'!$B$10*100),""))</f>
        <v/>
      </c>
      <c r="W227" s="37" t="str">
        <f>IF(M227="","",IFERROR(IF(M227&lt;='Input &amp; Settings'!$B$11,100,MAX(0,100-(M227-'Input &amp; Settings'!$B$11)*20)),""))</f>
        <v/>
      </c>
      <c r="X227" s="37" t="str">
        <f>IF(N227="","",IFERROR(MIN(100,N227/'Input &amp; Settings'!$B$12*100),""))</f>
        <v/>
      </c>
      <c r="Y227" s="37" t="str">
        <f>IF(O227="","",IFERROR(MIN(100,O227/'Input &amp; Settings'!$B$13*100),""))</f>
        <v/>
      </c>
      <c r="Z227" s="37" t="str">
        <f>IF(P227="","",IFERROR(IF(P227&lt;='Input &amp; Settings'!$B$14,100,MAX(0,100-(P227-'Input &amp; Settings'!$B$14)*20)),""))</f>
        <v/>
      </c>
      <c r="AA227" s="37" t="str">
        <f>IF(COUNTA(G227:P227)=0,"",ROUND(Q227*'Input &amp; Settings'!$C$5+R227*'Input &amp; Settings'!$C$6+S227*'Input &amp; Settings'!$C$7+T227*'Input &amp; Settings'!$C$8+U227*'Input &amp; Settings'!$C$9+V227*'Input &amp; Settings'!$C$10+W227*'Input &amp; Settings'!$C$11+X227*'Input &amp; Settings'!$C$12+Y227*'Input &amp; Settings'!$C$13+Z227*'Input &amp; Settings'!$C$14,1))</f>
        <v/>
      </c>
      <c r="AB227" s="38" t="str">
        <f>IF(OR(AA227="",E227=""),"",IFERROR(IF(AA227&gt;=VLOOKUP(E227,'Input &amp; Settings'!$F$5:$K$10,3,FALSE),"Outstanding",IF(AA227&gt;=VLOOKUP(E227,'Input &amp; Settings'!$F$5:$K$10,4,FALSE),"Exceeds Expectations",IF(AA227&gt;=VLOOKUP(E227,'Input &amp; Settings'!$F$5:$K$10,5,FALSE),"Meets Expectations",IF(AA227&gt;=VLOOKUP(E227,'Input &amp; Settings'!$F$5:$K$10,6,FALSE),"Needs Improvement","Performance Improvement Required")))),""))</f>
        <v/>
      </c>
      <c r="AC227" s="38" t="str">
        <f t="shared" si="12"/>
        <v/>
      </c>
      <c r="AD227" s="39"/>
      <c r="AE227" s="40"/>
      <c r="AF227" s="41" t="str">
        <f t="shared" si="13"/>
        <v/>
      </c>
      <c r="AG227" s="42" t="str">
        <f t="shared" si="14"/>
        <v/>
      </c>
      <c r="AH227" s="42" t="str">
        <f t="shared" si="15"/>
        <v>Jose Reyes-Navolskyi (Ivan)|June</v>
      </c>
    </row>
    <row r="228" spans="1:34" hidden="1">
      <c r="A228" s="32">
        <v>2026</v>
      </c>
      <c r="B228" s="32" t="s">
        <v>85</v>
      </c>
      <c r="C228" s="32" t="s">
        <v>36</v>
      </c>
      <c r="D228" s="32" t="s">
        <v>52</v>
      </c>
      <c r="E228" s="33"/>
      <c r="F228" s="34" t="str">
        <f>IF(E228="","",IFERROR(VLOOKUP(E228,'Input &amp; Settings'!$F$5:$G$10,2,FALSE),""))</f>
        <v/>
      </c>
      <c r="G228" s="33"/>
      <c r="H228" s="33"/>
      <c r="I228" s="35"/>
      <c r="J228" s="33"/>
      <c r="K228" s="36"/>
      <c r="L228" s="35"/>
      <c r="M228" s="33"/>
      <c r="N228" s="33"/>
      <c r="O228" s="33"/>
      <c r="P228" s="33"/>
      <c r="Q228" s="37" t="str">
        <f>IF(G228="","",IFERROR(MIN(100,G228/'Input &amp; Settings'!$B$5*100),""))</f>
        <v/>
      </c>
      <c r="R228" s="37" t="str">
        <f>IF(H228="","",IFERROR(MIN(100,H228/'Input &amp; Settings'!$B$6*100),""))</f>
        <v/>
      </c>
      <c r="S228" s="37" t="str">
        <f>IF(I228="","",IFERROR(MIN(100,I228/'Input &amp; Settings'!$B$7*100),""))</f>
        <v/>
      </c>
      <c r="T228" s="37" t="str">
        <f>IF(J228="","",IFERROR(MIN(100,J228/'Input &amp; Settings'!$B$8*100),""))</f>
        <v/>
      </c>
      <c r="U228" s="37" t="str">
        <f>IF(K228="","",IFERROR(MIN(100,K228/'Input &amp; Settings'!$B$9*100),""))</f>
        <v/>
      </c>
      <c r="V228" s="37" t="str">
        <f>IF(L228="","",IFERROR(MIN(100,L228/'Input &amp; Settings'!$B$10*100),""))</f>
        <v/>
      </c>
      <c r="W228" s="37" t="str">
        <f>IF(M228="","",IFERROR(IF(M228&lt;='Input &amp; Settings'!$B$11,100,MAX(0,100-(M228-'Input &amp; Settings'!$B$11)*20)),""))</f>
        <v/>
      </c>
      <c r="X228" s="37" t="str">
        <f>IF(N228="","",IFERROR(MIN(100,N228/'Input &amp; Settings'!$B$12*100),""))</f>
        <v/>
      </c>
      <c r="Y228" s="37" t="str">
        <f>IF(O228="","",IFERROR(MIN(100,O228/'Input &amp; Settings'!$B$13*100),""))</f>
        <v/>
      </c>
      <c r="Z228" s="37" t="str">
        <f>IF(P228="","",IFERROR(IF(P228&lt;='Input &amp; Settings'!$B$14,100,MAX(0,100-(P228-'Input &amp; Settings'!$B$14)*20)),""))</f>
        <v/>
      </c>
      <c r="AA228" s="37" t="str">
        <f>IF(COUNTA(G228:P228)=0,"",ROUND(Q228*'Input &amp; Settings'!$C$5+R228*'Input &amp; Settings'!$C$6+S228*'Input &amp; Settings'!$C$7+T228*'Input &amp; Settings'!$C$8+U228*'Input &amp; Settings'!$C$9+V228*'Input &amp; Settings'!$C$10+W228*'Input &amp; Settings'!$C$11+X228*'Input &amp; Settings'!$C$12+Y228*'Input &amp; Settings'!$C$13+Z228*'Input &amp; Settings'!$C$14,1))</f>
        <v/>
      </c>
      <c r="AB228" s="38" t="str">
        <f>IF(OR(AA228="",E228=""),"",IFERROR(IF(AA228&gt;=VLOOKUP(E228,'Input &amp; Settings'!$F$5:$K$10,3,FALSE),"Outstanding",IF(AA228&gt;=VLOOKUP(E228,'Input &amp; Settings'!$F$5:$K$10,4,FALSE),"Exceeds Expectations",IF(AA228&gt;=VLOOKUP(E228,'Input &amp; Settings'!$F$5:$K$10,5,FALSE),"Meets Expectations",IF(AA228&gt;=VLOOKUP(E228,'Input &amp; Settings'!$F$5:$K$10,6,FALSE),"Needs Improvement","Performance Improvement Required")))),""))</f>
        <v/>
      </c>
      <c r="AC228" s="38" t="str">
        <f t="shared" si="12"/>
        <v/>
      </c>
      <c r="AD228" s="39"/>
      <c r="AE228" s="40"/>
      <c r="AF228" s="41" t="str">
        <f t="shared" si="13"/>
        <v/>
      </c>
      <c r="AG228" s="42" t="str">
        <f t="shared" si="14"/>
        <v/>
      </c>
      <c r="AH228" s="42" t="str">
        <f t="shared" si="15"/>
        <v>Jonathan Davila|June</v>
      </c>
    </row>
    <row r="229" spans="1:34" hidden="1">
      <c r="A229" s="32">
        <v>2026</v>
      </c>
      <c r="B229" s="32" t="s">
        <v>85</v>
      </c>
      <c r="C229" s="32" t="s">
        <v>53</v>
      </c>
      <c r="D229" s="32" t="s">
        <v>54</v>
      </c>
      <c r="E229" s="33" t="s">
        <v>89</v>
      </c>
      <c r="F229" s="34" t="str">
        <f>IF(E229="","",IFERROR(VLOOKUP(E229,'Input &amp; Settings'!$F$5:$G$10,2,FALSE),""))</f>
        <v>Low</v>
      </c>
      <c r="G229" s="33"/>
      <c r="H229" s="33"/>
      <c r="I229" s="35"/>
      <c r="J229" s="33"/>
      <c r="K229" s="36"/>
      <c r="L229" s="35"/>
      <c r="M229" s="33"/>
      <c r="N229" s="33"/>
      <c r="O229" s="33"/>
      <c r="P229" s="33"/>
      <c r="Q229" s="37" t="str">
        <f>IF(G229="","",IFERROR(MIN(100,G229/'Input &amp; Settings'!$B$5*100),""))</f>
        <v/>
      </c>
      <c r="R229" s="37" t="str">
        <f>IF(H229="","",IFERROR(MIN(100,H229/'Input &amp; Settings'!$B$6*100),""))</f>
        <v/>
      </c>
      <c r="S229" s="37" t="str">
        <f>IF(I229="","",IFERROR(MIN(100,I229/'Input &amp; Settings'!$B$7*100),""))</f>
        <v/>
      </c>
      <c r="T229" s="37" t="str">
        <f>IF(J229="","",IFERROR(MIN(100,J229/'Input &amp; Settings'!$B$8*100),""))</f>
        <v/>
      </c>
      <c r="U229" s="37" t="str">
        <f>IF(K229="","",IFERROR(MIN(100,K229/'Input &amp; Settings'!$B$9*100),""))</f>
        <v/>
      </c>
      <c r="V229" s="37" t="str">
        <f>IF(L229="","",IFERROR(MIN(100,L229/'Input &amp; Settings'!$B$10*100),""))</f>
        <v/>
      </c>
      <c r="W229" s="37" t="str">
        <f>IF(M229="","",IFERROR(IF(M229&lt;='Input &amp; Settings'!$B$11,100,MAX(0,100-(M229-'Input &amp; Settings'!$B$11)*20)),""))</f>
        <v/>
      </c>
      <c r="X229" s="37" t="str">
        <f>IF(N229="","",IFERROR(MIN(100,N229/'Input &amp; Settings'!$B$12*100),""))</f>
        <v/>
      </c>
      <c r="Y229" s="37" t="str">
        <f>IF(O229="","",IFERROR(MIN(100,O229/'Input &amp; Settings'!$B$13*100),""))</f>
        <v/>
      </c>
      <c r="Z229" s="37" t="str">
        <f>IF(P229="","",IFERROR(IF(P229&lt;='Input &amp; Settings'!$B$14,100,MAX(0,100-(P229-'Input &amp; Settings'!$B$14)*20)),""))</f>
        <v/>
      </c>
      <c r="AA229" s="37" t="str">
        <f>IF(COUNTA(G229:P229)=0,"",ROUND(Q229*'Input &amp; Settings'!$C$5+R229*'Input &amp; Settings'!$C$6+S229*'Input &amp; Settings'!$C$7+T229*'Input &amp; Settings'!$C$8+U229*'Input &amp; Settings'!$C$9+V229*'Input &amp; Settings'!$C$10+W229*'Input &amp; Settings'!$C$11+X229*'Input &amp; Settings'!$C$12+Y229*'Input &amp; Settings'!$C$13+Z229*'Input &amp; Settings'!$C$14,1))</f>
        <v/>
      </c>
      <c r="AB229" s="38" t="str">
        <f>IF(OR(AA229="",E229=""),"",IFERROR(IF(AA229&gt;=VLOOKUP(E229,'Input &amp; Settings'!$F$5:$K$10,3,FALSE),"Outstanding",IF(AA229&gt;=VLOOKUP(E229,'Input &amp; Settings'!$F$5:$K$10,4,FALSE),"Exceeds Expectations",IF(AA229&gt;=VLOOKUP(E229,'Input &amp; Settings'!$F$5:$K$10,5,FALSE),"Meets Expectations",IF(AA229&gt;=VLOOKUP(E229,'Input &amp; Settings'!$F$5:$K$10,6,FALSE),"Needs Improvement","Performance Improvement Required")))),""))</f>
        <v/>
      </c>
      <c r="AC229" s="38" t="str">
        <f t="shared" si="12"/>
        <v/>
      </c>
      <c r="AD229" s="39"/>
      <c r="AE229" s="40"/>
      <c r="AF229" s="41" t="str">
        <f t="shared" si="13"/>
        <v/>
      </c>
      <c r="AG229" s="42" t="str">
        <f t="shared" si="14"/>
        <v/>
      </c>
      <c r="AH229" s="42" t="str">
        <f t="shared" si="15"/>
        <v>Kevin Luburd|June</v>
      </c>
    </row>
    <row r="230" spans="1:34" hidden="1">
      <c r="A230" s="32">
        <v>2026</v>
      </c>
      <c r="B230" s="32" t="s">
        <v>85</v>
      </c>
      <c r="C230" s="32" t="s">
        <v>53</v>
      </c>
      <c r="D230" s="32" t="s">
        <v>55</v>
      </c>
      <c r="E230" s="33" t="s">
        <v>86</v>
      </c>
      <c r="F230" s="34" t="str">
        <f>IF(E230="","",IFERROR(VLOOKUP(E230,'Input &amp; Settings'!$F$5:$G$10,2,FALSE),""))</f>
        <v>High</v>
      </c>
      <c r="G230" s="33">
        <v>19</v>
      </c>
      <c r="H230" s="33">
        <v>2</v>
      </c>
      <c r="I230" s="35">
        <v>1</v>
      </c>
      <c r="J230" s="33">
        <v>2</v>
      </c>
      <c r="K230" s="36">
        <v>5</v>
      </c>
      <c r="L230" s="35">
        <v>0.8</v>
      </c>
      <c r="M230" s="33">
        <v>4</v>
      </c>
      <c r="N230" s="33">
        <v>0</v>
      </c>
      <c r="O230" s="33">
        <v>0</v>
      </c>
      <c r="P230" s="33">
        <v>10</v>
      </c>
      <c r="Q230" s="37">
        <f>IF(G230="","",IFERROR(MIN(100,G230/'Input &amp; Settings'!$B$5*100),""))</f>
        <v>25.333333333333336</v>
      </c>
      <c r="R230" s="37">
        <f>IF(H230="","",IFERROR(MIN(100,H230/'Input &amp; Settings'!$B$6*100),""))</f>
        <v>2.5</v>
      </c>
      <c r="S230" s="37">
        <f>IF(I230="","",IFERROR(MIN(100,I230/'Input &amp; Settings'!$B$7*100),""))</f>
        <v>100</v>
      </c>
      <c r="T230" s="37">
        <f>IF(J230="","",IFERROR(MIN(100,J230/'Input &amp; Settings'!$B$8*100),""))</f>
        <v>10</v>
      </c>
      <c r="U230" s="37">
        <f>IF(K230="","",IFERROR(MIN(100,K230/'Input &amp; Settings'!$B$9*100),""))</f>
        <v>100</v>
      </c>
      <c r="V230" s="37">
        <f>IF(L230="","",IFERROR(MIN(100,L230/'Input &amp; Settings'!$B$10*100),""))</f>
        <v>84.21052631578948</v>
      </c>
      <c r="W230" s="37">
        <f>IF(M230="","",IFERROR(IF(M230&lt;='Input &amp; Settings'!$B$11,100,MAX(0,100-(M230-'Input &amp; Settings'!$B$11)*20)),""))</f>
        <v>100</v>
      </c>
      <c r="X230" s="37">
        <f>IF(N230="","",IFERROR(MIN(100,N230/'Input &amp; Settings'!$B$12*100),""))</f>
        <v>0</v>
      </c>
      <c r="Y230" s="37">
        <f>IF(O230="","",IFERROR(MIN(100,O230/'Input &amp; Settings'!$B$13*100),""))</f>
        <v>0</v>
      </c>
      <c r="Z230" s="37">
        <f>IF(P230="","",IFERROR(IF(P230&lt;='Input &amp; Settings'!$B$14,100,MAX(0,100-(P230-'Input &amp; Settings'!$B$14)*20)),""))</f>
        <v>0</v>
      </c>
      <c r="AA230" s="37">
        <f>IF(COUNTA(G230:P230)=0,"",ROUND(Q230*'Input &amp; Settings'!$C$5+R230*'Input &amp; Settings'!$C$6+S230*'Input &amp; Settings'!$C$7+T230*'Input &amp; Settings'!$C$8+U230*'Input &amp; Settings'!$C$9+V230*'Input &amp; Settings'!$C$10+W230*'Input &amp; Settings'!$C$11+X230*'Input &amp; Settings'!$C$12+Y230*'Input &amp; Settings'!$C$13+Z230*'Input &amp; Settings'!$C$14,1))</f>
        <v>43.5</v>
      </c>
      <c r="AB230" s="38" t="str">
        <f>IF(OR(AA230="",E230=""),"",IFERROR(IF(AA230&gt;=VLOOKUP(E230,'Input &amp; Settings'!$F$5:$K$10,3,FALSE),"Outstanding",IF(AA230&gt;=VLOOKUP(E230,'Input &amp; Settings'!$F$5:$K$10,4,FALSE),"Exceeds Expectations",IF(AA230&gt;=VLOOKUP(E230,'Input &amp; Settings'!$F$5:$K$10,5,FALSE),"Meets Expectations",IF(AA230&gt;=VLOOKUP(E230,'Input &amp; Settings'!$F$5:$K$10,6,FALSE),"Needs Improvement","Performance Improvement Required")))),""))</f>
        <v>Performance Improvement Required</v>
      </c>
      <c r="AC230" s="38" t="str">
        <f t="shared" si="12"/>
        <v>Entered</v>
      </c>
      <c r="AD230" s="39"/>
      <c r="AE230" s="40"/>
      <c r="AF230" s="41">
        <f t="shared" si="13"/>
        <v>43.5</v>
      </c>
      <c r="AG230" s="42" t="str">
        <f t="shared" si="14"/>
        <v>Performance Improvement Required</v>
      </c>
      <c r="AH230" s="42" t="str">
        <f t="shared" si="15"/>
        <v>Anthony Thompson|June</v>
      </c>
    </row>
    <row r="231" spans="1:34" hidden="1">
      <c r="A231" s="32">
        <v>2026</v>
      </c>
      <c r="B231" s="32" t="s">
        <v>85</v>
      </c>
      <c r="C231" s="32" t="s">
        <v>53</v>
      </c>
      <c r="D231" s="32" t="s">
        <v>56</v>
      </c>
      <c r="E231" s="33" t="s">
        <v>90</v>
      </c>
      <c r="F231" s="34" t="str">
        <f>IF(E231="","",IFERROR(VLOOKUP(E231,'Input &amp; Settings'!$F$5:$G$10,2,FALSE),""))</f>
        <v>Low</v>
      </c>
      <c r="G231" s="33">
        <v>20</v>
      </c>
      <c r="H231" s="33">
        <v>1</v>
      </c>
      <c r="I231" s="35">
        <v>1</v>
      </c>
      <c r="J231" s="33">
        <v>1</v>
      </c>
      <c r="K231" s="36">
        <v>4.5</v>
      </c>
      <c r="L231" s="35">
        <v>0.95</v>
      </c>
      <c r="M231" s="33">
        <v>0</v>
      </c>
      <c r="N231" s="33">
        <v>1</v>
      </c>
      <c r="O231" s="33">
        <v>0</v>
      </c>
      <c r="P231" s="33">
        <v>5</v>
      </c>
      <c r="Q231" s="37">
        <f>IF(G231="","",IFERROR(MIN(100,G231/'Input &amp; Settings'!$B$5*100),""))</f>
        <v>26.666666666666668</v>
      </c>
      <c r="R231" s="37">
        <f>IF(H231="","",IFERROR(MIN(100,H231/'Input &amp; Settings'!$B$6*100),""))</f>
        <v>1.25</v>
      </c>
      <c r="S231" s="37">
        <f>IF(I231="","",IFERROR(MIN(100,I231/'Input &amp; Settings'!$B$7*100),""))</f>
        <v>100</v>
      </c>
      <c r="T231" s="37">
        <f>IF(J231="","",IFERROR(MIN(100,J231/'Input &amp; Settings'!$B$8*100),""))</f>
        <v>5</v>
      </c>
      <c r="U231" s="37">
        <f>IF(K231="","",IFERROR(MIN(100,K231/'Input &amp; Settings'!$B$9*100),""))</f>
        <v>95.744680851063819</v>
      </c>
      <c r="V231" s="37">
        <f>IF(L231="","",IFERROR(MIN(100,L231/'Input &amp; Settings'!$B$10*100),""))</f>
        <v>100</v>
      </c>
      <c r="W231" s="37">
        <f>IF(M231="","",IFERROR(IF(M231&lt;='Input &amp; Settings'!$B$11,100,MAX(0,100-(M231-'Input &amp; Settings'!$B$11)*20)),""))</f>
        <v>100</v>
      </c>
      <c r="X231" s="37">
        <f>IF(N231="","",IFERROR(MIN(100,N231/'Input &amp; Settings'!$B$12*100),""))</f>
        <v>100</v>
      </c>
      <c r="Y231" s="37">
        <f>IF(O231="","",IFERROR(MIN(100,O231/'Input &amp; Settings'!$B$13*100),""))</f>
        <v>0</v>
      </c>
      <c r="Z231" s="37">
        <f>IF(P231="","",IFERROR(IF(P231&lt;='Input &amp; Settings'!$B$14,100,MAX(0,100-(P231-'Input &amp; Settings'!$B$14)*20)),""))</f>
        <v>100</v>
      </c>
      <c r="AA231" s="37">
        <f>IF(COUNTA(G231:P231)=0,"",ROUND(Q231*'Input &amp; Settings'!$C$5+R231*'Input &amp; Settings'!$C$6+S231*'Input &amp; Settings'!$C$7+T231*'Input &amp; Settings'!$C$8+U231*'Input &amp; Settings'!$C$9+V231*'Input &amp; Settings'!$C$10+W231*'Input &amp; Settings'!$C$11+X231*'Input &amp; Settings'!$C$12+Y231*'Input &amp; Settings'!$C$13+Z231*'Input &amp; Settings'!$C$14,1))</f>
        <v>64.2</v>
      </c>
      <c r="AB231" s="38" t="str">
        <f>IF(OR(AA231="",E231=""),"",IFERROR(IF(AA231&gt;=VLOOKUP(E231,'Input &amp; Settings'!$F$5:$K$10,3,FALSE),"Outstanding",IF(AA231&gt;=VLOOKUP(E231,'Input &amp; Settings'!$F$5:$K$10,4,FALSE),"Exceeds Expectations",IF(AA231&gt;=VLOOKUP(E231,'Input &amp; Settings'!$F$5:$K$10,5,FALSE),"Meets Expectations",IF(AA231&gt;=VLOOKUP(E231,'Input &amp; Settings'!$F$5:$K$10,6,FALSE),"Needs Improvement","Performance Improvement Required")))),""))</f>
        <v>Exceeds Expectations</v>
      </c>
      <c r="AC231" s="38" t="str">
        <f t="shared" si="12"/>
        <v>Entered</v>
      </c>
      <c r="AD231" s="39"/>
      <c r="AE231" s="40"/>
      <c r="AF231" s="41">
        <f t="shared" si="13"/>
        <v>64.2</v>
      </c>
      <c r="AG231" s="42" t="str">
        <f t="shared" si="14"/>
        <v>Exceeds Expectations</v>
      </c>
      <c r="AH231" s="42" t="str">
        <f t="shared" si="15"/>
        <v>Shamar Modeste|June</v>
      </c>
    </row>
    <row r="232" spans="1:34" hidden="1">
      <c r="A232" s="32">
        <v>2026</v>
      </c>
      <c r="B232" s="32" t="s">
        <v>85</v>
      </c>
      <c r="C232" s="32" t="s">
        <v>53</v>
      </c>
      <c r="D232" s="32" t="s">
        <v>57</v>
      </c>
      <c r="E232" s="33" t="s">
        <v>86</v>
      </c>
      <c r="F232" s="34" t="str">
        <f>IF(E232="","",IFERROR(VLOOKUP(E232,'Input &amp; Settings'!$F$5:$G$10,2,FALSE),""))</f>
        <v>High</v>
      </c>
      <c r="G232" s="33">
        <v>114</v>
      </c>
      <c r="H232" s="33">
        <v>35</v>
      </c>
      <c r="I232" s="35">
        <v>1</v>
      </c>
      <c r="J232" s="33">
        <v>0</v>
      </c>
      <c r="K232" s="36">
        <v>4.6900000000000004</v>
      </c>
      <c r="L232" s="35">
        <v>1</v>
      </c>
      <c r="M232" s="33">
        <v>6</v>
      </c>
      <c r="N232" s="33">
        <v>0</v>
      </c>
      <c r="O232" s="33">
        <v>1</v>
      </c>
      <c r="P232" s="33">
        <v>4</v>
      </c>
      <c r="Q232" s="37">
        <f>IF(G232="","",IFERROR(MIN(100,G232/'Input &amp; Settings'!$B$5*100),""))</f>
        <v>100</v>
      </c>
      <c r="R232" s="37">
        <f>IF(H232="","",IFERROR(MIN(100,H232/'Input &amp; Settings'!$B$6*100),""))</f>
        <v>43.75</v>
      </c>
      <c r="S232" s="37">
        <f>IF(I232="","",IFERROR(MIN(100,I232/'Input &amp; Settings'!$B$7*100),""))</f>
        <v>100</v>
      </c>
      <c r="T232" s="37">
        <f>IF(J232="","",IFERROR(MIN(100,J232/'Input &amp; Settings'!$B$8*100),""))</f>
        <v>0</v>
      </c>
      <c r="U232" s="37">
        <f>IF(K232="","",IFERROR(MIN(100,K232/'Input &amp; Settings'!$B$9*100),""))</f>
        <v>99.787234042553195</v>
      </c>
      <c r="V232" s="37">
        <f>IF(L232="","",IFERROR(MIN(100,L232/'Input &amp; Settings'!$B$10*100),""))</f>
        <v>100</v>
      </c>
      <c r="W232" s="37">
        <f>IF(M232="","",IFERROR(IF(M232&lt;='Input &amp; Settings'!$B$11,100,MAX(0,100-(M232-'Input &amp; Settings'!$B$11)*20)),""))</f>
        <v>80</v>
      </c>
      <c r="X232" s="37">
        <f>IF(N232="","",IFERROR(MIN(100,N232/'Input &amp; Settings'!$B$12*100),""))</f>
        <v>0</v>
      </c>
      <c r="Y232" s="37">
        <f>IF(O232="","",IFERROR(MIN(100,O232/'Input &amp; Settings'!$B$13*100),""))</f>
        <v>50</v>
      </c>
      <c r="Z232" s="37">
        <f>IF(P232="","",IFERROR(IF(P232&lt;='Input &amp; Settings'!$B$14,100,MAX(0,100-(P232-'Input &amp; Settings'!$B$14)*20)),""))</f>
        <v>100</v>
      </c>
      <c r="AA232" s="37">
        <f>IF(COUNTA(G232:P232)=0,"",ROUND(Q232*'Input &amp; Settings'!$C$5+R232*'Input &amp; Settings'!$C$6+S232*'Input &amp; Settings'!$C$7+T232*'Input &amp; Settings'!$C$8+U232*'Input &amp; Settings'!$C$9+V232*'Input &amp; Settings'!$C$10+W232*'Input &amp; Settings'!$C$11+X232*'Input &amp; Settings'!$C$12+Y232*'Input &amp; Settings'!$C$13+Z232*'Input &amp; Settings'!$C$14,1))</f>
        <v>74.900000000000006</v>
      </c>
      <c r="AB232" s="38" t="str">
        <f>IF(OR(AA232="",E232=""),"",IFERROR(IF(AA232&gt;=VLOOKUP(E232,'Input &amp; Settings'!$F$5:$K$10,3,FALSE),"Outstanding",IF(AA232&gt;=VLOOKUP(E232,'Input &amp; Settings'!$F$5:$K$10,4,FALSE),"Exceeds Expectations",IF(AA232&gt;=VLOOKUP(E232,'Input &amp; Settings'!$F$5:$K$10,5,FALSE),"Meets Expectations",IF(AA232&gt;=VLOOKUP(E232,'Input &amp; Settings'!$F$5:$K$10,6,FALSE),"Needs Improvement","Performance Improvement Required")))),""))</f>
        <v>Exceeds Expectations</v>
      </c>
      <c r="AC232" s="38" t="str">
        <f t="shared" si="12"/>
        <v>Entered</v>
      </c>
      <c r="AD232" s="39"/>
      <c r="AE232" s="40"/>
      <c r="AF232" s="41">
        <f t="shared" si="13"/>
        <v>74.900000000000006</v>
      </c>
      <c r="AG232" s="42" t="str">
        <f t="shared" si="14"/>
        <v>Exceeds Expectations</v>
      </c>
      <c r="AH232" s="42" t="str">
        <f t="shared" si="15"/>
        <v>Steven Morejon|June</v>
      </c>
    </row>
    <row r="233" spans="1:34" hidden="1">
      <c r="A233" s="32">
        <v>2026</v>
      </c>
      <c r="B233" s="32" t="s">
        <v>85</v>
      </c>
      <c r="C233" s="32" t="s">
        <v>53</v>
      </c>
      <c r="D233" s="32" t="s">
        <v>58</v>
      </c>
      <c r="E233" s="33" t="s">
        <v>87</v>
      </c>
      <c r="F233" s="34" t="str">
        <f>IF(E233="","",IFERROR(VLOOKUP(E233,'Input &amp; Settings'!$F$5:$G$10,2,FALSE),""))</f>
        <v>Normal</v>
      </c>
      <c r="G233" s="33">
        <v>106</v>
      </c>
      <c r="H233" s="33">
        <v>103</v>
      </c>
      <c r="I233" s="35">
        <v>1</v>
      </c>
      <c r="J233" s="33">
        <v>7</v>
      </c>
      <c r="K233" s="36">
        <v>5</v>
      </c>
      <c r="L233" s="35">
        <v>1</v>
      </c>
      <c r="M233" s="33">
        <v>0</v>
      </c>
      <c r="N233" s="33">
        <v>0</v>
      </c>
      <c r="O233" s="33">
        <v>1</v>
      </c>
      <c r="P233" s="33">
        <v>12</v>
      </c>
      <c r="Q233" s="37">
        <f>IF(G233="","",IFERROR(MIN(100,G233/'Input &amp; Settings'!$B$5*100),""))</f>
        <v>100</v>
      </c>
      <c r="R233" s="37">
        <f>IF(H233="","",IFERROR(MIN(100,H233/'Input &amp; Settings'!$B$6*100),""))</f>
        <v>100</v>
      </c>
      <c r="S233" s="37">
        <f>IF(I233="","",IFERROR(MIN(100,I233/'Input &amp; Settings'!$B$7*100),""))</f>
        <v>100</v>
      </c>
      <c r="T233" s="37">
        <f>IF(J233="","",IFERROR(MIN(100,J233/'Input &amp; Settings'!$B$8*100),""))</f>
        <v>35</v>
      </c>
      <c r="U233" s="37">
        <f>IF(K233="","",IFERROR(MIN(100,K233/'Input &amp; Settings'!$B$9*100),""))</f>
        <v>100</v>
      </c>
      <c r="V233" s="37">
        <f>IF(L233="","",IFERROR(MIN(100,L233/'Input &amp; Settings'!$B$10*100),""))</f>
        <v>100</v>
      </c>
      <c r="W233" s="37">
        <f>IF(M233="","",IFERROR(IF(M233&lt;='Input &amp; Settings'!$B$11,100,MAX(0,100-(M233-'Input &amp; Settings'!$B$11)*20)),""))</f>
        <v>100</v>
      </c>
      <c r="X233" s="37">
        <f>IF(N233="","",IFERROR(MIN(100,N233/'Input &amp; Settings'!$B$12*100),""))</f>
        <v>0</v>
      </c>
      <c r="Y233" s="37">
        <f>IF(O233="","",IFERROR(MIN(100,O233/'Input &amp; Settings'!$B$13*100),""))</f>
        <v>50</v>
      </c>
      <c r="Z233" s="37">
        <f>IF(P233="","",IFERROR(IF(P233&lt;='Input &amp; Settings'!$B$14,100,MAX(0,100-(P233-'Input &amp; Settings'!$B$14)*20)),""))</f>
        <v>0</v>
      </c>
      <c r="AA233" s="37">
        <f>IF(COUNTA(G233:P233)=0,"",ROUND(Q233*'Input &amp; Settings'!$C$5+R233*'Input &amp; Settings'!$C$6+S233*'Input &amp; Settings'!$C$7+T233*'Input &amp; Settings'!$C$8+U233*'Input &amp; Settings'!$C$9+V233*'Input &amp; Settings'!$C$10+W233*'Input &amp; Settings'!$C$11+X233*'Input &amp; Settings'!$C$12+Y233*'Input &amp; Settings'!$C$13+Z233*'Input &amp; Settings'!$C$14,1))</f>
        <v>71</v>
      </c>
      <c r="AB233" s="38" t="str">
        <f>IF(OR(AA233="",E233=""),"",IFERROR(IF(AA233&gt;=VLOOKUP(E233,'Input &amp; Settings'!$F$5:$K$10,3,FALSE),"Outstanding",IF(AA233&gt;=VLOOKUP(E233,'Input &amp; Settings'!$F$5:$K$10,4,FALSE),"Exceeds Expectations",IF(AA233&gt;=VLOOKUP(E233,'Input &amp; Settings'!$F$5:$K$10,5,FALSE),"Meets Expectations",IF(AA233&gt;=VLOOKUP(E233,'Input &amp; Settings'!$F$5:$K$10,6,FALSE),"Needs Improvement","Performance Improvement Required")))),""))</f>
        <v>Exceeds Expectations</v>
      </c>
      <c r="AC233" s="38" t="str">
        <f t="shared" si="12"/>
        <v>Entered</v>
      </c>
      <c r="AD233" s="39"/>
      <c r="AE233" s="40"/>
      <c r="AF233" s="41">
        <f t="shared" si="13"/>
        <v>71</v>
      </c>
      <c r="AG233" s="42" t="str">
        <f t="shared" si="14"/>
        <v>Exceeds Expectations</v>
      </c>
      <c r="AH233" s="42" t="str">
        <f t="shared" si="15"/>
        <v>Nicolas Abello|June</v>
      </c>
    </row>
    <row r="234" spans="1:34" hidden="1">
      <c r="A234" s="32">
        <v>2026</v>
      </c>
      <c r="B234" s="32" t="s">
        <v>85</v>
      </c>
      <c r="C234" s="32" t="s">
        <v>53</v>
      </c>
      <c r="D234" s="32" t="s">
        <v>59</v>
      </c>
      <c r="E234" s="33" t="s">
        <v>88</v>
      </c>
      <c r="F234" s="34" t="str">
        <f>IF(E234="","",IFERROR(VLOOKUP(E234,'Input &amp; Settings'!$F$5:$G$10,2,FALSE),""))</f>
        <v>Normal</v>
      </c>
      <c r="G234" s="33">
        <v>69</v>
      </c>
      <c r="H234" s="33">
        <v>22</v>
      </c>
      <c r="I234" s="35">
        <v>1</v>
      </c>
      <c r="J234" s="33">
        <v>13</v>
      </c>
      <c r="K234" s="36">
        <v>5</v>
      </c>
      <c r="L234" s="35">
        <v>1</v>
      </c>
      <c r="M234" s="33">
        <v>0</v>
      </c>
      <c r="N234" s="33">
        <v>0</v>
      </c>
      <c r="O234" s="33">
        <v>0</v>
      </c>
      <c r="P234" s="33">
        <v>1</v>
      </c>
      <c r="Q234" s="37">
        <f>IF(G234="","",IFERROR(MIN(100,G234/'Input &amp; Settings'!$B$5*100),""))</f>
        <v>92</v>
      </c>
      <c r="R234" s="37">
        <f>IF(H234="","",IFERROR(MIN(100,H234/'Input &amp; Settings'!$B$6*100),""))</f>
        <v>27.500000000000004</v>
      </c>
      <c r="S234" s="37">
        <f>IF(I234="","",IFERROR(MIN(100,I234/'Input &amp; Settings'!$B$7*100),""))</f>
        <v>100</v>
      </c>
      <c r="T234" s="37">
        <f>IF(J234="","",IFERROR(MIN(100,J234/'Input &amp; Settings'!$B$8*100),""))</f>
        <v>65</v>
      </c>
      <c r="U234" s="37">
        <f>IF(K234="","",IFERROR(MIN(100,K234/'Input &amp; Settings'!$B$9*100),""))</f>
        <v>100</v>
      </c>
      <c r="V234" s="37">
        <f>IF(L234="","",IFERROR(MIN(100,L234/'Input &amp; Settings'!$B$10*100),""))</f>
        <v>100</v>
      </c>
      <c r="W234" s="37">
        <f>IF(M234="","",IFERROR(IF(M234&lt;='Input &amp; Settings'!$B$11,100,MAX(0,100-(M234-'Input &amp; Settings'!$B$11)*20)),""))</f>
        <v>100</v>
      </c>
      <c r="X234" s="37">
        <f>IF(N234="","",IFERROR(MIN(100,N234/'Input &amp; Settings'!$B$12*100),""))</f>
        <v>0</v>
      </c>
      <c r="Y234" s="37">
        <f>IF(O234="","",IFERROR(MIN(100,O234/'Input &amp; Settings'!$B$13*100),""))</f>
        <v>0</v>
      </c>
      <c r="Z234" s="37">
        <f>IF(P234="","",IFERROR(IF(P234&lt;='Input &amp; Settings'!$B$14,100,MAX(0,100-(P234-'Input &amp; Settings'!$B$14)*20)),""))</f>
        <v>100</v>
      </c>
      <c r="AA234" s="37">
        <f>IF(COUNTA(G234:P234)=0,"",ROUND(Q234*'Input &amp; Settings'!$C$5+R234*'Input &amp; Settings'!$C$6+S234*'Input &amp; Settings'!$C$7+T234*'Input &amp; Settings'!$C$8+U234*'Input &amp; Settings'!$C$9+V234*'Input &amp; Settings'!$C$10+W234*'Input &amp; Settings'!$C$11+X234*'Input &amp; Settings'!$C$12+Y234*'Input &amp; Settings'!$C$13+Z234*'Input &amp; Settings'!$C$14,1))</f>
        <v>78.099999999999994</v>
      </c>
      <c r="AB234" s="38" t="str">
        <f>IF(OR(AA234="",E234=""),"",IFERROR(IF(AA234&gt;=VLOOKUP(E234,'Input &amp; Settings'!$F$5:$K$10,3,FALSE),"Outstanding",IF(AA234&gt;=VLOOKUP(E234,'Input &amp; Settings'!$F$5:$K$10,4,FALSE),"Exceeds Expectations",IF(AA234&gt;=VLOOKUP(E234,'Input &amp; Settings'!$F$5:$K$10,5,FALSE),"Meets Expectations",IF(AA234&gt;=VLOOKUP(E234,'Input &amp; Settings'!$F$5:$K$10,6,FALSE),"Needs Improvement","Performance Improvement Required")))),""))</f>
        <v>Outstanding</v>
      </c>
      <c r="AC234" s="38" t="str">
        <f t="shared" si="12"/>
        <v>Entered</v>
      </c>
      <c r="AD234" s="39"/>
      <c r="AE234" s="40"/>
      <c r="AF234" s="41">
        <f t="shared" si="13"/>
        <v>78.099999999999994</v>
      </c>
      <c r="AG234" s="42" t="str">
        <f t="shared" si="14"/>
        <v>Outstanding</v>
      </c>
      <c r="AH234" s="42" t="str">
        <f t="shared" si="15"/>
        <v>Carlos Espinosa|June</v>
      </c>
    </row>
    <row r="235" spans="1:34" hidden="1">
      <c r="A235" s="32">
        <v>2026</v>
      </c>
      <c r="B235" s="32" t="s">
        <v>85</v>
      </c>
      <c r="C235" s="32" t="s">
        <v>53</v>
      </c>
      <c r="D235" s="32" t="s">
        <v>60</v>
      </c>
      <c r="E235" s="33" t="s">
        <v>86</v>
      </c>
      <c r="F235" s="34" t="str">
        <f>IF(E235="","",IFERROR(VLOOKUP(E235,'Input &amp; Settings'!$F$5:$G$10,2,FALSE),""))</f>
        <v>High</v>
      </c>
      <c r="G235" s="33">
        <v>146</v>
      </c>
      <c r="H235" s="33">
        <v>33</v>
      </c>
      <c r="I235" s="35">
        <v>1</v>
      </c>
      <c r="J235" s="33">
        <v>16</v>
      </c>
      <c r="K235" s="36">
        <v>4.83</v>
      </c>
      <c r="L235" s="35">
        <v>1</v>
      </c>
      <c r="M235" s="33">
        <v>1</v>
      </c>
      <c r="N235" s="33">
        <v>0</v>
      </c>
      <c r="O235" s="33">
        <v>1</v>
      </c>
      <c r="P235" s="33">
        <v>6</v>
      </c>
      <c r="Q235" s="37">
        <f>IF(G235="","",IFERROR(MIN(100,G235/'Input &amp; Settings'!$B$5*100),""))</f>
        <v>100</v>
      </c>
      <c r="R235" s="37">
        <f>IF(H235="","",IFERROR(MIN(100,H235/'Input &amp; Settings'!$B$6*100),""))</f>
        <v>41.25</v>
      </c>
      <c r="S235" s="37">
        <f>IF(I235="","",IFERROR(MIN(100,I235/'Input &amp; Settings'!$B$7*100),""))</f>
        <v>100</v>
      </c>
      <c r="T235" s="37">
        <f>IF(J235="","",IFERROR(MIN(100,J235/'Input &amp; Settings'!$B$8*100),""))</f>
        <v>80</v>
      </c>
      <c r="U235" s="37">
        <f>IF(K235="","",IFERROR(MIN(100,K235/'Input &amp; Settings'!$B$9*100),""))</f>
        <v>100</v>
      </c>
      <c r="V235" s="37">
        <f>IF(L235="","",IFERROR(MIN(100,L235/'Input &amp; Settings'!$B$10*100),""))</f>
        <v>100</v>
      </c>
      <c r="W235" s="37">
        <f>IF(M235="","",IFERROR(IF(M235&lt;='Input &amp; Settings'!$B$11,100,MAX(0,100-(M235-'Input &amp; Settings'!$B$11)*20)),""))</f>
        <v>100</v>
      </c>
      <c r="X235" s="37">
        <f>IF(N235="","",IFERROR(MIN(100,N235/'Input &amp; Settings'!$B$12*100),""))</f>
        <v>0</v>
      </c>
      <c r="Y235" s="37">
        <f>IF(O235="","",IFERROR(MIN(100,O235/'Input &amp; Settings'!$B$13*100),""))</f>
        <v>50</v>
      </c>
      <c r="Z235" s="37">
        <f>IF(P235="","",IFERROR(IF(P235&lt;='Input &amp; Settings'!$B$14,100,MAX(0,100-(P235-'Input &amp; Settings'!$B$14)*20)),""))</f>
        <v>80</v>
      </c>
      <c r="AA235" s="37">
        <f>IF(COUNTA(G235:P235)=0,"",ROUND(Q235*'Input &amp; Settings'!$C$5+R235*'Input &amp; Settings'!$C$6+S235*'Input &amp; Settings'!$C$7+T235*'Input &amp; Settings'!$C$8+U235*'Input &amp; Settings'!$C$9+V235*'Input &amp; Settings'!$C$10+W235*'Input &amp; Settings'!$C$11+X235*'Input &amp; Settings'!$C$12+Y235*'Input &amp; Settings'!$C$13+Z235*'Input &amp; Settings'!$C$14,1))</f>
        <v>81.599999999999994</v>
      </c>
      <c r="AB235" s="38" t="str">
        <f>IF(OR(AA235="",E235=""),"",IFERROR(IF(AA235&gt;=VLOOKUP(E235,'Input &amp; Settings'!$F$5:$K$10,3,FALSE),"Outstanding",IF(AA235&gt;=VLOOKUP(E235,'Input &amp; Settings'!$F$5:$K$10,4,FALSE),"Exceeds Expectations",IF(AA235&gt;=VLOOKUP(E235,'Input &amp; Settings'!$F$5:$K$10,5,FALSE),"Meets Expectations",IF(AA235&gt;=VLOOKUP(E235,'Input &amp; Settings'!$F$5:$K$10,6,FALSE),"Needs Improvement","Performance Improvement Required")))),""))</f>
        <v>Outstanding</v>
      </c>
      <c r="AC235" s="38" t="str">
        <f t="shared" si="12"/>
        <v>Entered</v>
      </c>
      <c r="AD235" s="39"/>
      <c r="AE235" s="40"/>
      <c r="AF235" s="41">
        <f t="shared" si="13"/>
        <v>81.599999999999994</v>
      </c>
      <c r="AG235" s="42" t="str">
        <f t="shared" si="14"/>
        <v>Outstanding</v>
      </c>
      <c r="AH235" s="42" t="str">
        <f t="shared" si="15"/>
        <v>Fernando Barbera - Boyer|June</v>
      </c>
    </row>
    <row r="236" spans="1:34" hidden="1">
      <c r="A236" s="32">
        <v>2026</v>
      </c>
      <c r="B236" s="32" t="s">
        <v>85</v>
      </c>
      <c r="C236" s="32" t="s">
        <v>53</v>
      </c>
      <c r="D236" s="32" t="s">
        <v>61</v>
      </c>
      <c r="E236" s="33" t="s">
        <v>86</v>
      </c>
      <c r="F236" s="34" t="str">
        <f>IF(E236="","",IFERROR(VLOOKUP(E236,'Input &amp; Settings'!$F$5:$G$10,2,FALSE),""))</f>
        <v>High</v>
      </c>
      <c r="G236" s="33">
        <v>66</v>
      </c>
      <c r="H236" s="33">
        <v>24</v>
      </c>
      <c r="I236" s="35">
        <v>1</v>
      </c>
      <c r="J236" s="33">
        <v>0</v>
      </c>
      <c r="K236" s="36">
        <v>5</v>
      </c>
      <c r="L236" s="35">
        <v>1</v>
      </c>
      <c r="M236" s="33">
        <v>1</v>
      </c>
      <c r="N236" s="33">
        <v>0</v>
      </c>
      <c r="O236" s="33">
        <v>0</v>
      </c>
      <c r="P236" s="33">
        <v>5</v>
      </c>
      <c r="Q236" s="37">
        <f>IF(G236="","",IFERROR(MIN(100,G236/'Input &amp; Settings'!$B$5*100),""))</f>
        <v>88</v>
      </c>
      <c r="R236" s="37">
        <f>IF(H236="","",IFERROR(MIN(100,H236/'Input &amp; Settings'!$B$6*100),""))</f>
        <v>30</v>
      </c>
      <c r="S236" s="37">
        <f>IF(I236="","",IFERROR(MIN(100,I236/'Input &amp; Settings'!$B$7*100),""))</f>
        <v>100</v>
      </c>
      <c r="T236" s="37">
        <f>IF(J236="","",IFERROR(MIN(100,J236/'Input &amp; Settings'!$B$8*100),""))</f>
        <v>0</v>
      </c>
      <c r="U236" s="37">
        <f>IF(K236="","",IFERROR(MIN(100,K236/'Input &amp; Settings'!$B$9*100),""))</f>
        <v>100</v>
      </c>
      <c r="V236" s="37">
        <f>IF(L236="","",IFERROR(MIN(100,L236/'Input &amp; Settings'!$B$10*100),""))</f>
        <v>100</v>
      </c>
      <c r="W236" s="37">
        <f>IF(M236="","",IFERROR(IF(M236&lt;='Input &amp; Settings'!$B$11,100,MAX(0,100-(M236-'Input &amp; Settings'!$B$11)*20)),""))</f>
        <v>100</v>
      </c>
      <c r="X236" s="37">
        <f>IF(N236="","",IFERROR(MIN(100,N236/'Input &amp; Settings'!$B$12*100),""))</f>
        <v>0</v>
      </c>
      <c r="Y236" s="37">
        <f>IF(O236="","",IFERROR(MIN(100,O236/'Input &amp; Settings'!$B$13*100),""))</f>
        <v>0</v>
      </c>
      <c r="Z236" s="37">
        <f>IF(P236="","",IFERROR(IF(P236&lt;='Input &amp; Settings'!$B$14,100,MAX(0,100-(P236-'Input &amp; Settings'!$B$14)*20)),""))</f>
        <v>100</v>
      </c>
      <c r="AA236" s="37">
        <f>IF(COUNTA(G236:P236)=0,"",ROUND(Q236*'Input &amp; Settings'!$C$5+R236*'Input &amp; Settings'!$C$6+S236*'Input &amp; Settings'!$C$7+T236*'Input &amp; Settings'!$C$8+U236*'Input &amp; Settings'!$C$9+V236*'Input &amp; Settings'!$C$10+W236*'Input &amp; Settings'!$C$11+X236*'Input &amp; Settings'!$C$12+Y236*'Input &amp; Settings'!$C$13+Z236*'Input &amp; Settings'!$C$14,1))</f>
        <v>71.2</v>
      </c>
      <c r="AB236" s="38" t="str">
        <f>IF(OR(AA236="",E236=""),"",IFERROR(IF(AA236&gt;=VLOOKUP(E236,'Input &amp; Settings'!$F$5:$K$10,3,FALSE),"Outstanding",IF(AA236&gt;=VLOOKUP(E236,'Input &amp; Settings'!$F$5:$K$10,4,FALSE),"Exceeds Expectations",IF(AA236&gt;=VLOOKUP(E236,'Input &amp; Settings'!$F$5:$K$10,5,FALSE),"Meets Expectations",IF(AA236&gt;=VLOOKUP(E236,'Input &amp; Settings'!$F$5:$K$10,6,FALSE),"Needs Improvement","Performance Improvement Required")))),""))</f>
        <v>Exceeds Expectations</v>
      </c>
      <c r="AC236" s="38" t="str">
        <f t="shared" si="12"/>
        <v>Entered</v>
      </c>
      <c r="AD236" s="39"/>
      <c r="AE236" s="40"/>
      <c r="AF236" s="41">
        <f t="shared" si="13"/>
        <v>71.2</v>
      </c>
      <c r="AG236" s="42" t="str">
        <f t="shared" si="14"/>
        <v>Exceeds Expectations</v>
      </c>
      <c r="AH236" s="42" t="str">
        <f t="shared" si="15"/>
        <v>Miquelle Cordova|June</v>
      </c>
    </row>
    <row r="237" spans="1:34" hidden="1">
      <c r="A237" s="32">
        <v>2026</v>
      </c>
      <c r="B237" s="32" t="s">
        <v>85</v>
      </c>
      <c r="C237" s="32" t="s">
        <v>53</v>
      </c>
      <c r="D237" s="32" t="s">
        <v>62</v>
      </c>
      <c r="E237" s="33" t="s">
        <v>88</v>
      </c>
      <c r="F237" s="34" t="str">
        <f>IF(E237="","",IFERROR(VLOOKUP(E237,'Input &amp; Settings'!$F$5:$G$10,2,FALSE),""))</f>
        <v>Normal</v>
      </c>
      <c r="G237" s="33">
        <v>90</v>
      </c>
      <c r="H237" s="33">
        <v>42</v>
      </c>
      <c r="I237" s="35">
        <v>1</v>
      </c>
      <c r="J237" s="33">
        <v>14</v>
      </c>
      <c r="K237" s="36">
        <v>3</v>
      </c>
      <c r="L237" s="35">
        <v>1</v>
      </c>
      <c r="M237" s="33">
        <v>1</v>
      </c>
      <c r="N237" s="33">
        <v>0</v>
      </c>
      <c r="O237" s="33">
        <v>0</v>
      </c>
      <c r="P237" s="33">
        <v>1</v>
      </c>
      <c r="Q237" s="37">
        <f>IF(G237="","",IFERROR(MIN(100,G237/'Input &amp; Settings'!$B$5*100),""))</f>
        <v>100</v>
      </c>
      <c r="R237" s="37">
        <f>IF(H237="","",IFERROR(MIN(100,H237/'Input &amp; Settings'!$B$6*100),""))</f>
        <v>52.5</v>
      </c>
      <c r="S237" s="37">
        <f>IF(I237="","",IFERROR(MIN(100,I237/'Input &amp; Settings'!$B$7*100),""))</f>
        <v>100</v>
      </c>
      <c r="T237" s="37">
        <f>IF(J237="","",IFERROR(MIN(100,J237/'Input &amp; Settings'!$B$8*100),""))</f>
        <v>70</v>
      </c>
      <c r="U237" s="37">
        <f>IF(K237="","",IFERROR(MIN(100,K237/'Input &amp; Settings'!$B$9*100),""))</f>
        <v>63.829787234042549</v>
      </c>
      <c r="V237" s="37">
        <f>IF(L237="","",IFERROR(MIN(100,L237/'Input &amp; Settings'!$B$10*100),""))</f>
        <v>100</v>
      </c>
      <c r="W237" s="37">
        <f>IF(M237="","",IFERROR(IF(M237&lt;='Input &amp; Settings'!$B$11,100,MAX(0,100-(M237-'Input &amp; Settings'!$B$11)*20)),""))</f>
        <v>100</v>
      </c>
      <c r="X237" s="37">
        <f>IF(N237="","",IFERROR(MIN(100,N237/'Input &amp; Settings'!$B$12*100),""))</f>
        <v>0</v>
      </c>
      <c r="Y237" s="37">
        <f>IF(O237="","",IFERROR(MIN(100,O237/'Input &amp; Settings'!$B$13*100),""))</f>
        <v>0</v>
      </c>
      <c r="Z237" s="37">
        <f>IF(P237="","",IFERROR(IF(P237&lt;='Input &amp; Settings'!$B$14,100,MAX(0,100-(P237-'Input &amp; Settings'!$B$14)*20)),""))</f>
        <v>100</v>
      </c>
      <c r="AA237" s="37">
        <f>IF(COUNTA(G237:P237)=0,"",ROUND(Q237*'Input &amp; Settings'!$C$5+R237*'Input &amp; Settings'!$C$6+S237*'Input &amp; Settings'!$C$7+T237*'Input &amp; Settings'!$C$8+U237*'Input &amp; Settings'!$C$9+V237*'Input &amp; Settings'!$C$10+W237*'Input &amp; Settings'!$C$11+X237*'Input &amp; Settings'!$C$12+Y237*'Input &amp; Settings'!$C$13+Z237*'Input &amp; Settings'!$C$14,1))</f>
        <v>78.599999999999994</v>
      </c>
      <c r="AB237" s="38" t="str">
        <f>IF(OR(AA237="",E237=""),"",IFERROR(IF(AA237&gt;=VLOOKUP(E237,'Input &amp; Settings'!$F$5:$K$10,3,FALSE),"Outstanding",IF(AA237&gt;=VLOOKUP(E237,'Input &amp; Settings'!$F$5:$K$10,4,FALSE),"Exceeds Expectations",IF(AA237&gt;=VLOOKUP(E237,'Input &amp; Settings'!$F$5:$K$10,5,FALSE),"Meets Expectations",IF(AA237&gt;=VLOOKUP(E237,'Input &amp; Settings'!$F$5:$K$10,6,FALSE),"Needs Improvement","Performance Improvement Required")))),""))</f>
        <v>Outstanding</v>
      </c>
      <c r="AC237" s="38" t="str">
        <f t="shared" si="12"/>
        <v>Entered</v>
      </c>
      <c r="AD237" s="39"/>
      <c r="AE237" s="40"/>
      <c r="AF237" s="41">
        <f t="shared" si="13"/>
        <v>78.599999999999994</v>
      </c>
      <c r="AG237" s="42" t="str">
        <f t="shared" si="14"/>
        <v>Outstanding</v>
      </c>
      <c r="AH237" s="42" t="str">
        <f t="shared" si="15"/>
        <v>Daniel Sanchez|June</v>
      </c>
    </row>
    <row r="238" spans="1:34" hidden="1">
      <c r="A238" s="32">
        <v>2026</v>
      </c>
      <c r="B238" s="32" t="s">
        <v>85</v>
      </c>
      <c r="C238" s="32" t="s">
        <v>53</v>
      </c>
      <c r="D238" s="32" t="s">
        <v>63</v>
      </c>
      <c r="E238" s="33" t="s">
        <v>88</v>
      </c>
      <c r="F238" s="34" t="str">
        <f>IF(E238="","",IFERROR(VLOOKUP(E238,'Input &amp; Settings'!$F$5:$G$10,2,FALSE),""))</f>
        <v>Normal</v>
      </c>
      <c r="G238" s="33">
        <v>11</v>
      </c>
      <c r="H238" s="33">
        <v>5</v>
      </c>
      <c r="I238" s="35">
        <v>1</v>
      </c>
      <c r="J238" s="33">
        <v>2</v>
      </c>
      <c r="K238" s="36">
        <v>5</v>
      </c>
      <c r="L238" s="35">
        <v>0.95</v>
      </c>
      <c r="M238" s="33">
        <v>2</v>
      </c>
      <c r="N238" s="33">
        <v>0</v>
      </c>
      <c r="O238" s="33">
        <v>0</v>
      </c>
      <c r="P238" s="33">
        <v>0</v>
      </c>
      <c r="Q238" s="37">
        <f>IF(G238="","",IFERROR(MIN(100,G238/'Input &amp; Settings'!$B$5*100),""))</f>
        <v>14.666666666666666</v>
      </c>
      <c r="R238" s="37">
        <f>IF(H238="","",IFERROR(MIN(100,H238/'Input &amp; Settings'!$B$6*100),""))</f>
        <v>6.25</v>
      </c>
      <c r="S238" s="37">
        <f>IF(I238="","",IFERROR(MIN(100,I238/'Input &amp; Settings'!$B$7*100),""))</f>
        <v>100</v>
      </c>
      <c r="T238" s="37">
        <f>IF(J238="","",IFERROR(MIN(100,J238/'Input &amp; Settings'!$B$8*100),""))</f>
        <v>10</v>
      </c>
      <c r="U238" s="37">
        <f>IF(K238="","",IFERROR(MIN(100,K238/'Input &amp; Settings'!$B$9*100),""))</f>
        <v>100</v>
      </c>
      <c r="V238" s="37">
        <f>IF(L238="","",IFERROR(MIN(100,L238/'Input &amp; Settings'!$B$10*100),""))</f>
        <v>100</v>
      </c>
      <c r="W238" s="37">
        <f>IF(M238="","",IFERROR(IF(M238&lt;='Input &amp; Settings'!$B$11,100,MAX(0,100-(M238-'Input &amp; Settings'!$B$11)*20)),""))</f>
        <v>100</v>
      </c>
      <c r="X238" s="37">
        <f>IF(N238="","",IFERROR(MIN(100,N238/'Input &amp; Settings'!$B$12*100),""))</f>
        <v>0</v>
      </c>
      <c r="Y238" s="37">
        <f>IF(O238="","",IFERROR(MIN(100,O238/'Input &amp; Settings'!$B$13*100),""))</f>
        <v>0</v>
      </c>
      <c r="Z238" s="37">
        <f>IF(P238="","",IFERROR(IF(P238&lt;='Input &amp; Settings'!$B$14,100,MAX(0,100-(P238-'Input &amp; Settings'!$B$14)*20)),""))</f>
        <v>100</v>
      </c>
      <c r="AA238" s="37">
        <f>IF(COUNTA(G238:P238)=0,"",ROUND(Q238*'Input &amp; Settings'!$C$5+R238*'Input &amp; Settings'!$C$6+S238*'Input &amp; Settings'!$C$7+T238*'Input &amp; Settings'!$C$8+U238*'Input &amp; Settings'!$C$9+V238*'Input &amp; Settings'!$C$10+W238*'Input &amp; Settings'!$C$11+X238*'Input &amp; Settings'!$C$12+Y238*'Input &amp; Settings'!$C$13+Z238*'Input &amp; Settings'!$C$14,1))</f>
        <v>58.8</v>
      </c>
      <c r="AB238" s="38" t="str">
        <f>IF(OR(AA238="",E238=""),"",IFERROR(IF(AA238&gt;=VLOOKUP(E238,'Input &amp; Settings'!$F$5:$K$10,3,FALSE),"Outstanding",IF(AA238&gt;=VLOOKUP(E238,'Input &amp; Settings'!$F$5:$K$10,4,FALSE),"Exceeds Expectations",IF(AA238&gt;=VLOOKUP(E238,'Input &amp; Settings'!$F$5:$K$10,5,FALSE),"Meets Expectations",IF(AA238&gt;=VLOOKUP(E238,'Input &amp; Settings'!$F$5:$K$10,6,FALSE),"Needs Improvement","Performance Improvement Required")))),""))</f>
        <v>Needs Improvement</v>
      </c>
      <c r="AC238" s="38" t="str">
        <f t="shared" si="12"/>
        <v>Entered</v>
      </c>
      <c r="AD238" s="39"/>
      <c r="AE238" s="40"/>
      <c r="AF238" s="41">
        <f t="shared" si="13"/>
        <v>58.8</v>
      </c>
      <c r="AG238" s="42" t="str">
        <f t="shared" si="14"/>
        <v>Needs Improvement</v>
      </c>
      <c r="AH238" s="42" t="str">
        <f t="shared" si="15"/>
        <v>Braynon Edwards|June</v>
      </c>
    </row>
    <row r="239" spans="1:34" hidden="1">
      <c r="A239" s="32">
        <v>2026</v>
      </c>
      <c r="B239" s="32" t="s">
        <v>85</v>
      </c>
      <c r="C239" s="32" t="s">
        <v>53</v>
      </c>
      <c r="D239" s="32" t="s">
        <v>64</v>
      </c>
      <c r="E239" s="33" t="s">
        <v>91</v>
      </c>
      <c r="F239" s="34" t="str">
        <f>IF(E239="","",IFERROR(VLOOKUP(E239,'Input &amp; Settings'!$F$5:$G$10,2,FALSE),""))</f>
        <v>Low</v>
      </c>
      <c r="G239" s="33">
        <v>46</v>
      </c>
      <c r="H239" s="33">
        <v>50</v>
      </c>
      <c r="I239" s="35">
        <v>1</v>
      </c>
      <c r="J239" s="33">
        <v>1</v>
      </c>
      <c r="K239" s="36">
        <v>5</v>
      </c>
      <c r="L239" s="35">
        <v>1</v>
      </c>
      <c r="M239" s="33">
        <v>1</v>
      </c>
      <c r="N239" s="33">
        <v>0</v>
      </c>
      <c r="O239" s="33">
        <v>0</v>
      </c>
      <c r="P239" s="33">
        <v>0</v>
      </c>
      <c r="Q239" s="37">
        <f>IF(G239="","",IFERROR(MIN(100,G239/'Input &amp; Settings'!$B$5*100),""))</f>
        <v>61.333333333333329</v>
      </c>
      <c r="R239" s="37">
        <f>IF(H239="","",IFERROR(MIN(100,H239/'Input &amp; Settings'!$B$6*100),""))</f>
        <v>62.5</v>
      </c>
      <c r="S239" s="37">
        <f>IF(I239="","",IFERROR(MIN(100,I239/'Input &amp; Settings'!$B$7*100),""))</f>
        <v>100</v>
      </c>
      <c r="T239" s="37">
        <f>IF(J239="","",IFERROR(MIN(100,J239/'Input &amp; Settings'!$B$8*100),""))</f>
        <v>5</v>
      </c>
      <c r="U239" s="37">
        <f>IF(K239="","",IFERROR(MIN(100,K239/'Input &amp; Settings'!$B$9*100),""))</f>
        <v>100</v>
      </c>
      <c r="V239" s="37">
        <f>IF(L239="","",IFERROR(MIN(100,L239/'Input &amp; Settings'!$B$10*100),""))</f>
        <v>100</v>
      </c>
      <c r="W239" s="37">
        <f>IF(M239="","",IFERROR(IF(M239&lt;='Input &amp; Settings'!$B$11,100,MAX(0,100-(M239-'Input &amp; Settings'!$B$11)*20)),""))</f>
        <v>100</v>
      </c>
      <c r="X239" s="37">
        <f>IF(N239="","",IFERROR(MIN(100,N239/'Input &amp; Settings'!$B$12*100),""))</f>
        <v>0</v>
      </c>
      <c r="Y239" s="37">
        <f>IF(O239="","",IFERROR(MIN(100,O239/'Input &amp; Settings'!$B$13*100),""))</f>
        <v>0</v>
      </c>
      <c r="Z239" s="37">
        <f>IF(P239="","",IFERROR(IF(P239&lt;='Input &amp; Settings'!$B$14,100,MAX(0,100-(P239-'Input &amp; Settings'!$B$14)*20)),""))</f>
        <v>100</v>
      </c>
      <c r="AA239" s="37">
        <f>IF(COUNTA(G239:P239)=0,"",ROUND(Q239*'Input &amp; Settings'!$C$5+R239*'Input &amp; Settings'!$C$6+S239*'Input &amp; Settings'!$C$7+T239*'Input &amp; Settings'!$C$8+U239*'Input &amp; Settings'!$C$9+V239*'Input &amp; Settings'!$C$10+W239*'Input &amp; Settings'!$C$11+X239*'Input &amp; Settings'!$C$12+Y239*'Input &amp; Settings'!$C$13+Z239*'Input &amp; Settings'!$C$14,1))</f>
        <v>71</v>
      </c>
      <c r="AB239" s="38" t="str">
        <f>IF(OR(AA239="",E239=""),"",IFERROR(IF(AA239&gt;=VLOOKUP(E239,'Input &amp; Settings'!$F$5:$K$10,3,FALSE),"Outstanding",IF(AA239&gt;=VLOOKUP(E239,'Input &amp; Settings'!$F$5:$K$10,4,FALSE),"Exceeds Expectations",IF(AA239&gt;=VLOOKUP(E239,'Input &amp; Settings'!$F$5:$K$10,5,FALSE),"Meets Expectations",IF(AA239&gt;=VLOOKUP(E239,'Input &amp; Settings'!$F$5:$K$10,6,FALSE),"Needs Improvement","Performance Improvement Required")))),""))</f>
        <v>Outstanding</v>
      </c>
      <c r="AC239" s="38" t="str">
        <f t="shared" si="12"/>
        <v>Entered</v>
      </c>
      <c r="AD239" s="39"/>
      <c r="AE239" s="40"/>
      <c r="AF239" s="41">
        <f t="shared" si="13"/>
        <v>71</v>
      </c>
      <c r="AG239" s="42" t="str">
        <f t="shared" si="14"/>
        <v>Outstanding</v>
      </c>
      <c r="AH239" s="42" t="str">
        <f t="shared" si="15"/>
        <v>Sebastian Lopez|June</v>
      </c>
    </row>
    <row r="240" spans="1:34" hidden="1">
      <c r="A240" s="32">
        <v>2026</v>
      </c>
      <c r="B240" s="32" t="s">
        <v>85</v>
      </c>
      <c r="C240" s="32" t="s">
        <v>53</v>
      </c>
      <c r="D240" s="32" t="s">
        <v>65</v>
      </c>
      <c r="E240" s="33" t="s">
        <v>86</v>
      </c>
      <c r="F240" s="34" t="str">
        <f>IF(E240="","",IFERROR(VLOOKUP(E240,'Input &amp; Settings'!$F$5:$G$10,2,FALSE),""))</f>
        <v>High</v>
      </c>
      <c r="G240" s="33">
        <v>61</v>
      </c>
      <c r="H240" s="33">
        <v>35</v>
      </c>
      <c r="I240" s="35">
        <v>1</v>
      </c>
      <c r="J240" s="33">
        <v>81</v>
      </c>
      <c r="K240" s="36">
        <v>5</v>
      </c>
      <c r="L240" s="35">
        <v>1</v>
      </c>
      <c r="M240" s="33">
        <v>0</v>
      </c>
      <c r="N240" s="33">
        <v>0</v>
      </c>
      <c r="O240" s="33">
        <v>1</v>
      </c>
      <c r="P240" s="33">
        <v>0</v>
      </c>
      <c r="Q240" s="37">
        <f>IF(G240="","",IFERROR(MIN(100,G240/'Input &amp; Settings'!$B$5*100),""))</f>
        <v>81.333333333333329</v>
      </c>
      <c r="R240" s="37">
        <f>IF(H240="","",IFERROR(MIN(100,H240/'Input &amp; Settings'!$B$6*100),""))</f>
        <v>43.75</v>
      </c>
      <c r="S240" s="37">
        <f>IF(I240="","",IFERROR(MIN(100,I240/'Input &amp; Settings'!$B$7*100),""))</f>
        <v>100</v>
      </c>
      <c r="T240" s="37">
        <f>IF(J240="","",IFERROR(MIN(100,J240/'Input &amp; Settings'!$B$8*100),""))</f>
        <v>100</v>
      </c>
      <c r="U240" s="37">
        <f>IF(K240="","",IFERROR(MIN(100,K240/'Input &amp; Settings'!$B$9*100),""))</f>
        <v>100</v>
      </c>
      <c r="V240" s="37">
        <f>IF(L240="","",IFERROR(MIN(100,L240/'Input &amp; Settings'!$B$10*100),""))</f>
        <v>100</v>
      </c>
      <c r="W240" s="37">
        <f>IF(M240="","",IFERROR(IF(M240&lt;='Input &amp; Settings'!$B$11,100,MAX(0,100-(M240-'Input &amp; Settings'!$B$11)*20)),""))</f>
        <v>100</v>
      </c>
      <c r="X240" s="37">
        <f>IF(N240="","",IFERROR(MIN(100,N240/'Input &amp; Settings'!$B$12*100),""))</f>
        <v>0</v>
      </c>
      <c r="Y240" s="37">
        <f>IF(O240="","",IFERROR(MIN(100,O240/'Input &amp; Settings'!$B$13*100),""))</f>
        <v>50</v>
      </c>
      <c r="Z240" s="37">
        <f>IF(P240="","",IFERROR(IF(P240&lt;='Input &amp; Settings'!$B$14,100,MAX(0,100-(P240-'Input &amp; Settings'!$B$14)*20)),""))</f>
        <v>100</v>
      </c>
      <c r="AA240" s="37">
        <f>IF(COUNTA(G240:P240)=0,"",ROUND(Q240*'Input &amp; Settings'!$C$5+R240*'Input &amp; Settings'!$C$6+S240*'Input &amp; Settings'!$C$7+T240*'Input &amp; Settings'!$C$8+U240*'Input &amp; Settings'!$C$9+V240*'Input &amp; Settings'!$C$10+W240*'Input &amp; Settings'!$C$11+X240*'Input &amp; Settings'!$C$12+Y240*'Input &amp; Settings'!$C$13+Z240*'Input &amp; Settings'!$C$14,1))</f>
        <v>84.1</v>
      </c>
      <c r="AB240" s="38" t="str">
        <f>IF(OR(AA240="",E240=""),"",IFERROR(IF(AA240&gt;=VLOOKUP(E240,'Input &amp; Settings'!$F$5:$K$10,3,FALSE),"Outstanding",IF(AA240&gt;=VLOOKUP(E240,'Input &amp; Settings'!$F$5:$K$10,4,FALSE),"Exceeds Expectations",IF(AA240&gt;=VLOOKUP(E240,'Input &amp; Settings'!$F$5:$K$10,5,FALSE),"Meets Expectations",IF(AA240&gt;=VLOOKUP(E240,'Input &amp; Settings'!$F$5:$K$10,6,FALSE),"Needs Improvement","Performance Improvement Required")))),""))</f>
        <v>Outstanding</v>
      </c>
      <c r="AC240" s="38" t="str">
        <f t="shared" si="12"/>
        <v>Entered</v>
      </c>
      <c r="AD240" s="39"/>
      <c r="AE240" s="40"/>
      <c r="AF240" s="41">
        <f t="shared" si="13"/>
        <v>84.1</v>
      </c>
      <c r="AG240" s="42" t="str">
        <f t="shared" si="14"/>
        <v>Outstanding</v>
      </c>
      <c r="AH240" s="42" t="str">
        <f t="shared" si="15"/>
        <v>Lucas Degomme|June</v>
      </c>
    </row>
    <row r="241" spans="1:34" hidden="1">
      <c r="A241" s="32">
        <v>2026</v>
      </c>
      <c r="B241" s="32" t="s">
        <v>85</v>
      </c>
      <c r="C241" s="32" t="s">
        <v>53</v>
      </c>
      <c r="D241" s="32" t="s">
        <v>66</v>
      </c>
      <c r="E241" s="33" t="s">
        <v>88</v>
      </c>
      <c r="F241" s="34" t="str">
        <f>IF(E241="","",IFERROR(VLOOKUP(E241,'Input &amp; Settings'!$F$5:$G$10,2,FALSE),""))</f>
        <v>Normal</v>
      </c>
      <c r="G241" s="33">
        <v>20</v>
      </c>
      <c r="H241" s="33">
        <v>13</v>
      </c>
      <c r="I241" s="35">
        <v>1</v>
      </c>
      <c r="J241" s="33">
        <v>2</v>
      </c>
      <c r="K241" s="36">
        <v>4.75</v>
      </c>
      <c r="L241" s="35">
        <v>1</v>
      </c>
      <c r="M241" s="33">
        <v>1</v>
      </c>
      <c r="N241" s="33">
        <v>0</v>
      </c>
      <c r="O241" s="33">
        <v>0</v>
      </c>
      <c r="P241" s="33">
        <v>0</v>
      </c>
      <c r="Q241" s="37">
        <f>IF(G241="","",IFERROR(MIN(100,G241/'Input &amp; Settings'!$B$5*100),""))</f>
        <v>26.666666666666668</v>
      </c>
      <c r="R241" s="37">
        <f>IF(H241="","",IFERROR(MIN(100,H241/'Input &amp; Settings'!$B$6*100),""))</f>
        <v>16.25</v>
      </c>
      <c r="S241" s="37">
        <f>IF(I241="","",IFERROR(MIN(100,I241/'Input &amp; Settings'!$B$7*100),""))</f>
        <v>100</v>
      </c>
      <c r="T241" s="37">
        <f>IF(J241="","",IFERROR(MIN(100,J241/'Input &amp; Settings'!$B$8*100),""))</f>
        <v>10</v>
      </c>
      <c r="U241" s="37">
        <f>IF(K241="","",IFERROR(MIN(100,K241/'Input &amp; Settings'!$B$9*100),""))</f>
        <v>100</v>
      </c>
      <c r="V241" s="37">
        <f>IF(L241="","",IFERROR(MIN(100,L241/'Input &amp; Settings'!$B$10*100),""))</f>
        <v>100</v>
      </c>
      <c r="W241" s="37">
        <f>IF(M241="","",IFERROR(IF(M241&lt;='Input &amp; Settings'!$B$11,100,MAX(0,100-(M241-'Input &amp; Settings'!$B$11)*20)),""))</f>
        <v>100</v>
      </c>
      <c r="X241" s="37">
        <f>IF(N241="","",IFERROR(MIN(100,N241/'Input &amp; Settings'!$B$12*100),""))</f>
        <v>0</v>
      </c>
      <c r="Y241" s="37">
        <f>IF(O241="","",IFERROR(MIN(100,O241/'Input &amp; Settings'!$B$13*100),""))</f>
        <v>0</v>
      </c>
      <c r="Z241" s="37">
        <f>IF(P241="","",IFERROR(IF(P241&lt;='Input &amp; Settings'!$B$14,100,MAX(0,100-(P241-'Input &amp; Settings'!$B$14)*20)),""))</f>
        <v>100</v>
      </c>
      <c r="AA241" s="37">
        <f>IF(COUNTA(G241:P241)=0,"",ROUND(Q241*'Input &amp; Settings'!$C$5+R241*'Input &amp; Settings'!$C$6+S241*'Input &amp; Settings'!$C$7+T241*'Input &amp; Settings'!$C$8+U241*'Input &amp; Settings'!$C$9+V241*'Input &amp; Settings'!$C$10+W241*'Input &amp; Settings'!$C$11+X241*'Input &amp; Settings'!$C$12+Y241*'Input &amp; Settings'!$C$13+Z241*'Input &amp; Settings'!$C$14,1))</f>
        <v>61.6</v>
      </c>
      <c r="AB241" s="38" t="str">
        <f>IF(OR(AA241="",E241=""),"",IFERROR(IF(AA241&gt;=VLOOKUP(E241,'Input &amp; Settings'!$F$5:$K$10,3,FALSE),"Outstanding",IF(AA241&gt;=VLOOKUP(E241,'Input &amp; Settings'!$F$5:$K$10,4,FALSE),"Exceeds Expectations",IF(AA241&gt;=VLOOKUP(E241,'Input &amp; Settings'!$F$5:$K$10,5,FALSE),"Meets Expectations",IF(AA241&gt;=VLOOKUP(E241,'Input &amp; Settings'!$F$5:$K$10,6,FALSE),"Needs Improvement","Performance Improvement Required")))),""))</f>
        <v>Meets Expectations</v>
      </c>
      <c r="AC241" s="38" t="str">
        <f t="shared" si="12"/>
        <v>Entered</v>
      </c>
      <c r="AD241" s="39"/>
      <c r="AE241" s="40"/>
      <c r="AF241" s="41">
        <f t="shared" si="13"/>
        <v>61.6</v>
      </c>
      <c r="AG241" s="42" t="str">
        <f t="shared" si="14"/>
        <v>Meets Expectations</v>
      </c>
      <c r="AH241" s="42" t="str">
        <f t="shared" si="15"/>
        <v>Alexander Chinea|June</v>
      </c>
    </row>
    <row r="242" spans="1:34" hidden="1">
      <c r="A242" s="32">
        <v>2026</v>
      </c>
      <c r="B242" s="32" t="s">
        <v>85</v>
      </c>
      <c r="C242" s="32" t="s">
        <v>53</v>
      </c>
      <c r="D242" s="32" t="s">
        <v>67</v>
      </c>
      <c r="E242" s="33" t="s">
        <v>91</v>
      </c>
      <c r="F242" s="34" t="str">
        <f>IF(E242="","",IFERROR(VLOOKUP(E242,'Input &amp; Settings'!$F$5:$G$10,2,FALSE),""))</f>
        <v>Low</v>
      </c>
      <c r="G242" s="33"/>
      <c r="H242" s="33"/>
      <c r="I242" s="35"/>
      <c r="J242" s="33"/>
      <c r="K242" s="36"/>
      <c r="L242" s="35"/>
      <c r="M242" s="33"/>
      <c r="N242" s="33"/>
      <c r="O242" s="33"/>
      <c r="P242" s="33"/>
      <c r="Q242" s="37" t="str">
        <f>IF(G242="","",IFERROR(MIN(100,G242/'Input &amp; Settings'!$B$5*100),""))</f>
        <v/>
      </c>
      <c r="R242" s="37" t="str">
        <f>IF(H242="","",IFERROR(MIN(100,H242/'Input &amp; Settings'!$B$6*100),""))</f>
        <v/>
      </c>
      <c r="S242" s="37" t="str">
        <f>IF(I242="","",IFERROR(MIN(100,I242/'Input &amp; Settings'!$B$7*100),""))</f>
        <v/>
      </c>
      <c r="T242" s="37" t="str">
        <f>IF(J242="","",IFERROR(MIN(100,J242/'Input &amp; Settings'!$B$8*100),""))</f>
        <v/>
      </c>
      <c r="U242" s="37" t="str">
        <f>IF(K242="","",IFERROR(MIN(100,K242/'Input &amp; Settings'!$B$9*100),""))</f>
        <v/>
      </c>
      <c r="V242" s="37" t="str">
        <f>IF(L242="","",IFERROR(MIN(100,L242/'Input &amp; Settings'!$B$10*100),""))</f>
        <v/>
      </c>
      <c r="W242" s="37" t="str">
        <f>IF(M242="","",IFERROR(IF(M242&lt;='Input &amp; Settings'!$B$11,100,MAX(0,100-(M242-'Input &amp; Settings'!$B$11)*20)),""))</f>
        <v/>
      </c>
      <c r="X242" s="37" t="str">
        <f>IF(N242="","",IFERROR(MIN(100,N242/'Input &amp; Settings'!$B$12*100),""))</f>
        <v/>
      </c>
      <c r="Y242" s="37" t="str">
        <f>IF(O242="","",IFERROR(MIN(100,O242/'Input &amp; Settings'!$B$13*100),""))</f>
        <v/>
      </c>
      <c r="Z242" s="37" t="str">
        <f>IF(P242="","",IFERROR(IF(P242&lt;='Input &amp; Settings'!$B$14,100,MAX(0,100-(P242-'Input &amp; Settings'!$B$14)*20)),""))</f>
        <v/>
      </c>
      <c r="AA242" s="37" t="str">
        <f>IF(COUNTA(G242:P242)=0,"",ROUND(Q242*'Input &amp; Settings'!$C$5+R242*'Input &amp; Settings'!$C$6+S242*'Input &amp; Settings'!$C$7+T242*'Input &amp; Settings'!$C$8+U242*'Input &amp; Settings'!$C$9+V242*'Input &amp; Settings'!$C$10+W242*'Input &amp; Settings'!$C$11+X242*'Input &amp; Settings'!$C$12+Y242*'Input &amp; Settings'!$C$13+Z242*'Input &amp; Settings'!$C$14,1))</f>
        <v/>
      </c>
      <c r="AB242" s="38" t="str">
        <f>IF(OR(AA242="",E242=""),"",IFERROR(IF(AA242&gt;=VLOOKUP(E242,'Input &amp; Settings'!$F$5:$K$10,3,FALSE),"Outstanding",IF(AA242&gt;=VLOOKUP(E242,'Input &amp; Settings'!$F$5:$K$10,4,FALSE),"Exceeds Expectations",IF(AA242&gt;=VLOOKUP(E242,'Input &amp; Settings'!$F$5:$K$10,5,FALSE),"Meets Expectations",IF(AA242&gt;=VLOOKUP(E242,'Input &amp; Settings'!$F$5:$K$10,6,FALSE),"Needs Improvement","Performance Improvement Required")))),""))</f>
        <v/>
      </c>
      <c r="AC242" s="38" t="str">
        <f t="shared" si="12"/>
        <v/>
      </c>
      <c r="AD242" s="39"/>
      <c r="AE242" s="40"/>
      <c r="AF242" s="41" t="str">
        <f t="shared" si="13"/>
        <v/>
      </c>
      <c r="AG242" s="42" t="str">
        <f t="shared" si="14"/>
        <v/>
      </c>
      <c r="AH242" s="42" t="str">
        <f t="shared" si="15"/>
        <v>Carlos Martinez Monzon|June</v>
      </c>
    </row>
    <row r="243" spans="1:34" hidden="1">
      <c r="A243" s="32">
        <v>2026</v>
      </c>
      <c r="B243" s="32" t="s">
        <v>85</v>
      </c>
      <c r="C243" s="32" t="s">
        <v>53</v>
      </c>
      <c r="D243" s="32" t="s">
        <v>68</v>
      </c>
      <c r="E243" s="33" t="s">
        <v>87</v>
      </c>
      <c r="F243" s="34" t="str">
        <f>IF(E243="","",IFERROR(VLOOKUP(E243,'Input &amp; Settings'!$F$5:$G$10,2,FALSE),""))</f>
        <v>Normal</v>
      </c>
      <c r="G243" s="33"/>
      <c r="H243" s="33"/>
      <c r="I243" s="35"/>
      <c r="J243" s="33"/>
      <c r="K243" s="36"/>
      <c r="L243" s="35"/>
      <c r="M243" s="33"/>
      <c r="N243" s="33"/>
      <c r="O243" s="33"/>
      <c r="P243" s="33"/>
      <c r="Q243" s="37" t="str">
        <f>IF(G243="","",IFERROR(MIN(100,G243/'Input &amp; Settings'!$B$5*100),""))</f>
        <v/>
      </c>
      <c r="R243" s="37" t="str">
        <f>IF(H243="","",IFERROR(MIN(100,H243/'Input &amp; Settings'!$B$6*100),""))</f>
        <v/>
      </c>
      <c r="S243" s="37" t="str">
        <f>IF(I243="","",IFERROR(MIN(100,I243/'Input &amp; Settings'!$B$7*100),""))</f>
        <v/>
      </c>
      <c r="T243" s="37" t="str">
        <f>IF(J243="","",IFERROR(MIN(100,J243/'Input &amp; Settings'!$B$8*100),""))</f>
        <v/>
      </c>
      <c r="U243" s="37" t="str">
        <f>IF(K243="","",IFERROR(MIN(100,K243/'Input &amp; Settings'!$B$9*100),""))</f>
        <v/>
      </c>
      <c r="V243" s="37" t="str">
        <f>IF(L243="","",IFERROR(MIN(100,L243/'Input &amp; Settings'!$B$10*100),""))</f>
        <v/>
      </c>
      <c r="W243" s="37" t="str">
        <f>IF(M243="","",IFERROR(IF(M243&lt;='Input &amp; Settings'!$B$11,100,MAX(0,100-(M243-'Input &amp; Settings'!$B$11)*20)),""))</f>
        <v/>
      </c>
      <c r="X243" s="37" t="str">
        <f>IF(N243="","",IFERROR(MIN(100,N243/'Input &amp; Settings'!$B$12*100),""))</f>
        <v/>
      </c>
      <c r="Y243" s="37" t="str">
        <f>IF(O243="","",IFERROR(MIN(100,O243/'Input &amp; Settings'!$B$13*100),""))</f>
        <v/>
      </c>
      <c r="Z243" s="37" t="str">
        <f>IF(P243="","",IFERROR(IF(P243&lt;='Input &amp; Settings'!$B$14,100,MAX(0,100-(P243-'Input &amp; Settings'!$B$14)*20)),""))</f>
        <v/>
      </c>
      <c r="AA243" s="37" t="str">
        <f>IF(COUNTA(G243:P243)=0,"",ROUND(Q243*'Input &amp; Settings'!$C$5+R243*'Input &amp; Settings'!$C$6+S243*'Input &amp; Settings'!$C$7+T243*'Input &amp; Settings'!$C$8+U243*'Input &amp; Settings'!$C$9+V243*'Input &amp; Settings'!$C$10+W243*'Input &amp; Settings'!$C$11+X243*'Input &amp; Settings'!$C$12+Y243*'Input &amp; Settings'!$C$13+Z243*'Input &amp; Settings'!$C$14,1))</f>
        <v/>
      </c>
      <c r="AB243" s="38" t="str">
        <f>IF(OR(AA243="",E243=""),"",IFERROR(IF(AA243&gt;=VLOOKUP(E243,'Input &amp; Settings'!$F$5:$K$10,3,FALSE),"Outstanding",IF(AA243&gt;=VLOOKUP(E243,'Input &amp; Settings'!$F$5:$K$10,4,FALSE),"Exceeds Expectations",IF(AA243&gt;=VLOOKUP(E243,'Input &amp; Settings'!$F$5:$K$10,5,FALSE),"Meets Expectations",IF(AA243&gt;=VLOOKUP(E243,'Input &amp; Settings'!$F$5:$K$10,6,FALSE),"Needs Improvement","Performance Improvement Required")))),""))</f>
        <v/>
      </c>
      <c r="AC243" s="38" t="str">
        <f t="shared" si="12"/>
        <v/>
      </c>
      <c r="AD243" s="39"/>
      <c r="AE243" s="40"/>
      <c r="AF243" s="41" t="str">
        <f t="shared" si="13"/>
        <v/>
      </c>
      <c r="AG243" s="42" t="str">
        <f t="shared" si="14"/>
        <v/>
      </c>
      <c r="AH243" s="42" t="str">
        <f t="shared" si="15"/>
        <v>Carlos Sanabria|June</v>
      </c>
    </row>
    <row r="244" spans="1:34" hidden="1">
      <c r="A244" s="32">
        <v>2026</v>
      </c>
      <c r="B244" s="32" t="s">
        <v>85</v>
      </c>
      <c r="C244" s="32" t="s">
        <v>53</v>
      </c>
      <c r="D244" s="32" t="s">
        <v>69</v>
      </c>
      <c r="E244" s="33" t="s">
        <v>86</v>
      </c>
      <c r="F244" s="34" t="str">
        <f>IF(E244="","",IFERROR(VLOOKUP(E244,'Input &amp; Settings'!$F$5:$G$10,2,FALSE),""))</f>
        <v>High</v>
      </c>
      <c r="G244" s="33">
        <v>42</v>
      </c>
      <c r="H244" s="33">
        <v>35</v>
      </c>
      <c r="I244" s="35">
        <v>1</v>
      </c>
      <c r="J244" s="33">
        <v>19</v>
      </c>
      <c r="K244" s="36">
        <v>4.25</v>
      </c>
      <c r="L244" s="35">
        <v>1</v>
      </c>
      <c r="M244" s="33">
        <v>3</v>
      </c>
      <c r="N244" s="33">
        <v>0</v>
      </c>
      <c r="O244" s="33">
        <v>0</v>
      </c>
      <c r="P244" s="33">
        <v>7</v>
      </c>
      <c r="Q244" s="37">
        <f>IF(G244="","",IFERROR(MIN(100,G244/'Input &amp; Settings'!$B$5*100),""))</f>
        <v>56.000000000000007</v>
      </c>
      <c r="R244" s="37">
        <f>IF(H244="","",IFERROR(MIN(100,H244/'Input &amp; Settings'!$B$6*100),""))</f>
        <v>43.75</v>
      </c>
      <c r="S244" s="37">
        <f>IF(I244="","",IFERROR(MIN(100,I244/'Input &amp; Settings'!$B$7*100),""))</f>
        <v>100</v>
      </c>
      <c r="T244" s="37">
        <f>IF(J244="","",IFERROR(MIN(100,J244/'Input &amp; Settings'!$B$8*100),""))</f>
        <v>95</v>
      </c>
      <c r="U244" s="37">
        <f>IF(K244="","",IFERROR(MIN(100,K244/'Input &amp; Settings'!$B$9*100),""))</f>
        <v>90.425531914893611</v>
      </c>
      <c r="V244" s="37">
        <f>IF(L244="","",IFERROR(MIN(100,L244/'Input &amp; Settings'!$B$10*100),""))</f>
        <v>100</v>
      </c>
      <c r="W244" s="37">
        <f>IF(M244="","",IFERROR(IF(M244&lt;='Input &amp; Settings'!$B$11,100,MAX(0,100-(M244-'Input &amp; Settings'!$B$11)*20)),""))</f>
        <v>100</v>
      </c>
      <c r="X244" s="37">
        <f>IF(N244="","",IFERROR(MIN(100,N244/'Input &amp; Settings'!$B$12*100),""))</f>
        <v>0</v>
      </c>
      <c r="Y244" s="37">
        <f>IF(O244="","",IFERROR(MIN(100,O244/'Input &amp; Settings'!$B$13*100),""))</f>
        <v>0</v>
      </c>
      <c r="Z244" s="37">
        <f>IF(P244="","",IFERROR(IF(P244&lt;='Input &amp; Settings'!$B$14,100,MAX(0,100-(P244-'Input &amp; Settings'!$B$14)*20)),""))</f>
        <v>60</v>
      </c>
      <c r="AA244" s="37">
        <f>IF(COUNTA(G244:P244)=0,"",ROUND(Q244*'Input &amp; Settings'!$C$5+R244*'Input &amp; Settings'!$C$6+S244*'Input &amp; Settings'!$C$7+T244*'Input &amp; Settings'!$C$8+U244*'Input &amp; Settings'!$C$9+V244*'Input &amp; Settings'!$C$10+W244*'Input &amp; Settings'!$C$11+X244*'Input &amp; Settings'!$C$12+Y244*'Input &amp; Settings'!$C$13+Z244*'Input &amp; Settings'!$C$14,1))</f>
        <v>70.3</v>
      </c>
      <c r="AB244" s="38" t="str">
        <f>IF(OR(AA244="",E244=""),"",IFERROR(IF(AA244&gt;=VLOOKUP(E244,'Input &amp; Settings'!$F$5:$K$10,3,FALSE),"Outstanding",IF(AA244&gt;=VLOOKUP(E244,'Input &amp; Settings'!$F$5:$K$10,4,FALSE),"Exceeds Expectations",IF(AA244&gt;=VLOOKUP(E244,'Input &amp; Settings'!$F$5:$K$10,5,FALSE),"Meets Expectations",IF(AA244&gt;=VLOOKUP(E244,'Input &amp; Settings'!$F$5:$K$10,6,FALSE),"Needs Improvement","Performance Improvement Required")))),""))</f>
        <v>Exceeds Expectations</v>
      </c>
      <c r="AC244" s="38" t="str">
        <f t="shared" si="12"/>
        <v>Entered</v>
      </c>
      <c r="AD244" s="39"/>
      <c r="AE244" s="40"/>
      <c r="AF244" s="41">
        <f t="shared" si="13"/>
        <v>70.3</v>
      </c>
      <c r="AG244" s="42" t="str">
        <f t="shared" si="14"/>
        <v>Exceeds Expectations</v>
      </c>
      <c r="AH244" s="42" t="str">
        <f t="shared" si="15"/>
        <v>Alex Gomes|June</v>
      </c>
    </row>
    <row r="245" spans="1:34" hidden="1">
      <c r="A245" s="32">
        <v>2026</v>
      </c>
      <c r="B245" s="32" t="s">
        <v>85</v>
      </c>
      <c r="C245" s="32" t="s">
        <v>53</v>
      </c>
      <c r="D245" s="32" t="s">
        <v>70</v>
      </c>
      <c r="E245" s="33" t="s">
        <v>88</v>
      </c>
      <c r="F245" s="34" t="str">
        <f>IF(E245="","",IFERROR(VLOOKUP(E245,'Input &amp; Settings'!$F$5:$G$10,2,FALSE),""))</f>
        <v>Normal</v>
      </c>
      <c r="G245" s="33">
        <v>13</v>
      </c>
      <c r="H245" s="33">
        <v>4</v>
      </c>
      <c r="I245" s="35">
        <v>1</v>
      </c>
      <c r="J245" s="33">
        <v>33</v>
      </c>
      <c r="K245" s="36">
        <v>4.67</v>
      </c>
      <c r="L245" s="35">
        <v>1</v>
      </c>
      <c r="M245" s="33">
        <v>0</v>
      </c>
      <c r="N245" s="33">
        <v>0</v>
      </c>
      <c r="O245" s="33">
        <v>0</v>
      </c>
      <c r="P245" s="33">
        <v>0</v>
      </c>
      <c r="Q245" s="37">
        <f>IF(G245="","",IFERROR(MIN(100,G245/'Input &amp; Settings'!$B$5*100),""))</f>
        <v>17.333333333333336</v>
      </c>
      <c r="R245" s="37">
        <f>IF(H245="","",IFERROR(MIN(100,H245/'Input &amp; Settings'!$B$6*100),""))</f>
        <v>5</v>
      </c>
      <c r="S245" s="37">
        <f>IF(I245="","",IFERROR(MIN(100,I245/'Input &amp; Settings'!$B$7*100),""))</f>
        <v>100</v>
      </c>
      <c r="T245" s="37">
        <f>IF(J245="","",IFERROR(MIN(100,J245/'Input &amp; Settings'!$B$8*100),""))</f>
        <v>100</v>
      </c>
      <c r="U245" s="37">
        <f>IF(K245="","",IFERROR(MIN(100,K245/'Input &amp; Settings'!$B$9*100),""))</f>
        <v>99.361702127659569</v>
      </c>
      <c r="V245" s="37">
        <f>IF(L245="","",IFERROR(MIN(100,L245/'Input &amp; Settings'!$B$10*100),""))</f>
        <v>100</v>
      </c>
      <c r="W245" s="37">
        <f>IF(M245="","",IFERROR(IF(M245&lt;='Input &amp; Settings'!$B$11,100,MAX(0,100-(M245-'Input &amp; Settings'!$B$11)*20)),""))</f>
        <v>100</v>
      </c>
      <c r="X245" s="37">
        <f>IF(N245="","",IFERROR(MIN(100,N245/'Input &amp; Settings'!$B$12*100),""))</f>
        <v>0</v>
      </c>
      <c r="Y245" s="37">
        <f>IF(O245="","",IFERROR(MIN(100,O245/'Input &amp; Settings'!$B$13*100),""))</f>
        <v>0</v>
      </c>
      <c r="Z245" s="37">
        <f>IF(P245="","",IFERROR(IF(P245&lt;='Input &amp; Settings'!$B$14,100,MAX(0,100-(P245-'Input &amp; Settings'!$B$14)*20)),""))</f>
        <v>100</v>
      </c>
      <c r="AA245" s="37">
        <f>IF(COUNTA(G245:P245)=0,"",ROUND(Q245*'Input &amp; Settings'!$C$5+R245*'Input &amp; Settings'!$C$6+S245*'Input &amp; Settings'!$C$7+T245*'Input &amp; Settings'!$C$8+U245*'Input &amp; Settings'!$C$9+V245*'Input &amp; Settings'!$C$10+W245*'Input &amp; Settings'!$C$11+X245*'Input &amp; Settings'!$C$12+Y245*'Input &amp; Settings'!$C$13+Z245*'Input &amp; Settings'!$C$14,1))</f>
        <v>68</v>
      </c>
      <c r="AB245" s="38" t="str">
        <f>IF(OR(AA245="",E245=""),"",IFERROR(IF(AA245&gt;=VLOOKUP(E245,'Input &amp; Settings'!$F$5:$K$10,3,FALSE),"Outstanding",IF(AA245&gt;=VLOOKUP(E245,'Input &amp; Settings'!$F$5:$K$10,4,FALSE),"Exceeds Expectations",IF(AA245&gt;=VLOOKUP(E245,'Input &amp; Settings'!$F$5:$K$10,5,FALSE),"Meets Expectations",IF(AA245&gt;=VLOOKUP(E245,'Input &amp; Settings'!$F$5:$K$10,6,FALSE),"Needs Improvement","Performance Improvement Required")))),""))</f>
        <v>Exceeds Expectations</v>
      </c>
      <c r="AC245" s="38" t="str">
        <f t="shared" si="12"/>
        <v>Entered</v>
      </c>
      <c r="AD245" s="39"/>
      <c r="AE245" s="40"/>
      <c r="AF245" s="41">
        <f t="shared" si="13"/>
        <v>68</v>
      </c>
      <c r="AG245" s="42" t="str">
        <f t="shared" si="14"/>
        <v>Exceeds Expectations</v>
      </c>
      <c r="AH245" s="42" t="str">
        <f t="shared" si="15"/>
        <v>Teddy Joseph|June</v>
      </c>
    </row>
    <row r="246" spans="1:34" hidden="1">
      <c r="A246" s="32">
        <v>2026</v>
      </c>
      <c r="B246" s="32" t="s">
        <v>85</v>
      </c>
      <c r="C246" s="32" t="s">
        <v>53</v>
      </c>
      <c r="D246" s="32" t="s">
        <v>71</v>
      </c>
      <c r="E246" s="33" t="s">
        <v>91</v>
      </c>
      <c r="F246" s="34" t="str">
        <f>IF(E246="","",IFERROR(VLOOKUP(E246,'Input &amp; Settings'!$F$5:$G$10,2,FALSE),""))</f>
        <v>Low</v>
      </c>
      <c r="G246" s="33"/>
      <c r="H246" s="33"/>
      <c r="I246" s="35"/>
      <c r="J246" s="33"/>
      <c r="K246" s="36"/>
      <c r="L246" s="35"/>
      <c r="M246" s="33"/>
      <c r="N246" s="33"/>
      <c r="O246" s="33"/>
      <c r="P246" s="33"/>
      <c r="Q246" s="37" t="str">
        <f>IF(G246="","",IFERROR(MIN(100,G246/'Input &amp; Settings'!$B$5*100),""))</f>
        <v/>
      </c>
      <c r="R246" s="37" t="str">
        <f>IF(H246="","",IFERROR(MIN(100,H246/'Input &amp; Settings'!$B$6*100),""))</f>
        <v/>
      </c>
      <c r="S246" s="37" t="str">
        <f>IF(I246="","",IFERROR(MIN(100,I246/'Input &amp; Settings'!$B$7*100),""))</f>
        <v/>
      </c>
      <c r="T246" s="37" t="str">
        <f>IF(J246="","",IFERROR(MIN(100,J246/'Input &amp; Settings'!$B$8*100),""))</f>
        <v/>
      </c>
      <c r="U246" s="37" t="str">
        <f>IF(K246="","",IFERROR(MIN(100,K246/'Input &amp; Settings'!$B$9*100),""))</f>
        <v/>
      </c>
      <c r="V246" s="37" t="str">
        <f>IF(L246="","",IFERROR(MIN(100,L246/'Input &amp; Settings'!$B$10*100),""))</f>
        <v/>
      </c>
      <c r="W246" s="37" t="str">
        <f>IF(M246="","",IFERROR(IF(M246&lt;='Input &amp; Settings'!$B$11,100,MAX(0,100-(M246-'Input &amp; Settings'!$B$11)*20)),""))</f>
        <v/>
      </c>
      <c r="X246" s="37" t="str">
        <f>IF(N246="","",IFERROR(MIN(100,N246/'Input &amp; Settings'!$B$12*100),""))</f>
        <v/>
      </c>
      <c r="Y246" s="37" t="str">
        <f>IF(O246="","",IFERROR(MIN(100,O246/'Input &amp; Settings'!$B$13*100),""))</f>
        <v/>
      </c>
      <c r="Z246" s="37" t="str">
        <f>IF(P246="","",IFERROR(IF(P246&lt;='Input &amp; Settings'!$B$14,100,MAX(0,100-(P246-'Input &amp; Settings'!$B$14)*20)),""))</f>
        <v/>
      </c>
      <c r="AA246" s="37" t="str">
        <f>IF(COUNTA(G246:P246)=0,"",ROUND(Q246*'Input &amp; Settings'!$C$5+R246*'Input &amp; Settings'!$C$6+S246*'Input &amp; Settings'!$C$7+T246*'Input &amp; Settings'!$C$8+U246*'Input &amp; Settings'!$C$9+V246*'Input &amp; Settings'!$C$10+W246*'Input &amp; Settings'!$C$11+X246*'Input &amp; Settings'!$C$12+Y246*'Input &amp; Settings'!$C$13+Z246*'Input &amp; Settings'!$C$14,1))</f>
        <v/>
      </c>
      <c r="AB246" s="38" t="str">
        <f>IF(OR(AA246="",E246=""),"",IFERROR(IF(AA246&gt;=VLOOKUP(E246,'Input &amp; Settings'!$F$5:$K$10,3,FALSE),"Outstanding",IF(AA246&gt;=VLOOKUP(E246,'Input &amp; Settings'!$F$5:$K$10,4,FALSE),"Exceeds Expectations",IF(AA246&gt;=VLOOKUP(E246,'Input &amp; Settings'!$F$5:$K$10,5,FALSE),"Meets Expectations",IF(AA246&gt;=VLOOKUP(E246,'Input &amp; Settings'!$F$5:$K$10,6,FALSE),"Needs Improvement","Performance Improvement Required")))),""))</f>
        <v/>
      </c>
      <c r="AC246" s="38" t="str">
        <f t="shared" si="12"/>
        <v/>
      </c>
      <c r="AD246" s="39"/>
      <c r="AE246" s="40"/>
      <c r="AF246" s="41" t="str">
        <f t="shared" si="13"/>
        <v/>
      </c>
      <c r="AG246" s="42" t="str">
        <f t="shared" si="14"/>
        <v/>
      </c>
      <c r="AH246" s="42" t="str">
        <f t="shared" si="15"/>
        <v>Andrew Montgomery|June</v>
      </c>
    </row>
    <row r="247" spans="1:34" hidden="1">
      <c r="A247" s="32">
        <v>2026</v>
      </c>
      <c r="B247" s="32" t="s">
        <v>85</v>
      </c>
      <c r="C247" s="32" t="s">
        <v>53</v>
      </c>
      <c r="D247" s="32" t="s">
        <v>72</v>
      </c>
      <c r="E247" s="33" t="s">
        <v>87</v>
      </c>
      <c r="F247" s="34" t="str">
        <f>IF(E247="","",IFERROR(VLOOKUP(E247,'Input &amp; Settings'!$F$5:$G$10,2,FALSE),""))</f>
        <v>Normal</v>
      </c>
      <c r="G247" s="33"/>
      <c r="H247" s="33"/>
      <c r="I247" s="35"/>
      <c r="J247" s="33"/>
      <c r="K247" s="36"/>
      <c r="L247" s="35"/>
      <c r="M247" s="33"/>
      <c r="N247" s="33"/>
      <c r="O247" s="33"/>
      <c r="P247" s="33"/>
      <c r="Q247" s="37" t="str">
        <f>IF(G247="","",IFERROR(MIN(100,G247/'Input &amp; Settings'!$B$5*100),""))</f>
        <v/>
      </c>
      <c r="R247" s="37" t="str">
        <f>IF(H247="","",IFERROR(MIN(100,H247/'Input &amp; Settings'!$B$6*100),""))</f>
        <v/>
      </c>
      <c r="S247" s="37" t="str">
        <f>IF(I247="","",IFERROR(MIN(100,I247/'Input &amp; Settings'!$B$7*100),""))</f>
        <v/>
      </c>
      <c r="T247" s="37" t="str">
        <f>IF(J247="","",IFERROR(MIN(100,J247/'Input &amp; Settings'!$B$8*100),""))</f>
        <v/>
      </c>
      <c r="U247" s="37" t="str">
        <f>IF(K247="","",IFERROR(MIN(100,K247/'Input &amp; Settings'!$B$9*100),""))</f>
        <v/>
      </c>
      <c r="V247" s="37" t="str">
        <f>IF(L247="","",IFERROR(MIN(100,L247/'Input &amp; Settings'!$B$10*100),""))</f>
        <v/>
      </c>
      <c r="W247" s="37" t="str">
        <f>IF(M247="","",IFERROR(IF(M247&lt;='Input &amp; Settings'!$B$11,100,MAX(0,100-(M247-'Input &amp; Settings'!$B$11)*20)),""))</f>
        <v/>
      </c>
      <c r="X247" s="37" t="str">
        <f>IF(N247="","",IFERROR(MIN(100,N247/'Input &amp; Settings'!$B$12*100),""))</f>
        <v/>
      </c>
      <c r="Y247" s="37" t="str">
        <f>IF(O247="","",IFERROR(MIN(100,O247/'Input &amp; Settings'!$B$13*100),""))</f>
        <v/>
      </c>
      <c r="Z247" s="37" t="str">
        <f>IF(P247="","",IFERROR(IF(P247&lt;='Input &amp; Settings'!$B$14,100,MAX(0,100-(P247-'Input &amp; Settings'!$B$14)*20)),""))</f>
        <v/>
      </c>
      <c r="AA247" s="37" t="str">
        <f>IF(COUNTA(G247:P247)=0,"",ROUND(Q247*'Input &amp; Settings'!$C$5+R247*'Input &amp; Settings'!$C$6+S247*'Input &amp; Settings'!$C$7+T247*'Input &amp; Settings'!$C$8+U247*'Input &amp; Settings'!$C$9+V247*'Input &amp; Settings'!$C$10+W247*'Input &amp; Settings'!$C$11+X247*'Input &amp; Settings'!$C$12+Y247*'Input &amp; Settings'!$C$13+Z247*'Input &amp; Settings'!$C$14,1))</f>
        <v/>
      </c>
      <c r="AB247" s="38" t="str">
        <f>IF(OR(AA247="",E247=""),"",IFERROR(IF(AA247&gt;=VLOOKUP(E247,'Input &amp; Settings'!$F$5:$K$10,3,FALSE),"Outstanding",IF(AA247&gt;=VLOOKUP(E247,'Input &amp; Settings'!$F$5:$K$10,4,FALSE),"Exceeds Expectations",IF(AA247&gt;=VLOOKUP(E247,'Input &amp; Settings'!$F$5:$K$10,5,FALSE),"Meets Expectations",IF(AA247&gt;=VLOOKUP(E247,'Input &amp; Settings'!$F$5:$K$10,6,FALSE),"Needs Improvement","Performance Improvement Required")))),""))</f>
        <v/>
      </c>
      <c r="AC247" s="38" t="str">
        <f t="shared" si="12"/>
        <v/>
      </c>
      <c r="AD247" s="39"/>
      <c r="AE247" s="40"/>
      <c r="AF247" s="41" t="str">
        <f t="shared" si="13"/>
        <v/>
      </c>
      <c r="AG247" s="42" t="str">
        <f t="shared" si="14"/>
        <v/>
      </c>
      <c r="AH247" s="42" t="str">
        <f t="shared" si="15"/>
        <v>Amanda Rodriguez|June</v>
      </c>
    </row>
    <row r="248" spans="1:34" hidden="1">
      <c r="A248" s="32">
        <v>2026</v>
      </c>
      <c r="B248" s="32" t="s">
        <v>85</v>
      </c>
      <c r="C248" s="32" t="s">
        <v>53</v>
      </c>
      <c r="D248" s="32" t="s">
        <v>73</v>
      </c>
      <c r="E248" s="33" t="s">
        <v>86</v>
      </c>
      <c r="F248" s="34" t="str">
        <f>IF(E248="","",IFERROR(VLOOKUP(E248,'Input &amp; Settings'!$F$5:$G$10,2,FALSE),""))</f>
        <v>High</v>
      </c>
      <c r="G248" s="33">
        <v>53</v>
      </c>
      <c r="H248" s="33">
        <v>81</v>
      </c>
      <c r="I248" s="35">
        <v>1</v>
      </c>
      <c r="J248" s="33">
        <v>0</v>
      </c>
      <c r="K248" s="36">
        <v>5</v>
      </c>
      <c r="L248" s="35">
        <v>1</v>
      </c>
      <c r="M248" s="33">
        <v>5</v>
      </c>
      <c r="N248" s="33">
        <v>0</v>
      </c>
      <c r="O248" s="33">
        <v>1</v>
      </c>
      <c r="P248" s="33">
        <v>8</v>
      </c>
      <c r="Q248" s="37">
        <f>IF(G248="","",IFERROR(MIN(100,G248/'Input &amp; Settings'!$B$5*100),""))</f>
        <v>70.666666666666671</v>
      </c>
      <c r="R248" s="37">
        <f>IF(H248="","",IFERROR(MIN(100,H248/'Input &amp; Settings'!$B$6*100),""))</f>
        <v>100</v>
      </c>
      <c r="S248" s="37">
        <f>IF(I248="","",IFERROR(MIN(100,I248/'Input &amp; Settings'!$B$7*100),""))</f>
        <v>100</v>
      </c>
      <c r="T248" s="37">
        <f>IF(J248="","",IFERROR(MIN(100,J248/'Input &amp; Settings'!$B$8*100),""))</f>
        <v>0</v>
      </c>
      <c r="U248" s="37">
        <f>IF(K248="","",IFERROR(MIN(100,K248/'Input &amp; Settings'!$B$9*100),""))</f>
        <v>100</v>
      </c>
      <c r="V248" s="37">
        <f>IF(L248="","",IFERROR(MIN(100,L248/'Input &amp; Settings'!$B$10*100),""))</f>
        <v>100</v>
      </c>
      <c r="W248" s="37">
        <f>IF(M248="","",IFERROR(IF(M248&lt;='Input &amp; Settings'!$B$11,100,MAX(0,100-(M248-'Input &amp; Settings'!$B$11)*20)),""))</f>
        <v>100</v>
      </c>
      <c r="X248" s="37">
        <f>IF(N248="","",IFERROR(MIN(100,N248/'Input &amp; Settings'!$B$12*100),""))</f>
        <v>0</v>
      </c>
      <c r="Y248" s="37">
        <f>IF(O248="","",IFERROR(MIN(100,O248/'Input &amp; Settings'!$B$13*100),""))</f>
        <v>50</v>
      </c>
      <c r="Z248" s="37">
        <f>IF(P248="","",IFERROR(IF(P248&lt;='Input &amp; Settings'!$B$14,100,MAX(0,100-(P248-'Input &amp; Settings'!$B$14)*20)),""))</f>
        <v>40</v>
      </c>
      <c r="AA248" s="37">
        <f>IF(COUNTA(G248:P248)=0,"",ROUND(Q248*'Input &amp; Settings'!$C$5+R248*'Input &amp; Settings'!$C$6+S248*'Input &amp; Settings'!$C$7+T248*'Input &amp; Settings'!$C$8+U248*'Input &amp; Settings'!$C$9+V248*'Input &amp; Settings'!$C$10+W248*'Input &amp; Settings'!$C$11+X248*'Input &amp; Settings'!$C$12+Y248*'Input &amp; Settings'!$C$13+Z248*'Input &amp; Settings'!$C$14,1))</f>
        <v>69.099999999999994</v>
      </c>
      <c r="AB248" s="38" t="str">
        <f>IF(OR(AA248="",E248=""),"",IFERROR(IF(AA248&gt;=VLOOKUP(E248,'Input &amp; Settings'!$F$5:$K$10,3,FALSE),"Outstanding",IF(AA248&gt;=VLOOKUP(E248,'Input &amp; Settings'!$F$5:$K$10,4,FALSE),"Exceeds Expectations",IF(AA248&gt;=VLOOKUP(E248,'Input &amp; Settings'!$F$5:$K$10,5,FALSE),"Meets Expectations",IF(AA248&gt;=VLOOKUP(E248,'Input &amp; Settings'!$F$5:$K$10,6,FALSE),"Needs Improvement","Performance Improvement Required")))),""))</f>
        <v>Meets Expectations</v>
      </c>
      <c r="AC248" s="38" t="str">
        <f t="shared" si="12"/>
        <v>Entered</v>
      </c>
      <c r="AD248" s="39"/>
      <c r="AE248" s="40"/>
      <c r="AF248" s="41">
        <f t="shared" si="13"/>
        <v>69.099999999999994</v>
      </c>
      <c r="AG248" s="42" t="str">
        <f t="shared" si="14"/>
        <v>Meets Expectations</v>
      </c>
      <c r="AH248" s="42" t="str">
        <f t="shared" si="15"/>
        <v>Erick Mojica|June</v>
      </c>
    </row>
    <row r="249" spans="1:34" hidden="1">
      <c r="A249" s="32">
        <v>2026</v>
      </c>
      <c r="B249" s="32" t="s">
        <v>85</v>
      </c>
      <c r="C249" s="32" t="s">
        <v>74</v>
      </c>
      <c r="D249" s="32" t="s">
        <v>75</v>
      </c>
      <c r="E249" s="33"/>
      <c r="F249" s="34" t="str">
        <f>IF(E249="","",IFERROR(VLOOKUP(E249,'Input &amp; Settings'!$F$5:$G$10,2,FALSE),""))</f>
        <v/>
      </c>
      <c r="G249" s="33"/>
      <c r="H249" s="33"/>
      <c r="I249" s="35"/>
      <c r="J249" s="33"/>
      <c r="K249" s="36"/>
      <c r="L249" s="35"/>
      <c r="M249" s="33"/>
      <c r="N249" s="33"/>
      <c r="O249" s="33"/>
      <c r="P249" s="33"/>
      <c r="Q249" s="37" t="str">
        <f>IF(G249="","",IFERROR(MIN(100,G249/'Input &amp; Settings'!$B$5*100),""))</f>
        <v/>
      </c>
      <c r="R249" s="37" t="str">
        <f>IF(H249="","",IFERROR(MIN(100,H249/'Input &amp; Settings'!$B$6*100),""))</f>
        <v/>
      </c>
      <c r="S249" s="37" t="str">
        <f>IF(I249="","",IFERROR(MIN(100,I249/'Input &amp; Settings'!$B$7*100),""))</f>
        <v/>
      </c>
      <c r="T249" s="37" t="str">
        <f>IF(J249="","",IFERROR(MIN(100,J249/'Input &amp; Settings'!$B$8*100),""))</f>
        <v/>
      </c>
      <c r="U249" s="37" t="str">
        <f>IF(K249="","",IFERROR(MIN(100,K249/'Input &amp; Settings'!$B$9*100),""))</f>
        <v/>
      </c>
      <c r="V249" s="37" t="str">
        <f>IF(L249="","",IFERROR(MIN(100,L249/'Input &amp; Settings'!$B$10*100),""))</f>
        <v/>
      </c>
      <c r="W249" s="37" t="str">
        <f>IF(M249="","",IFERROR(IF(M249&lt;='Input &amp; Settings'!$B$11,100,MAX(0,100-(M249-'Input &amp; Settings'!$B$11)*20)),""))</f>
        <v/>
      </c>
      <c r="X249" s="37" t="str">
        <f>IF(N249="","",IFERROR(MIN(100,N249/'Input &amp; Settings'!$B$12*100),""))</f>
        <v/>
      </c>
      <c r="Y249" s="37" t="str">
        <f>IF(O249="","",IFERROR(MIN(100,O249/'Input &amp; Settings'!$B$13*100),""))</f>
        <v/>
      </c>
      <c r="Z249" s="37" t="str">
        <f>IF(P249="","",IFERROR(IF(P249&lt;='Input &amp; Settings'!$B$14,100,MAX(0,100-(P249-'Input &amp; Settings'!$B$14)*20)),""))</f>
        <v/>
      </c>
      <c r="AA249" s="37" t="str">
        <f>IF(COUNTA(G249:P249)=0,"",ROUND(Q249*'Input &amp; Settings'!$C$5+R249*'Input &amp; Settings'!$C$6+S249*'Input &amp; Settings'!$C$7+T249*'Input &amp; Settings'!$C$8+U249*'Input &amp; Settings'!$C$9+V249*'Input &amp; Settings'!$C$10+W249*'Input &amp; Settings'!$C$11+X249*'Input &amp; Settings'!$C$12+Y249*'Input &amp; Settings'!$C$13+Z249*'Input &amp; Settings'!$C$14,1))</f>
        <v/>
      </c>
      <c r="AB249" s="38" t="str">
        <f>IF(OR(AA249="",E249=""),"",IFERROR(IF(AA249&gt;=VLOOKUP(E249,'Input &amp; Settings'!$F$5:$K$10,3,FALSE),"Outstanding",IF(AA249&gt;=VLOOKUP(E249,'Input &amp; Settings'!$F$5:$K$10,4,FALSE),"Exceeds Expectations",IF(AA249&gt;=VLOOKUP(E249,'Input &amp; Settings'!$F$5:$K$10,5,FALSE),"Meets Expectations",IF(AA249&gt;=VLOOKUP(E249,'Input &amp; Settings'!$F$5:$K$10,6,FALSE),"Needs Improvement","Performance Improvement Required")))),""))</f>
        <v/>
      </c>
      <c r="AC249" s="38" t="str">
        <f t="shared" si="12"/>
        <v/>
      </c>
      <c r="AD249" s="39"/>
      <c r="AE249" s="40"/>
      <c r="AF249" s="41" t="str">
        <f t="shared" si="13"/>
        <v/>
      </c>
      <c r="AG249" s="42" t="str">
        <f t="shared" si="14"/>
        <v/>
      </c>
      <c r="AH249" s="42" t="str">
        <f t="shared" si="15"/>
        <v>Raul Rama|June</v>
      </c>
    </row>
    <row r="250" spans="1:34" hidden="1">
      <c r="A250" s="32">
        <v>2026</v>
      </c>
      <c r="B250" s="32" t="s">
        <v>85</v>
      </c>
      <c r="C250" s="32" t="s">
        <v>74</v>
      </c>
      <c r="D250" s="32" t="s">
        <v>76</v>
      </c>
      <c r="E250" s="33"/>
      <c r="F250" s="34" t="str">
        <f>IF(E250="","",IFERROR(VLOOKUP(E250,'Input &amp; Settings'!$F$5:$G$10,2,FALSE),""))</f>
        <v/>
      </c>
      <c r="G250" s="33"/>
      <c r="H250" s="33"/>
      <c r="I250" s="35"/>
      <c r="J250" s="33"/>
      <c r="K250" s="36"/>
      <c r="L250" s="35"/>
      <c r="M250" s="33"/>
      <c r="N250" s="33"/>
      <c r="O250" s="33"/>
      <c r="P250" s="33"/>
      <c r="Q250" s="37" t="str">
        <f>IF(G250="","",IFERROR(MIN(100,G250/'Input &amp; Settings'!$B$5*100),""))</f>
        <v/>
      </c>
      <c r="R250" s="37" t="str">
        <f>IF(H250="","",IFERROR(MIN(100,H250/'Input &amp; Settings'!$B$6*100),""))</f>
        <v/>
      </c>
      <c r="S250" s="37" t="str">
        <f>IF(I250="","",IFERROR(MIN(100,I250/'Input &amp; Settings'!$B$7*100),""))</f>
        <v/>
      </c>
      <c r="T250" s="37" t="str">
        <f>IF(J250="","",IFERROR(MIN(100,J250/'Input &amp; Settings'!$B$8*100),""))</f>
        <v/>
      </c>
      <c r="U250" s="37" t="str">
        <f>IF(K250="","",IFERROR(MIN(100,K250/'Input &amp; Settings'!$B$9*100),""))</f>
        <v/>
      </c>
      <c r="V250" s="37" t="str">
        <f>IF(L250="","",IFERROR(MIN(100,L250/'Input &amp; Settings'!$B$10*100),""))</f>
        <v/>
      </c>
      <c r="W250" s="37" t="str">
        <f>IF(M250="","",IFERROR(IF(M250&lt;='Input &amp; Settings'!$B$11,100,MAX(0,100-(M250-'Input &amp; Settings'!$B$11)*20)),""))</f>
        <v/>
      </c>
      <c r="X250" s="37" t="str">
        <f>IF(N250="","",IFERROR(MIN(100,N250/'Input &amp; Settings'!$B$12*100),""))</f>
        <v/>
      </c>
      <c r="Y250" s="37" t="str">
        <f>IF(O250="","",IFERROR(MIN(100,O250/'Input &amp; Settings'!$B$13*100),""))</f>
        <v/>
      </c>
      <c r="Z250" s="37" t="str">
        <f>IF(P250="","",IFERROR(IF(P250&lt;='Input &amp; Settings'!$B$14,100,MAX(0,100-(P250-'Input &amp; Settings'!$B$14)*20)),""))</f>
        <v/>
      </c>
      <c r="AA250" s="37" t="str">
        <f>IF(COUNTA(G250:P250)=0,"",ROUND(Q250*'Input &amp; Settings'!$C$5+R250*'Input &amp; Settings'!$C$6+S250*'Input &amp; Settings'!$C$7+T250*'Input &amp; Settings'!$C$8+U250*'Input &amp; Settings'!$C$9+V250*'Input &amp; Settings'!$C$10+W250*'Input &amp; Settings'!$C$11+X250*'Input &amp; Settings'!$C$12+Y250*'Input &amp; Settings'!$C$13+Z250*'Input &amp; Settings'!$C$14,1))</f>
        <v/>
      </c>
      <c r="AB250" s="38" t="str">
        <f>IF(OR(AA250="",E250=""),"",IFERROR(IF(AA250&gt;=VLOOKUP(E250,'Input &amp; Settings'!$F$5:$K$10,3,FALSE),"Outstanding",IF(AA250&gt;=VLOOKUP(E250,'Input &amp; Settings'!$F$5:$K$10,4,FALSE),"Exceeds Expectations",IF(AA250&gt;=VLOOKUP(E250,'Input &amp; Settings'!$F$5:$K$10,5,FALSE),"Meets Expectations",IF(AA250&gt;=VLOOKUP(E250,'Input &amp; Settings'!$F$5:$K$10,6,FALSE),"Needs Improvement","Performance Improvement Required")))),""))</f>
        <v/>
      </c>
      <c r="AC250" s="38" t="str">
        <f t="shared" si="12"/>
        <v/>
      </c>
      <c r="AD250" s="39"/>
      <c r="AE250" s="40"/>
      <c r="AF250" s="41" t="str">
        <f t="shared" si="13"/>
        <v/>
      </c>
      <c r="AG250" s="42" t="str">
        <f t="shared" si="14"/>
        <v/>
      </c>
      <c r="AH250" s="42" t="str">
        <f t="shared" si="15"/>
        <v>Kaevon Tyler|June</v>
      </c>
    </row>
    <row r="251" spans="1:34" hidden="1">
      <c r="A251" s="32">
        <v>2026</v>
      </c>
      <c r="B251" s="32" t="s">
        <v>85</v>
      </c>
      <c r="C251" s="32" t="s">
        <v>74</v>
      </c>
      <c r="D251" s="32" t="s">
        <v>77</v>
      </c>
      <c r="E251" s="33"/>
      <c r="F251" s="34" t="str">
        <f>IF(E251="","",IFERROR(VLOOKUP(E251,'Input &amp; Settings'!$F$5:$G$10,2,FALSE),""))</f>
        <v/>
      </c>
      <c r="G251" s="33"/>
      <c r="H251" s="33"/>
      <c r="I251" s="35"/>
      <c r="J251" s="33"/>
      <c r="K251" s="36"/>
      <c r="L251" s="35"/>
      <c r="M251" s="33"/>
      <c r="N251" s="33"/>
      <c r="O251" s="33"/>
      <c r="P251" s="33"/>
      <c r="Q251" s="37" t="str">
        <f>IF(G251="","",IFERROR(MIN(100,G251/'Input &amp; Settings'!$B$5*100),""))</f>
        <v/>
      </c>
      <c r="R251" s="37" t="str">
        <f>IF(H251="","",IFERROR(MIN(100,H251/'Input &amp; Settings'!$B$6*100),""))</f>
        <v/>
      </c>
      <c r="S251" s="37" t="str">
        <f>IF(I251="","",IFERROR(MIN(100,I251/'Input &amp; Settings'!$B$7*100),""))</f>
        <v/>
      </c>
      <c r="T251" s="37" t="str">
        <f>IF(J251="","",IFERROR(MIN(100,J251/'Input &amp; Settings'!$B$8*100),""))</f>
        <v/>
      </c>
      <c r="U251" s="37" t="str">
        <f>IF(K251="","",IFERROR(MIN(100,K251/'Input &amp; Settings'!$B$9*100),""))</f>
        <v/>
      </c>
      <c r="V251" s="37" t="str">
        <f>IF(L251="","",IFERROR(MIN(100,L251/'Input &amp; Settings'!$B$10*100),""))</f>
        <v/>
      </c>
      <c r="W251" s="37" t="str">
        <f>IF(M251="","",IFERROR(IF(M251&lt;='Input &amp; Settings'!$B$11,100,MAX(0,100-(M251-'Input &amp; Settings'!$B$11)*20)),""))</f>
        <v/>
      </c>
      <c r="X251" s="37" t="str">
        <f>IF(N251="","",IFERROR(MIN(100,N251/'Input &amp; Settings'!$B$12*100),""))</f>
        <v/>
      </c>
      <c r="Y251" s="37" t="str">
        <f>IF(O251="","",IFERROR(MIN(100,O251/'Input &amp; Settings'!$B$13*100),""))</f>
        <v/>
      </c>
      <c r="Z251" s="37" t="str">
        <f>IF(P251="","",IFERROR(IF(P251&lt;='Input &amp; Settings'!$B$14,100,MAX(0,100-(P251-'Input &amp; Settings'!$B$14)*20)),""))</f>
        <v/>
      </c>
      <c r="AA251" s="37" t="str">
        <f>IF(COUNTA(G251:P251)=0,"",ROUND(Q251*'Input &amp; Settings'!$C$5+R251*'Input &amp; Settings'!$C$6+S251*'Input &amp; Settings'!$C$7+T251*'Input &amp; Settings'!$C$8+U251*'Input &amp; Settings'!$C$9+V251*'Input &amp; Settings'!$C$10+W251*'Input &amp; Settings'!$C$11+X251*'Input &amp; Settings'!$C$12+Y251*'Input &amp; Settings'!$C$13+Z251*'Input &amp; Settings'!$C$14,1))</f>
        <v/>
      </c>
      <c r="AB251" s="38" t="str">
        <f>IF(OR(AA251="",E251=""),"",IFERROR(IF(AA251&gt;=VLOOKUP(E251,'Input &amp; Settings'!$F$5:$K$10,3,FALSE),"Outstanding",IF(AA251&gt;=VLOOKUP(E251,'Input &amp; Settings'!$F$5:$K$10,4,FALSE),"Exceeds Expectations",IF(AA251&gt;=VLOOKUP(E251,'Input &amp; Settings'!$F$5:$K$10,5,FALSE),"Meets Expectations",IF(AA251&gt;=VLOOKUP(E251,'Input &amp; Settings'!$F$5:$K$10,6,FALSE),"Needs Improvement","Performance Improvement Required")))),""))</f>
        <v/>
      </c>
      <c r="AC251" s="38" t="str">
        <f t="shared" si="12"/>
        <v/>
      </c>
      <c r="AD251" s="39"/>
      <c r="AE251" s="40"/>
      <c r="AF251" s="41" t="str">
        <f t="shared" si="13"/>
        <v/>
      </c>
      <c r="AG251" s="42" t="str">
        <f t="shared" si="14"/>
        <v/>
      </c>
      <c r="AH251" s="42" t="str">
        <f t="shared" si="15"/>
        <v>Christopher Dorta|June</v>
      </c>
    </row>
    <row r="252" spans="1:34" hidden="1">
      <c r="A252" s="32">
        <v>2026</v>
      </c>
      <c r="B252" s="32" t="s">
        <v>85</v>
      </c>
      <c r="C252" s="32" t="s">
        <v>74</v>
      </c>
      <c r="D252" s="32" t="s">
        <v>78</v>
      </c>
      <c r="E252" s="33"/>
      <c r="F252" s="34" t="str">
        <f>IF(E252="","",IFERROR(VLOOKUP(E252,'Input &amp; Settings'!$F$5:$G$10,2,FALSE),""))</f>
        <v/>
      </c>
      <c r="G252" s="33"/>
      <c r="H252" s="33"/>
      <c r="I252" s="35"/>
      <c r="J252" s="33"/>
      <c r="K252" s="36"/>
      <c r="L252" s="35"/>
      <c r="M252" s="33"/>
      <c r="N252" s="33"/>
      <c r="O252" s="33"/>
      <c r="P252" s="33"/>
      <c r="Q252" s="37" t="str">
        <f>IF(G252="","",IFERROR(MIN(100,G252/'Input &amp; Settings'!$B$5*100),""))</f>
        <v/>
      </c>
      <c r="R252" s="37" t="str">
        <f>IF(H252="","",IFERROR(MIN(100,H252/'Input &amp; Settings'!$B$6*100),""))</f>
        <v/>
      </c>
      <c r="S252" s="37" t="str">
        <f>IF(I252="","",IFERROR(MIN(100,I252/'Input &amp; Settings'!$B$7*100),""))</f>
        <v/>
      </c>
      <c r="T252" s="37" t="str">
        <f>IF(J252="","",IFERROR(MIN(100,J252/'Input &amp; Settings'!$B$8*100),""))</f>
        <v/>
      </c>
      <c r="U252" s="37" t="str">
        <f>IF(K252="","",IFERROR(MIN(100,K252/'Input &amp; Settings'!$B$9*100),""))</f>
        <v/>
      </c>
      <c r="V252" s="37" t="str">
        <f>IF(L252="","",IFERROR(MIN(100,L252/'Input &amp; Settings'!$B$10*100),""))</f>
        <v/>
      </c>
      <c r="W252" s="37" t="str">
        <f>IF(M252="","",IFERROR(IF(M252&lt;='Input &amp; Settings'!$B$11,100,MAX(0,100-(M252-'Input &amp; Settings'!$B$11)*20)),""))</f>
        <v/>
      </c>
      <c r="X252" s="37" t="str">
        <f>IF(N252="","",IFERROR(MIN(100,N252/'Input &amp; Settings'!$B$12*100),""))</f>
        <v/>
      </c>
      <c r="Y252" s="37" t="str">
        <f>IF(O252="","",IFERROR(MIN(100,O252/'Input &amp; Settings'!$B$13*100),""))</f>
        <v/>
      </c>
      <c r="Z252" s="37" t="str">
        <f>IF(P252="","",IFERROR(IF(P252&lt;='Input &amp; Settings'!$B$14,100,MAX(0,100-(P252-'Input &amp; Settings'!$B$14)*20)),""))</f>
        <v/>
      </c>
      <c r="AA252" s="37" t="str">
        <f>IF(COUNTA(G252:P252)=0,"",ROUND(Q252*'Input &amp; Settings'!$C$5+R252*'Input &amp; Settings'!$C$6+S252*'Input &amp; Settings'!$C$7+T252*'Input &amp; Settings'!$C$8+U252*'Input &amp; Settings'!$C$9+V252*'Input &amp; Settings'!$C$10+W252*'Input &amp; Settings'!$C$11+X252*'Input &amp; Settings'!$C$12+Y252*'Input &amp; Settings'!$C$13+Z252*'Input &amp; Settings'!$C$14,1))</f>
        <v/>
      </c>
      <c r="AB252" s="38" t="str">
        <f>IF(OR(AA252="",E252=""),"",IFERROR(IF(AA252&gt;=VLOOKUP(E252,'Input &amp; Settings'!$F$5:$K$10,3,FALSE),"Outstanding",IF(AA252&gt;=VLOOKUP(E252,'Input &amp; Settings'!$F$5:$K$10,4,FALSE),"Exceeds Expectations",IF(AA252&gt;=VLOOKUP(E252,'Input &amp; Settings'!$F$5:$K$10,5,FALSE),"Meets Expectations",IF(AA252&gt;=VLOOKUP(E252,'Input &amp; Settings'!$F$5:$K$10,6,FALSE),"Needs Improvement","Performance Improvement Required")))),""))</f>
        <v/>
      </c>
      <c r="AC252" s="38" t="str">
        <f t="shared" si="12"/>
        <v/>
      </c>
      <c r="AD252" s="39"/>
      <c r="AE252" s="40"/>
      <c r="AF252" s="41" t="str">
        <f t="shared" si="13"/>
        <v/>
      </c>
      <c r="AG252" s="42" t="str">
        <f t="shared" si="14"/>
        <v/>
      </c>
      <c r="AH252" s="42" t="str">
        <f t="shared" si="15"/>
        <v>Andres Galvis|June</v>
      </c>
    </row>
    <row r="253" spans="1:34" hidden="1">
      <c r="A253" s="32">
        <v>2026</v>
      </c>
      <c r="B253" s="32" t="s">
        <v>85</v>
      </c>
      <c r="C253" s="32" t="s">
        <v>74</v>
      </c>
      <c r="D253" s="32" t="s">
        <v>79</v>
      </c>
      <c r="E253" s="33"/>
      <c r="F253" s="34" t="str">
        <f>IF(E253="","",IFERROR(VLOOKUP(E253,'Input &amp; Settings'!$F$5:$G$10,2,FALSE),""))</f>
        <v/>
      </c>
      <c r="G253" s="33"/>
      <c r="H253" s="33"/>
      <c r="I253" s="35"/>
      <c r="J253" s="33"/>
      <c r="K253" s="36"/>
      <c r="L253" s="35"/>
      <c r="M253" s="33"/>
      <c r="N253" s="33"/>
      <c r="O253" s="33"/>
      <c r="P253" s="33"/>
      <c r="Q253" s="37" t="str">
        <f>IF(G253="","",IFERROR(MIN(100,G253/'Input &amp; Settings'!$B$5*100),""))</f>
        <v/>
      </c>
      <c r="R253" s="37" t="str">
        <f>IF(H253="","",IFERROR(MIN(100,H253/'Input &amp; Settings'!$B$6*100),""))</f>
        <v/>
      </c>
      <c r="S253" s="37" t="str">
        <f>IF(I253="","",IFERROR(MIN(100,I253/'Input &amp; Settings'!$B$7*100),""))</f>
        <v/>
      </c>
      <c r="T253" s="37" t="str">
        <f>IF(J253="","",IFERROR(MIN(100,J253/'Input &amp; Settings'!$B$8*100),""))</f>
        <v/>
      </c>
      <c r="U253" s="37" t="str">
        <f>IF(K253="","",IFERROR(MIN(100,K253/'Input &amp; Settings'!$B$9*100),""))</f>
        <v/>
      </c>
      <c r="V253" s="37" t="str">
        <f>IF(L253="","",IFERROR(MIN(100,L253/'Input &amp; Settings'!$B$10*100),""))</f>
        <v/>
      </c>
      <c r="W253" s="37" t="str">
        <f>IF(M253="","",IFERROR(IF(M253&lt;='Input &amp; Settings'!$B$11,100,MAX(0,100-(M253-'Input &amp; Settings'!$B$11)*20)),""))</f>
        <v/>
      </c>
      <c r="X253" s="37" t="str">
        <f>IF(N253="","",IFERROR(MIN(100,N253/'Input &amp; Settings'!$B$12*100),""))</f>
        <v/>
      </c>
      <c r="Y253" s="37" t="str">
        <f>IF(O253="","",IFERROR(MIN(100,O253/'Input &amp; Settings'!$B$13*100),""))</f>
        <v/>
      </c>
      <c r="Z253" s="37" t="str">
        <f>IF(P253="","",IFERROR(IF(P253&lt;='Input &amp; Settings'!$B$14,100,MAX(0,100-(P253-'Input &amp; Settings'!$B$14)*20)),""))</f>
        <v/>
      </c>
      <c r="AA253" s="37" t="str">
        <f>IF(COUNTA(G253:P253)=0,"",ROUND(Q253*'Input &amp; Settings'!$C$5+R253*'Input &amp; Settings'!$C$6+S253*'Input &amp; Settings'!$C$7+T253*'Input &amp; Settings'!$C$8+U253*'Input &amp; Settings'!$C$9+V253*'Input &amp; Settings'!$C$10+W253*'Input &amp; Settings'!$C$11+X253*'Input &amp; Settings'!$C$12+Y253*'Input &amp; Settings'!$C$13+Z253*'Input &amp; Settings'!$C$14,1))</f>
        <v/>
      </c>
      <c r="AB253" s="38" t="str">
        <f>IF(OR(AA253="",E253=""),"",IFERROR(IF(AA253&gt;=VLOOKUP(E253,'Input &amp; Settings'!$F$5:$K$10,3,FALSE),"Outstanding",IF(AA253&gt;=VLOOKUP(E253,'Input &amp; Settings'!$F$5:$K$10,4,FALSE),"Exceeds Expectations",IF(AA253&gt;=VLOOKUP(E253,'Input &amp; Settings'!$F$5:$K$10,5,FALSE),"Meets Expectations",IF(AA253&gt;=VLOOKUP(E253,'Input &amp; Settings'!$F$5:$K$10,6,FALSE),"Needs Improvement","Performance Improvement Required")))),""))</f>
        <v/>
      </c>
      <c r="AC253" s="38" t="str">
        <f t="shared" si="12"/>
        <v/>
      </c>
      <c r="AD253" s="39"/>
      <c r="AE253" s="40"/>
      <c r="AF253" s="41" t="str">
        <f t="shared" si="13"/>
        <v/>
      </c>
      <c r="AG253" s="42" t="str">
        <f t="shared" si="14"/>
        <v/>
      </c>
      <c r="AH253" s="42" t="str">
        <f t="shared" si="15"/>
        <v>Roberto Eckardt|June</v>
      </c>
    </row>
    <row r="254" spans="1:34" hidden="1">
      <c r="A254" s="32">
        <v>2026</v>
      </c>
      <c r="B254" s="32" t="s">
        <v>85</v>
      </c>
      <c r="C254" s="32" t="s">
        <v>74</v>
      </c>
      <c r="D254" s="32" t="s">
        <v>80</v>
      </c>
      <c r="E254" s="33"/>
      <c r="F254" s="34" t="str">
        <f>IF(E254="","",IFERROR(VLOOKUP(E254,'Input &amp; Settings'!$F$5:$G$10,2,FALSE),""))</f>
        <v/>
      </c>
      <c r="G254" s="33"/>
      <c r="H254" s="33"/>
      <c r="I254" s="35"/>
      <c r="J254" s="33"/>
      <c r="K254" s="36"/>
      <c r="L254" s="35"/>
      <c r="M254" s="33"/>
      <c r="N254" s="33"/>
      <c r="O254" s="33"/>
      <c r="P254" s="33"/>
      <c r="Q254" s="37" t="str">
        <f>IF(G254="","",IFERROR(MIN(100,G254/'Input &amp; Settings'!$B$5*100),""))</f>
        <v/>
      </c>
      <c r="R254" s="37" t="str">
        <f>IF(H254="","",IFERROR(MIN(100,H254/'Input &amp; Settings'!$B$6*100),""))</f>
        <v/>
      </c>
      <c r="S254" s="37" t="str">
        <f>IF(I254="","",IFERROR(MIN(100,I254/'Input &amp; Settings'!$B$7*100),""))</f>
        <v/>
      </c>
      <c r="T254" s="37" t="str">
        <f>IF(J254="","",IFERROR(MIN(100,J254/'Input &amp; Settings'!$B$8*100),""))</f>
        <v/>
      </c>
      <c r="U254" s="37" t="str">
        <f>IF(K254="","",IFERROR(MIN(100,K254/'Input &amp; Settings'!$B$9*100),""))</f>
        <v/>
      </c>
      <c r="V254" s="37" t="str">
        <f>IF(L254="","",IFERROR(MIN(100,L254/'Input &amp; Settings'!$B$10*100),""))</f>
        <v/>
      </c>
      <c r="W254" s="37" t="str">
        <f>IF(M254="","",IFERROR(IF(M254&lt;='Input &amp; Settings'!$B$11,100,MAX(0,100-(M254-'Input &amp; Settings'!$B$11)*20)),""))</f>
        <v/>
      </c>
      <c r="X254" s="37" t="str">
        <f>IF(N254="","",IFERROR(MIN(100,N254/'Input &amp; Settings'!$B$12*100),""))</f>
        <v/>
      </c>
      <c r="Y254" s="37" t="str">
        <f>IF(O254="","",IFERROR(MIN(100,O254/'Input &amp; Settings'!$B$13*100),""))</f>
        <v/>
      </c>
      <c r="Z254" s="37" t="str">
        <f>IF(P254="","",IFERROR(IF(P254&lt;='Input &amp; Settings'!$B$14,100,MAX(0,100-(P254-'Input &amp; Settings'!$B$14)*20)),""))</f>
        <v/>
      </c>
      <c r="AA254" s="37" t="str">
        <f>IF(COUNTA(G254:P254)=0,"",ROUND(Q254*'Input &amp; Settings'!$C$5+R254*'Input &amp; Settings'!$C$6+S254*'Input &amp; Settings'!$C$7+T254*'Input &amp; Settings'!$C$8+U254*'Input &amp; Settings'!$C$9+V254*'Input &amp; Settings'!$C$10+W254*'Input &amp; Settings'!$C$11+X254*'Input &amp; Settings'!$C$12+Y254*'Input &amp; Settings'!$C$13+Z254*'Input &amp; Settings'!$C$14,1))</f>
        <v/>
      </c>
      <c r="AB254" s="38" t="str">
        <f>IF(OR(AA254="",E254=""),"",IFERROR(IF(AA254&gt;=VLOOKUP(E254,'Input &amp; Settings'!$F$5:$K$10,3,FALSE),"Outstanding",IF(AA254&gt;=VLOOKUP(E254,'Input &amp; Settings'!$F$5:$K$10,4,FALSE),"Exceeds Expectations",IF(AA254&gt;=VLOOKUP(E254,'Input &amp; Settings'!$F$5:$K$10,5,FALSE),"Meets Expectations",IF(AA254&gt;=VLOOKUP(E254,'Input &amp; Settings'!$F$5:$K$10,6,FALSE),"Needs Improvement","Performance Improvement Required")))),""))</f>
        <v/>
      </c>
      <c r="AC254" s="38" t="str">
        <f t="shared" si="12"/>
        <v/>
      </c>
      <c r="AD254" s="39"/>
      <c r="AE254" s="40"/>
      <c r="AF254" s="41" t="str">
        <f t="shared" si="13"/>
        <v/>
      </c>
      <c r="AG254" s="42" t="str">
        <f t="shared" si="14"/>
        <v/>
      </c>
      <c r="AH254" s="42" t="str">
        <f t="shared" si="15"/>
        <v>Angel Perez Martinez|June</v>
      </c>
    </row>
    <row r="255" spans="1:34" ht="15" hidden="1">
      <c r="A255" s="32">
        <v>2026</v>
      </c>
      <c r="B255" s="32" t="s">
        <v>92</v>
      </c>
      <c r="C255" s="32" t="s">
        <v>36</v>
      </c>
      <c r="D255" s="32" t="s">
        <v>37</v>
      </c>
      <c r="E255" s="33" t="s">
        <v>86</v>
      </c>
      <c r="F255" s="34" t="str">
        <f>IF(E255="","",IFERROR(VLOOKUP(E255,'Input &amp; Settings'!$F$5:$G$10,2,FALSE),""))</f>
        <v>High</v>
      </c>
      <c r="G255" s="33">
        <v>48</v>
      </c>
      <c r="H255" s="33">
        <v>27</v>
      </c>
      <c r="I255" s="35">
        <v>1</v>
      </c>
      <c r="J255" s="33">
        <v>206</v>
      </c>
      <c r="K255" s="36">
        <v>4.33</v>
      </c>
      <c r="L255" s="35">
        <v>1</v>
      </c>
      <c r="M255" s="33">
        <v>2</v>
      </c>
      <c r="N255" s="33">
        <v>0</v>
      </c>
      <c r="O255" s="33">
        <v>1</v>
      </c>
      <c r="P255" s="33">
        <v>17</v>
      </c>
      <c r="Q255" s="37">
        <f>IF(G255="","",IFERROR(MIN(100,G255/'Input &amp; Settings'!$B$5*100),""))</f>
        <v>64</v>
      </c>
      <c r="R255" s="37">
        <f>IF(H255="","",IFERROR(MIN(100,H255/'Input &amp; Settings'!$B$6*100),""))</f>
        <v>33.75</v>
      </c>
      <c r="S255" s="37">
        <f>IF(I255="","",IFERROR(MIN(100,I255/'Input &amp; Settings'!$B$7*100),""))</f>
        <v>100</v>
      </c>
      <c r="T255" s="37">
        <f>IF(J255="","",IFERROR(MIN(100,J255/'Input &amp; Settings'!$B$8*100),""))</f>
        <v>100</v>
      </c>
      <c r="U255" s="37">
        <f>IF(K255="","",IFERROR(MIN(100,K255/'Input &amp; Settings'!$B$9*100),""))</f>
        <v>92.127659574468083</v>
      </c>
      <c r="V255" s="37">
        <f>IF(L255="","",IFERROR(MIN(100,L255/'Input &amp; Settings'!$B$10*100),""))</f>
        <v>100</v>
      </c>
      <c r="W255" s="37">
        <f>IF(M255="","",IFERROR(IF(M255&lt;='Input &amp; Settings'!$B$11,100,MAX(0,100-(M255-'Input &amp; Settings'!$B$11)*20)),""))</f>
        <v>100</v>
      </c>
      <c r="X255" s="37">
        <f>IF(N255="","",IFERROR(MIN(100,N255/'Input &amp; Settings'!$B$12*100),""))</f>
        <v>0</v>
      </c>
      <c r="Y255" s="37">
        <f>IF(O255="","",IFERROR(MIN(100,O255/'Input &amp; Settings'!$B$13*100),""))</f>
        <v>50</v>
      </c>
      <c r="Z255" s="37">
        <f>IF(P255="","",IFERROR(IF(P255&lt;='Input &amp; Settings'!$B$14,100,MAX(0,100-(P255-'Input &amp; Settings'!$B$14)*20)),""))</f>
        <v>0</v>
      </c>
      <c r="AA255" s="37">
        <f>IF(COUNTA(G255:P255)=0,"",ROUND(Q255*'Input &amp; Settings'!$C$5+R255*'Input &amp; Settings'!$C$6+S255*'Input &amp; Settings'!$C$7+T255*'Input &amp; Settings'!$C$8+U255*'Input &amp; Settings'!$C$9+V255*'Input &amp; Settings'!$C$10+W255*'Input &amp; Settings'!$C$11+X255*'Input &amp; Settings'!$C$12+Y255*'Input &amp; Settings'!$C$13+Z255*'Input &amp; Settings'!$C$14,1))</f>
        <v>64.7</v>
      </c>
      <c r="AB255" s="38" t="str">
        <f>IF(OR(AA255="",E255=""),"",IFERROR(IF(AA255&gt;=VLOOKUP(E255,'Input &amp; Settings'!$F$5:$K$10,3,FALSE),"Outstanding",IF(AA255&gt;=VLOOKUP(E255,'Input &amp; Settings'!$F$5:$K$10,4,FALSE),"Exceeds Expectations",IF(AA255&gt;=VLOOKUP(E255,'Input &amp; Settings'!$F$5:$K$10,5,FALSE),"Meets Expectations",IF(AA255&gt;=VLOOKUP(E255,'Input &amp; Settings'!$F$5:$K$10,6,FALSE),"Needs Improvement","Performance Improvement Required")))),""))</f>
        <v>Meets Expectations</v>
      </c>
      <c r="AC255" s="38" t="str">
        <f t="shared" si="12"/>
        <v>Entered</v>
      </c>
      <c r="AD255" s="39"/>
      <c r="AE255" s="40"/>
      <c r="AF255" s="41">
        <f t="shared" si="13"/>
        <v>64.7</v>
      </c>
      <c r="AG255" s="42" t="str">
        <f t="shared" si="14"/>
        <v>Meets Expectations</v>
      </c>
      <c r="AH255" s="42" t="str">
        <f t="shared" si="15"/>
        <v>Carly Huber|July</v>
      </c>
    </row>
    <row r="256" spans="1:34">
      <c r="A256" s="32">
        <v>2026</v>
      </c>
      <c r="B256" s="32" t="s">
        <v>92</v>
      </c>
      <c r="C256" s="32" t="s">
        <v>36</v>
      </c>
      <c r="D256" s="32" t="s">
        <v>38</v>
      </c>
      <c r="E256" s="33" t="s">
        <v>86</v>
      </c>
      <c r="F256" s="34" t="str">
        <f>IF(E256="","",IFERROR(VLOOKUP(E256,'Input &amp; Settings'!$F$5:$G$10,2,FALSE),""))</f>
        <v>High</v>
      </c>
      <c r="G256" s="33">
        <v>32</v>
      </c>
      <c r="H256" s="33">
        <v>18</v>
      </c>
      <c r="I256" s="35">
        <v>1</v>
      </c>
      <c r="J256" s="33">
        <v>3</v>
      </c>
      <c r="K256" s="36">
        <v>5</v>
      </c>
      <c r="L256" s="35">
        <v>1</v>
      </c>
      <c r="M256" s="33">
        <v>0</v>
      </c>
      <c r="N256" s="33">
        <v>0</v>
      </c>
      <c r="O256" s="33">
        <v>0</v>
      </c>
      <c r="P256" s="33">
        <v>1</v>
      </c>
      <c r="Q256" s="37">
        <f>IF(G256="","",IFERROR(MIN(100,G256/'Input &amp; Settings'!$B$5*100),""))</f>
        <v>42.666666666666671</v>
      </c>
      <c r="R256" s="37">
        <f>IF(H256="","",IFERROR(MIN(100,H256/'Input &amp; Settings'!$B$6*100),""))</f>
        <v>22.5</v>
      </c>
      <c r="S256" s="37">
        <f>IF(I256="","",IFERROR(MIN(100,I256/'Input &amp; Settings'!$B$7*100),""))</f>
        <v>100</v>
      </c>
      <c r="T256" s="37">
        <f>IF(J256="","",IFERROR(MIN(100,J256/'Input &amp; Settings'!$B$8*100),""))</f>
        <v>15</v>
      </c>
      <c r="U256" s="37">
        <f>IF(K256="","",IFERROR(MIN(100,K256/'Input &amp; Settings'!$B$9*100),""))</f>
        <v>100</v>
      </c>
      <c r="V256" s="37">
        <f>IF(L256="","",IFERROR(MIN(100,L256/'Input &amp; Settings'!$B$10*100),""))</f>
        <v>100</v>
      </c>
      <c r="W256" s="37">
        <f>IF(M256="","",IFERROR(IF(M256&lt;='Input &amp; Settings'!$B$11,100,MAX(0,100-(M256-'Input &amp; Settings'!$B$11)*20)),""))</f>
        <v>100</v>
      </c>
      <c r="X256" s="37">
        <f>IF(N256="","",IFERROR(MIN(100,N256/'Input &amp; Settings'!$B$12*100),""))</f>
        <v>0</v>
      </c>
      <c r="Y256" s="37">
        <f>IF(O256="","",IFERROR(MIN(100,O256/'Input &amp; Settings'!$B$13*100),""))</f>
        <v>0</v>
      </c>
      <c r="Z256" s="37">
        <f>IF(P256="","",IFERROR(IF(P256&lt;='Input &amp; Settings'!$B$14,100,MAX(0,100-(P256-'Input &amp; Settings'!$B$14)*20)),""))</f>
        <v>100</v>
      </c>
      <c r="AA256" s="37">
        <f>IF(COUNTA(G256:P256)=0,"",ROUND(Q256*'Input &amp; Settings'!$C$5+R256*'Input &amp; Settings'!$C$6+S256*'Input &amp; Settings'!$C$7+T256*'Input &amp; Settings'!$C$8+U256*'Input &amp; Settings'!$C$9+V256*'Input &amp; Settings'!$C$10+W256*'Input &amp; Settings'!$C$11+X256*'Input &amp; Settings'!$C$12+Y256*'Input &amp; Settings'!$C$13+Z256*'Input &amp; Settings'!$C$14,1))</f>
        <v>65.2</v>
      </c>
      <c r="AB256" s="38" t="str">
        <f>IF(OR(AA256="",E256=""),"",IFERROR(IF(AA256&gt;=VLOOKUP(E256,'Input &amp; Settings'!$F$5:$K$10,3,FALSE),"Outstanding",IF(AA256&gt;=VLOOKUP(E256,'Input &amp; Settings'!$F$5:$K$10,4,FALSE),"Exceeds Expectations",IF(AA256&gt;=VLOOKUP(E256,'Input &amp; Settings'!$F$5:$K$10,5,FALSE),"Meets Expectations",IF(AA256&gt;=VLOOKUP(E256,'Input &amp; Settings'!$F$5:$K$10,6,FALSE),"Needs Improvement","Performance Improvement Required")))),""))</f>
        <v>Meets Expectations</v>
      </c>
      <c r="AC256" s="38" t="str">
        <f t="shared" si="12"/>
        <v>Entered</v>
      </c>
      <c r="AD256" s="39"/>
      <c r="AE256" s="40"/>
      <c r="AF256" s="41">
        <f t="shared" si="13"/>
        <v>65.2</v>
      </c>
      <c r="AG256" s="42" t="str">
        <f t="shared" si="14"/>
        <v>Meets Expectations</v>
      </c>
      <c r="AH256" s="42" t="str">
        <f t="shared" si="15"/>
        <v>Julian Grier|July</v>
      </c>
    </row>
    <row r="257" spans="1:34" hidden="1">
      <c r="A257" s="32">
        <v>2026</v>
      </c>
      <c r="B257" s="32" t="s">
        <v>92</v>
      </c>
      <c r="C257" s="32" t="s">
        <v>36</v>
      </c>
      <c r="D257" s="32" t="s">
        <v>39</v>
      </c>
      <c r="E257" s="33" t="s">
        <v>86</v>
      </c>
      <c r="F257" s="34" t="str">
        <f>IF(E257="","",IFERROR(VLOOKUP(E257,'Input &amp; Settings'!$F$5:$G$10,2,FALSE),""))</f>
        <v>High</v>
      </c>
      <c r="G257" s="33">
        <v>32</v>
      </c>
      <c r="H257" s="33">
        <v>24</v>
      </c>
      <c r="I257" s="35">
        <v>1</v>
      </c>
      <c r="J257" s="33">
        <v>136</v>
      </c>
      <c r="K257" s="36">
        <v>5</v>
      </c>
      <c r="L257" s="35">
        <v>1</v>
      </c>
      <c r="M257" s="33">
        <v>3</v>
      </c>
      <c r="N257" s="33">
        <v>0</v>
      </c>
      <c r="O257" s="33">
        <v>1</v>
      </c>
      <c r="P257" s="33">
        <v>18</v>
      </c>
      <c r="Q257" s="37">
        <f>IF(G257="","",IFERROR(MIN(100,G257/'Input &amp; Settings'!$B$5*100),""))</f>
        <v>42.666666666666671</v>
      </c>
      <c r="R257" s="37">
        <f>IF(H257="","",IFERROR(MIN(100,H257/'Input &amp; Settings'!$B$6*100),""))</f>
        <v>30</v>
      </c>
      <c r="S257" s="37">
        <f>IF(I257="","",IFERROR(MIN(100,I257/'Input &amp; Settings'!$B$7*100),""))</f>
        <v>100</v>
      </c>
      <c r="T257" s="37">
        <f>IF(J257="","",IFERROR(MIN(100,J257/'Input &amp; Settings'!$B$8*100),""))</f>
        <v>100</v>
      </c>
      <c r="U257" s="37">
        <f>IF(K257="","",IFERROR(MIN(100,K257/'Input &amp; Settings'!$B$9*100),""))</f>
        <v>100</v>
      </c>
      <c r="V257" s="37">
        <f>IF(L257="","",IFERROR(MIN(100,L257/'Input &amp; Settings'!$B$10*100),""))</f>
        <v>100</v>
      </c>
      <c r="W257" s="37">
        <f>IF(M257="","",IFERROR(IF(M257&lt;='Input &amp; Settings'!$B$11,100,MAX(0,100-(M257-'Input &amp; Settings'!$B$11)*20)),""))</f>
        <v>100</v>
      </c>
      <c r="X257" s="37">
        <f>IF(N257="","",IFERROR(MIN(100,N257/'Input &amp; Settings'!$B$12*100),""))</f>
        <v>0</v>
      </c>
      <c r="Y257" s="37">
        <f>IF(O257="","",IFERROR(MIN(100,O257/'Input &amp; Settings'!$B$13*100),""))</f>
        <v>50</v>
      </c>
      <c r="Z257" s="37">
        <f>IF(P257="","",IFERROR(IF(P257&lt;='Input &amp; Settings'!$B$14,100,MAX(0,100-(P257-'Input &amp; Settings'!$B$14)*20)),""))</f>
        <v>0</v>
      </c>
      <c r="AA257" s="37">
        <f>IF(COUNTA(G257:P257)=0,"",ROUND(Q257*'Input &amp; Settings'!$C$5+R257*'Input &amp; Settings'!$C$6+S257*'Input &amp; Settings'!$C$7+T257*'Input &amp; Settings'!$C$8+U257*'Input &amp; Settings'!$C$9+V257*'Input &amp; Settings'!$C$10+W257*'Input &amp; Settings'!$C$11+X257*'Input &amp; Settings'!$C$12+Y257*'Input &amp; Settings'!$C$13+Z257*'Input &amp; Settings'!$C$14,1))</f>
        <v>61.9</v>
      </c>
      <c r="AB257" s="38" t="str">
        <f>IF(OR(AA257="",E257=""),"",IFERROR(IF(AA257&gt;=VLOOKUP(E257,'Input &amp; Settings'!$F$5:$K$10,3,FALSE),"Outstanding",IF(AA257&gt;=VLOOKUP(E257,'Input &amp; Settings'!$F$5:$K$10,4,FALSE),"Exceeds Expectations",IF(AA257&gt;=VLOOKUP(E257,'Input &amp; Settings'!$F$5:$K$10,5,FALSE),"Meets Expectations",IF(AA257&gt;=VLOOKUP(E257,'Input &amp; Settings'!$F$5:$K$10,6,FALSE),"Needs Improvement","Performance Improvement Required")))),""))</f>
        <v>Meets Expectations</v>
      </c>
      <c r="AC257" s="38" t="str">
        <f t="shared" si="12"/>
        <v>Entered</v>
      </c>
      <c r="AD257" s="39"/>
      <c r="AE257" s="40"/>
      <c r="AF257" s="41">
        <f t="shared" si="13"/>
        <v>61.9</v>
      </c>
      <c r="AG257" s="42" t="str">
        <f t="shared" si="14"/>
        <v>Meets Expectations</v>
      </c>
      <c r="AH257" s="42" t="str">
        <f t="shared" si="15"/>
        <v>Jorge Lopez|July</v>
      </c>
    </row>
    <row r="258" spans="1:34" hidden="1">
      <c r="A258" s="32">
        <v>2026</v>
      </c>
      <c r="B258" s="32" t="s">
        <v>92</v>
      </c>
      <c r="C258" s="32" t="s">
        <v>36</v>
      </c>
      <c r="D258" s="32" t="s">
        <v>40</v>
      </c>
      <c r="E258" s="33" t="s">
        <v>86</v>
      </c>
      <c r="F258" s="34" t="str">
        <f>IF(E258="","",IFERROR(VLOOKUP(E258,'Input &amp; Settings'!$F$5:$G$10,2,FALSE),""))</f>
        <v>High</v>
      </c>
      <c r="G258" s="33">
        <v>12</v>
      </c>
      <c r="H258" s="33">
        <v>8</v>
      </c>
      <c r="I258" s="35">
        <v>1</v>
      </c>
      <c r="J258" s="33">
        <v>25</v>
      </c>
      <c r="K258" s="36">
        <v>4.75</v>
      </c>
      <c r="L258" s="35">
        <v>1</v>
      </c>
      <c r="M258" s="33">
        <v>7</v>
      </c>
      <c r="N258" s="33">
        <v>0</v>
      </c>
      <c r="O258" s="33">
        <v>1</v>
      </c>
      <c r="P258" s="33">
        <v>3</v>
      </c>
      <c r="Q258" s="37">
        <f>IF(G258="","",IFERROR(MIN(100,G258/'Input &amp; Settings'!$B$5*100),""))</f>
        <v>16</v>
      </c>
      <c r="R258" s="37">
        <f>IF(H258="","",IFERROR(MIN(100,H258/'Input &amp; Settings'!$B$6*100),""))</f>
        <v>10</v>
      </c>
      <c r="S258" s="37">
        <f>IF(I258="","",IFERROR(MIN(100,I258/'Input &amp; Settings'!$B$7*100),""))</f>
        <v>100</v>
      </c>
      <c r="T258" s="37">
        <f>IF(J258="","",IFERROR(MIN(100,J258/'Input &amp; Settings'!$B$8*100),""))</f>
        <v>100</v>
      </c>
      <c r="U258" s="37">
        <f>IF(K258="","",IFERROR(MIN(100,K258/'Input &amp; Settings'!$B$9*100),""))</f>
        <v>100</v>
      </c>
      <c r="V258" s="37">
        <f>IF(L258="","",IFERROR(MIN(100,L258/'Input &amp; Settings'!$B$10*100),""))</f>
        <v>100</v>
      </c>
      <c r="W258" s="37">
        <f>IF(M258="","",IFERROR(IF(M258&lt;='Input &amp; Settings'!$B$11,100,MAX(0,100-(M258-'Input &amp; Settings'!$B$11)*20)),""))</f>
        <v>60</v>
      </c>
      <c r="X258" s="37">
        <f>IF(N258="","",IFERROR(MIN(100,N258/'Input &amp; Settings'!$B$12*100),""))</f>
        <v>0</v>
      </c>
      <c r="Y258" s="37">
        <f>IF(O258="","",IFERROR(MIN(100,O258/'Input &amp; Settings'!$B$13*100),""))</f>
        <v>50</v>
      </c>
      <c r="Z258" s="37">
        <f>IF(P258="","",IFERROR(IF(P258&lt;='Input &amp; Settings'!$B$14,100,MAX(0,100-(P258-'Input &amp; Settings'!$B$14)*20)),""))</f>
        <v>100</v>
      </c>
      <c r="AA258" s="37">
        <f>IF(COUNTA(G258:P258)=0,"",ROUND(Q258*'Input &amp; Settings'!$C$5+R258*'Input &amp; Settings'!$C$6+S258*'Input &amp; Settings'!$C$7+T258*'Input &amp; Settings'!$C$8+U258*'Input &amp; Settings'!$C$9+V258*'Input &amp; Settings'!$C$10+W258*'Input &amp; Settings'!$C$11+X258*'Input &amp; Settings'!$C$12+Y258*'Input &amp; Settings'!$C$13+Z258*'Input &amp; Settings'!$C$14,1))</f>
        <v>66.900000000000006</v>
      </c>
      <c r="AB258" s="38" t="str">
        <f>IF(OR(AA258="",E258=""),"",IFERROR(IF(AA258&gt;=VLOOKUP(E258,'Input &amp; Settings'!$F$5:$K$10,3,FALSE),"Outstanding",IF(AA258&gt;=VLOOKUP(E258,'Input &amp; Settings'!$F$5:$K$10,4,FALSE),"Exceeds Expectations",IF(AA258&gt;=VLOOKUP(E258,'Input &amp; Settings'!$F$5:$K$10,5,FALSE),"Meets Expectations",IF(AA258&gt;=VLOOKUP(E258,'Input &amp; Settings'!$F$5:$K$10,6,FALSE),"Needs Improvement","Performance Improvement Required")))),""))</f>
        <v>Meets Expectations</v>
      </c>
      <c r="AC258" s="38" t="str">
        <f t="shared" si="12"/>
        <v>Entered</v>
      </c>
      <c r="AD258" s="39"/>
      <c r="AE258" s="40"/>
      <c r="AF258" s="41">
        <f t="shared" si="13"/>
        <v>66.900000000000006</v>
      </c>
      <c r="AG258" s="42" t="str">
        <f t="shared" si="14"/>
        <v>Meets Expectations</v>
      </c>
      <c r="AH258" s="42" t="str">
        <f t="shared" si="15"/>
        <v>Juan Pablo Pique Buil (JP)|July</v>
      </c>
    </row>
    <row r="259" spans="1:34" hidden="1">
      <c r="A259" s="32">
        <v>2026</v>
      </c>
      <c r="B259" s="32" t="s">
        <v>92</v>
      </c>
      <c r="C259" s="32" t="s">
        <v>36</v>
      </c>
      <c r="D259" s="32" t="s">
        <v>41</v>
      </c>
      <c r="E259" s="33" t="s">
        <v>86</v>
      </c>
      <c r="F259" s="34" t="str">
        <f>IF(E259="","",IFERROR(VLOOKUP(E259,'Input &amp; Settings'!$F$5:$G$10,2,FALSE),""))</f>
        <v>High</v>
      </c>
      <c r="G259" s="33">
        <v>23</v>
      </c>
      <c r="H259" s="33">
        <v>9</v>
      </c>
      <c r="I259" s="35">
        <v>1</v>
      </c>
      <c r="J259" s="33">
        <v>24</v>
      </c>
      <c r="K259" s="36">
        <v>5</v>
      </c>
      <c r="L259" s="35">
        <v>1</v>
      </c>
      <c r="M259" s="33">
        <v>0</v>
      </c>
      <c r="N259" s="33">
        <v>0</v>
      </c>
      <c r="O259" s="33">
        <v>0</v>
      </c>
      <c r="P259" s="33">
        <v>2</v>
      </c>
      <c r="Q259" s="37">
        <f>IF(G259="","",IFERROR(MIN(100,G259/'Input &amp; Settings'!$B$5*100),""))</f>
        <v>30.666666666666664</v>
      </c>
      <c r="R259" s="37">
        <f>IF(H259="","",IFERROR(MIN(100,H259/'Input &amp; Settings'!$B$6*100),""))</f>
        <v>11.25</v>
      </c>
      <c r="S259" s="37">
        <f>IF(I259="","",IFERROR(MIN(100,I259/'Input &amp; Settings'!$B$7*100),""))</f>
        <v>100</v>
      </c>
      <c r="T259" s="37">
        <f>IF(J259="","",IFERROR(MIN(100,J259/'Input &amp; Settings'!$B$8*100),""))</f>
        <v>100</v>
      </c>
      <c r="U259" s="37">
        <f>IF(K259="","",IFERROR(MIN(100,K259/'Input &amp; Settings'!$B$9*100),""))</f>
        <v>100</v>
      </c>
      <c r="V259" s="37">
        <f>IF(L259="","",IFERROR(MIN(100,L259/'Input &amp; Settings'!$B$10*100),""))</f>
        <v>100</v>
      </c>
      <c r="W259" s="37">
        <f>IF(M259="","",IFERROR(IF(M259&lt;='Input &amp; Settings'!$B$11,100,MAX(0,100-(M259-'Input &amp; Settings'!$B$11)*20)),""))</f>
        <v>100</v>
      </c>
      <c r="X259" s="37">
        <f>IF(N259="","",IFERROR(MIN(100,N259/'Input &amp; Settings'!$B$12*100),""))</f>
        <v>0</v>
      </c>
      <c r="Y259" s="37">
        <f>IF(O259="","",IFERROR(MIN(100,O259/'Input &amp; Settings'!$B$13*100),""))</f>
        <v>0</v>
      </c>
      <c r="Z259" s="37">
        <f>IF(P259="","",IFERROR(IF(P259&lt;='Input &amp; Settings'!$B$14,100,MAX(0,100-(P259-'Input &amp; Settings'!$B$14)*20)),""))</f>
        <v>100</v>
      </c>
      <c r="AA259" s="37">
        <f>IF(COUNTA(G259:P259)=0,"",ROUND(Q259*'Input &amp; Settings'!$C$5+R259*'Input &amp; Settings'!$C$6+S259*'Input &amp; Settings'!$C$7+T259*'Input &amp; Settings'!$C$8+U259*'Input &amp; Settings'!$C$9+V259*'Input &amp; Settings'!$C$10+W259*'Input &amp; Settings'!$C$11+X259*'Input &amp; Settings'!$C$12+Y259*'Input &amp; Settings'!$C$13+Z259*'Input &amp; Settings'!$C$14,1))</f>
        <v>70.7</v>
      </c>
      <c r="AB259" s="38" t="str">
        <f>IF(OR(AA259="",E259=""),"",IFERROR(IF(AA259&gt;=VLOOKUP(E259,'Input &amp; Settings'!$F$5:$K$10,3,FALSE),"Outstanding",IF(AA259&gt;=VLOOKUP(E259,'Input &amp; Settings'!$F$5:$K$10,4,FALSE),"Exceeds Expectations",IF(AA259&gt;=VLOOKUP(E259,'Input &amp; Settings'!$F$5:$K$10,5,FALSE),"Meets Expectations",IF(AA259&gt;=VLOOKUP(E259,'Input &amp; Settings'!$F$5:$K$10,6,FALSE),"Needs Improvement","Performance Improvement Required")))),""))</f>
        <v>Exceeds Expectations</v>
      </c>
      <c r="AC259" s="38" t="str">
        <f t="shared" ref="AC259:AC322" si="16">IF(COUNTA(G259:P259)+COUNTA(AD259:AE259)&gt;0,"Entered","")</f>
        <v>Entered</v>
      </c>
      <c r="AD259" s="39"/>
      <c r="AE259" s="40"/>
      <c r="AF259" s="41">
        <f t="shared" ref="AF259:AF322" si="17">IF(AD259&lt;&gt;"",AD259,AA259)</f>
        <v>70.7</v>
      </c>
      <c r="AG259" s="42" t="str">
        <f t="shared" ref="AG259:AG322" si="18">IF(AE259&lt;&gt;"",AE259,AB259)</f>
        <v>Exceeds Expectations</v>
      </c>
      <c r="AH259" s="42" t="str">
        <f t="shared" ref="AH259:AH322" si="19">D259&amp;"|"&amp;B259</f>
        <v>Peter Gonzalez|July</v>
      </c>
    </row>
    <row r="260" spans="1:34" hidden="1">
      <c r="A260" s="32">
        <v>2026</v>
      </c>
      <c r="B260" s="32" t="s">
        <v>92</v>
      </c>
      <c r="C260" s="32" t="s">
        <v>36</v>
      </c>
      <c r="D260" s="32" t="s">
        <v>42</v>
      </c>
      <c r="E260" s="33" t="s">
        <v>88</v>
      </c>
      <c r="F260" s="34" t="str">
        <f>IF(E260="","",IFERROR(VLOOKUP(E260,'Input &amp; Settings'!$F$5:$G$10,2,FALSE),""))</f>
        <v>Normal</v>
      </c>
      <c r="G260" s="33">
        <v>24</v>
      </c>
      <c r="H260" s="33">
        <v>11</v>
      </c>
      <c r="I260" s="35">
        <v>1</v>
      </c>
      <c r="J260" s="33">
        <v>80</v>
      </c>
      <c r="K260" s="36">
        <v>4.96</v>
      </c>
      <c r="L260" s="35">
        <v>1</v>
      </c>
      <c r="M260" s="33">
        <v>0</v>
      </c>
      <c r="N260" s="33">
        <v>0</v>
      </c>
      <c r="O260" s="33">
        <v>0</v>
      </c>
      <c r="P260" s="33">
        <v>0</v>
      </c>
      <c r="Q260" s="37">
        <f>IF(G260="","",IFERROR(MIN(100,G260/'Input &amp; Settings'!$B$5*100),""))</f>
        <v>32</v>
      </c>
      <c r="R260" s="37">
        <f>IF(H260="","",IFERROR(MIN(100,H260/'Input &amp; Settings'!$B$6*100),""))</f>
        <v>13.750000000000002</v>
      </c>
      <c r="S260" s="37">
        <f>IF(I260="","",IFERROR(MIN(100,I260/'Input &amp; Settings'!$B$7*100),""))</f>
        <v>100</v>
      </c>
      <c r="T260" s="37">
        <f>IF(J260="","",IFERROR(MIN(100,J260/'Input &amp; Settings'!$B$8*100),""))</f>
        <v>100</v>
      </c>
      <c r="U260" s="37">
        <f>IF(K260="","",IFERROR(MIN(100,K260/'Input &amp; Settings'!$B$9*100),""))</f>
        <v>100</v>
      </c>
      <c r="V260" s="37">
        <f>IF(L260="","",IFERROR(MIN(100,L260/'Input &amp; Settings'!$B$10*100),""))</f>
        <v>100</v>
      </c>
      <c r="W260" s="37">
        <f>IF(M260="","",IFERROR(IF(M260&lt;='Input &amp; Settings'!$B$11,100,MAX(0,100-(M260-'Input &amp; Settings'!$B$11)*20)),""))</f>
        <v>100</v>
      </c>
      <c r="X260" s="37">
        <f>IF(N260="","",IFERROR(MIN(100,N260/'Input &amp; Settings'!$B$12*100),""))</f>
        <v>0</v>
      </c>
      <c r="Y260" s="37">
        <f>IF(O260="","",IFERROR(MIN(100,O260/'Input &amp; Settings'!$B$13*100),""))</f>
        <v>0</v>
      </c>
      <c r="Z260" s="37">
        <f>IF(P260="","",IFERROR(IF(P260&lt;='Input &amp; Settings'!$B$14,100,MAX(0,100-(P260-'Input &amp; Settings'!$B$14)*20)),""))</f>
        <v>100</v>
      </c>
      <c r="AA260" s="37">
        <f>IF(COUNTA(G260:P260)=0,"",ROUND(Q260*'Input &amp; Settings'!$C$5+R260*'Input &amp; Settings'!$C$6+S260*'Input &amp; Settings'!$C$7+T260*'Input &amp; Settings'!$C$8+U260*'Input &amp; Settings'!$C$9+V260*'Input &amp; Settings'!$C$10+W260*'Input &amp; Settings'!$C$11+X260*'Input &amp; Settings'!$C$12+Y260*'Input &amp; Settings'!$C$13+Z260*'Input &amp; Settings'!$C$14,1))</f>
        <v>71.2</v>
      </c>
      <c r="AB260" s="38" t="str">
        <f>IF(OR(AA260="",E260=""),"",IFERROR(IF(AA260&gt;=VLOOKUP(E260,'Input &amp; Settings'!$F$5:$K$10,3,FALSE),"Outstanding",IF(AA260&gt;=VLOOKUP(E260,'Input &amp; Settings'!$F$5:$K$10,4,FALSE),"Exceeds Expectations",IF(AA260&gt;=VLOOKUP(E260,'Input &amp; Settings'!$F$5:$K$10,5,FALSE),"Meets Expectations",IF(AA260&gt;=VLOOKUP(E260,'Input &amp; Settings'!$F$5:$K$10,6,FALSE),"Needs Improvement","Performance Improvement Required")))),""))</f>
        <v>Exceeds Expectations</v>
      </c>
      <c r="AC260" s="38" t="str">
        <f t="shared" si="16"/>
        <v>Entered</v>
      </c>
      <c r="AD260" s="39"/>
      <c r="AE260" s="40"/>
      <c r="AF260" s="41">
        <f t="shared" si="17"/>
        <v>71.2</v>
      </c>
      <c r="AG260" s="42" t="str">
        <f t="shared" si="18"/>
        <v>Exceeds Expectations</v>
      </c>
      <c r="AH260" s="42" t="str">
        <f t="shared" si="19"/>
        <v>Dennis Hartling|July</v>
      </c>
    </row>
    <row r="261" spans="1:34" hidden="1">
      <c r="A261" s="32">
        <v>2026</v>
      </c>
      <c r="B261" s="32" t="s">
        <v>92</v>
      </c>
      <c r="C261" s="32" t="s">
        <v>36</v>
      </c>
      <c r="D261" s="32" t="s">
        <v>43</v>
      </c>
      <c r="E261" s="33" t="s">
        <v>88</v>
      </c>
      <c r="F261" s="34" t="str">
        <f>IF(E261="","",IFERROR(VLOOKUP(E261,'Input &amp; Settings'!$F$5:$G$10,2,FALSE),""))</f>
        <v>Normal</v>
      </c>
      <c r="G261" s="33">
        <v>42</v>
      </c>
      <c r="H261" s="33">
        <v>1</v>
      </c>
      <c r="I261" s="35">
        <v>1</v>
      </c>
      <c r="J261" s="33">
        <v>25</v>
      </c>
      <c r="K261" s="36">
        <v>4.42</v>
      </c>
      <c r="L261" s="35">
        <v>1</v>
      </c>
      <c r="M261" s="33">
        <v>0</v>
      </c>
      <c r="N261" s="33">
        <v>0</v>
      </c>
      <c r="O261" s="33">
        <v>0</v>
      </c>
      <c r="P261" s="33">
        <v>1</v>
      </c>
      <c r="Q261" s="37">
        <f>IF(G261="","",IFERROR(MIN(100,G261/'Input &amp; Settings'!$B$5*100),""))</f>
        <v>56.000000000000007</v>
      </c>
      <c r="R261" s="37">
        <f>IF(H261="","",IFERROR(MIN(100,H261/'Input &amp; Settings'!$B$6*100),""))</f>
        <v>1.25</v>
      </c>
      <c r="S261" s="37">
        <f>IF(I261="","",IFERROR(MIN(100,I261/'Input &amp; Settings'!$B$7*100),""))</f>
        <v>100</v>
      </c>
      <c r="T261" s="37">
        <f>IF(J261="","",IFERROR(MIN(100,J261/'Input &amp; Settings'!$B$8*100),""))</f>
        <v>100</v>
      </c>
      <c r="U261" s="37">
        <f>IF(K261="","",IFERROR(MIN(100,K261/'Input &amp; Settings'!$B$9*100),""))</f>
        <v>94.042553191489347</v>
      </c>
      <c r="V261" s="37">
        <f>IF(L261="","",IFERROR(MIN(100,L261/'Input &amp; Settings'!$B$10*100),""))</f>
        <v>100</v>
      </c>
      <c r="W261" s="37">
        <f>IF(M261="","",IFERROR(IF(M261&lt;='Input &amp; Settings'!$B$11,100,MAX(0,100-(M261-'Input &amp; Settings'!$B$11)*20)),""))</f>
        <v>100</v>
      </c>
      <c r="X261" s="37">
        <f>IF(N261="","",IFERROR(MIN(100,N261/'Input &amp; Settings'!$B$12*100),""))</f>
        <v>0</v>
      </c>
      <c r="Y261" s="37">
        <f>IF(O261="","",IFERROR(MIN(100,O261/'Input &amp; Settings'!$B$13*100),""))</f>
        <v>0</v>
      </c>
      <c r="Z261" s="37">
        <f>IF(P261="","",IFERROR(IF(P261&lt;='Input &amp; Settings'!$B$14,100,MAX(0,100-(P261-'Input &amp; Settings'!$B$14)*20)),""))</f>
        <v>100</v>
      </c>
      <c r="AA261" s="37">
        <f>IF(COUNTA(G261:P261)=0,"",ROUND(Q261*'Input &amp; Settings'!$C$5+R261*'Input &amp; Settings'!$C$6+S261*'Input &amp; Settings'!$C$7+T261*'Input &amp; Settings'!$C$8+U261*'Input &amp; Settings'!$C$9+V261*'Input &amp; Settings'!$C$10+W261*'Input &amp; Settings'!$C$11+X261*'Input &amp; Settings'!$C$12+Y261*'Input &amp; Settings'!$C$13+Z261*'Input &amp; Settings'!$C$14,1))</f>
        <v>72.900000000000006</v>
      </c>
      <c r="AB261" s="38" t="str">
        <f>IF(OR(AA261="",E261=""),"",IFERROR(IF(AA261&gt;=VLOOKUP(E261,'Input &amp; Settings'!$F$5:$K$10,3,FALSE),"Outstanding",IF(AA261&gt;=VLOOKUP(E261,'Input &amp; Settings'!$F$5:$K$10,4,FALSE),"Exceeds Expectations",IF(AA261&gt;=VLOOKUP(E261,'Input &amp; Settings'!$F$5:$K$10,5,FALSE),"Meets Expectations",IF(AA261&gt;=VLOOKUP(E261,'Input &amp; Settings'!$F$5:$K$10,6,FALSE),"Needs Improvement","Performance Improvement Required")))),""))</f>
        <v>Exceeds Expectations</v>
      </c>
      <c r="AC261" s="38" t="str">
        <f t="shared" si="16"/>
        <v>Entered</v>
      </c>
      <c r="AD261" s="39"/>
      <c r="AE261" s="40"/>
      <c r="AF261" s="41">
        <f t="shared" si="17"/>
        <v>72.900000000000006</v>
      </c>
      <c r="AG261" s="42" t="str">
        <f t="shared" si="18"/>
        <v>Exceeds Expectations</v>
      </c>
      <c r="AH261" s="42" t="str">
        <f t="shared" si="19"/>
        <v>Gilbert Eugene|July</v>
      </c>
    </row>
    <row r="262" spans="1:34" hidden="1">
      <c r="A262" s="32">
        <v>2026</v>
      </c>
      <c r="B262" s="32" t="s">
        <v>92</v>
      </c>
      <c r="C262" s="32" t="s">
        <v>36</v>
      </c>
      <c r="D262" s="32" t="s">
        <v>44</v>
      </c>
      <c r="E262" s="33" t="s">
        <v>91</v>
      </c>
      <c r="F262" s="34" t="str">
        <f>IF(E262="","",IFERROR(VLOOKUP(E262,'Input &amp; Settings'!$F$5:$G$10,2,FALSE),""))</f>
        <v>Low</v>
      </c>
      <c r="G262" s="33">
        <v>5</v>
      </c>
      <c r="H262" s="33">
        <v>0</v>
      </c>
      <c r="I262" s="35">
        <v>1</v>
      </c>
      <c r="J262" s="33">
        <v>9</v>
      </c>
      <c r="K262" s="36">
        <v>4.1900000000000004</v>
      </c>
      <c r="L262" s="35">
        <v>1</v>
      </c>
      <c r="M262" s="33">
        <v>0</v>
      </c>
      <c r="N262" s="33">
        <v>0</v>
      </c>
      <c r="O262" s="33">
        <v>0</v>
      </c>
      <c r="P262" s="33">
        <v>0</v>
      </c>
      <c r="Q262" s="37">
        <f>IF(G262="","",IFERROR(MIN(100,G262/'Input &amp; Settings'!$B$5*100),""))</f>
        <v>6.666666666666667</v>
      </c>
      <c r="R262" s="37">
        <f>IF(H262="","",IFERROR(MIN(100,H262/'Input &amp; Settings'!$B$6*100),""))</f>
        <v>0</v>
      </c>
      <c r="S262" s="37">
        <f>IF(I262="","",IFERROR(MIN(100,I262/'Input &amp; Settings'!$B$7*100),""))</f>
        <v>100</v>
      </c>
      <c r="T262" s="37">
        <f>IF(J262="","",IFERROR(MIN(100,J262/'Input &amp; Settings'!$B$8*100),""))</f>
        <v>45</v>
      </c>
      <c r="U262" s="37">
        <f>IF(K262="","",IFERROR(MIN(100,K262/'Input &amp; Settings'!$B$9*100),""))</f>
        <v>89.148936170212764</v>
      </c>
      <c r="V262" s="37">
        <f>IF(L262="","",IFERROR(MIN(100,L262/'Input &amp; Settings'!$B$10*100),""))</f>
        <v>100</v>
      </c>
      <c r="W262" s="37">
        <f>IF(M262="","",IFERROR(IF(M262&lt;='Input &amp; Settings'!$B$11,100,MAX(0,100-(M262-'Input &amp; Settings'!$B$11)*20)),""))</f>
        <v>100</v>
      </c>
      <c r="X262" s="37">
        <f>IF(N262="","",IFERROR(MIN(100,N262/'Input &amp; Settings'!$B$12*100),""))</f>
        <v>0</v>
      </c>
      <c r="Y262" s="37">
        <f>IF(O262="","",IFERROR(MIN(100,O262/'Input &amp; Settings'!$B$13*100),""))</f>
        <v>0</v>
      </c>
      <c r="Z262" s="37">
        <f>IF(P262="","",IFERROR(IF(P262&lt;='Input &amp; Settings'!$B$14,100,MAX(0,100-(P262-'Input &amp; Settings'!$B$14)*20)),""))</f>
        <v>100</v>
      </c>
      <c r="AA262" s="37">
        <f>IF(COUNTA(G262:P262)=0,"",ROUND(Q262*'Input &amp; Settings'!$C$5+R262*'Input &amp; Settings'!$C$6+S262*'Input &amp; Settings'!$C$7+T262*'Input &amp; Settings'!$C$8+U262*'Input &amp; Settings'!$C$9+V262*'Input &amp; Settings'!$C$10+W262*'Input &amp; Settings'!$C$11+X262*'Input &amp; Settings'!$C$12+Y262*'Input &amp; Settings'!$C$13+Z262*'Input &amp; Settings'!$C$14,1))</f>
        <v>59.4</v>
      </c>
      <c r="AB262" s="38" t="str">
        <f>IF(OR(AA262="",E262=""),"",IFERROR(IF(AA262&gt;=VLOOKUP(E262,'Input &amp; Settings'!$F$5:$K$10,3,FALSE),"Outstanding",IF(AA262&gt;=VLOOKUP(E262,'Input &amp; Settings'!$F$5:$K$10,4,FALSE),"Exceeds Expectations",IF(AA262&gt;=VLOOKUP(E262,'Input &amp; Settings'!$F$5:$K$10,5,FALSE),"Meets Expectations",IF(AA262&gt;=VLOOKUP(E262,'Input &amp; Settings'!$F$5:$K$10,6,FALSE),"Needs Improvement","Performance Improvement Required")))),""))</f>
        <v>Needs Improvement</v>
      </c>
      <c r="AC262" s="38" t="str">
        <f t="shared" si="16"/>
        <v>Entered</v>
      </c>
      <c r="AD262" s="39"/>
      <c r="AE262" s="40"/>
      <c r="AF262" s="41">
        <f t="shared" si="17"/>
        <v>59.4</v>
      </c>
      <c r="AG262" s="42" t="str">
        <f t="shared" si="18"/>
        <v>Needs Improvement</v>
      </c>
      <c r="AH262" s="42" t="str">
        <f t="shared" si="19"/>
        <v>Cory Colstock|July</v>
      </c>
    </row>
    <row r="263" spans="1:34" hidden="1">
      <c r="A263" s="32">
        <v>2026</v>
      </c>
      <c r="B263" s="32" t="s">
        <v>92</v>
      </c>
      <c r="C263" s="32" t="s">
        <v>36</v>
      </c>
      <c r="D263" s="32" t="s">
        <v>45</v>
      </c>
      <c r="E263" s="33" t="s">
        <v>86</v>
      </c>
      <c r="F263" s="34" t="str">
        <f>IF(E263="","",IFERROR(VLOOKUP(E263,'Input &amp; Settings'!$F$5:$G$10,2,FALSE),""))</f>
        <v>High</v>
      </c>
      <c r="G263" s="33">
        <v>34</v>
      </c>
      <c r="H263" s="33">
        <v>45</v>
      </c>
      <c r="I263" s="35">
        <v>1</v>
      </c>
      <c r="J263" s="33">
        <v>4</v>
      </c>
      <c r="K263" s="36">
        <v>4.8899999999999997</v>
      </c>
      <c r="L263" s="35">
        <v>1</v>
      </c>
      <c r="M263" s="33">
        <v>1</v>
      </c>
      <c r="N263" s="33">
        <v>0</v>
      </c>
      <c r="O263" s="33">
        <v>0</v>
      </c>
      <c r="P263" s="33">
        <v>20</v>
      </c>
      <c r="Q263" s="37">
        <f>IF(G263="","",IFERROR(MIN(100,G263/'Input &amp; Settings'!$B$5*100),""))</f>
        <v>45.333333333333329</v>
      </c>
      <c r="R263" s="37">
        <f>IF(H263="","",IFERROR(MIN(100,H263/'Input &amp; Settings'!$B$6*100),""))</f>
        <v>56.25</v>
      </c>
      <c r="S263" s="37">
        <f>IF(I263="","",IFERROR(MIN(100,I263/'Input &amp; Settings'!$B$7*100),""))</f>
        <v>100</v>
      </c>
      <c r="T263" s="37">
        <f>IF(J263="","",IFERROR(MIN(100,J263/'Input &amp; Settings'!$B$8*100),""))</f>
        <v>20</v>
      </c>
      <c r="U263" s="37">
        <f>IF(K263="","",IFERROR(MIN(100,K263/'Input &amp; Settings'!$B$9*100),""))</f>
        <v>100</v>
      </c>
      <c r="V263" s="37">
        <f>IF(L263="","",IFERROR(MIN(100,L263/'Input &amp; Settings'!$B$10*100),""))</f>
        <v>100</v>
      </c>
      <c r="W263" s="37">
        <f>IF(M263="","",IFERROR(IF(M263&lt;='Input &amp; Settings'!$B$11,100,MAX(0,100-(M263-'Input &amp; Settings'!$B$11)*20)),""))</f>
        <v>100</v>
      </c>
      <c r="X263" s="37">
        <f>IF(N263="","",IFERROR(MIN(100,N263/'Input &amp; Settings'!$B$12*100),""))</f>
        <v>0</v>
      </c>
      <c r="Y263" s="37">
        <f>IF(O263="","",IFERROR(MIN(100,O263/'Input &amp; Settings'!$B$13*100),""))</f>
        <v>0</v>
      </c>
      <c r="Z263" s="37">
        <f>IF(P263="","",IFERROR(IF(P263&lt;='Input &amp; Settings'!$B$14,100,MAX(0,100-(P263-'Input &amp; Settings'!$B$14)*20)),""))</f>
        <v>0</v>
      </c>
      <c r="AA263" s="37">
        <f>IF(COUNTA(G263:P263)=0,"",ROUND(Q263*'Input &amp; Settings'!$C$5+R263*'Input &amp; Settings'!$C$6+S263*'Input &amp; Settings'!$C$7+T263*'Input &amp; Settings'!$C$8+U263*'Input &amp; Settings'!$C$9+V263*'Input &amp; Settings'!$C$10+W263*'Input &amp; Settings'!$C$11+X263*'Input &amp; Settings'!$C$12+Y263*'Input &amp; Settings'!$C$13+Z263*'Input &amp; Settings'!$C$14,1))</f>
        <v>54.4</v>
      </c>
      <c r="AB263" s="38" t="str">
        <f>IF(OR(AA263="",E263=""),"",IFERROR(IF(AA263&gt;=VLOOKUP(E263,'Input &amp; Settings'!$F$5:$K$10,3,FALSE),"Outstanding",IF(AA263&gt;=VLOOKUP(E263,'Input &amp; Settings'!$F$5:$K$10,4,FALSE),"Exceeds Expectations",IF(AA263&gt;=VLOOKUP(E263,'Input &amp; Settings'!$F$5:$K$10,5,FALSE),"Meets Expectations",IF(AA263&gt;=VLOOKUP(E263,'Input &amp; Settings'!$F$5:$K$10,6,FALSE),"Needs Improvement","Performance Improvement Required")))),""))</f>
        <v>Needs Improvement</v>
      </c>
      <c r="AC263" s="38" t="str">
        <f t="shared" si="16"/>
        <v>Entered</v>
      </c>
      <c r="AD263" s="39"/>
      <c r="AE263" s="40"/>
      <c r="AF263" s="41">
        <f t="shared" si="17"/>
        <v>54.4</v>
      </c>
      <c r="AG263" s="42" t="str">
        <f t="shared" si="18"/>
        <v>Needs Improvement</v>
      </c>
      <c r="AH263" s="42" t="str">
        <f t="shared" si="19"/>
        <v>Jerald Woodward (Jerry)|July</v>
      </c>
    </row>
    <row r="264" spans="1:34" hidden="1">
      <c r="A264" s="32">
        <v>2026</v>
      </c>
      <c r="B264" s="32" t="s">
        <v>92</v>
      </c>
      <c r="C264" s="32" t="s">
        <v>36</v>
      </c>
      <c r="D264" s="32" t="s">
        <v>46</v>
      </c>
      <c r="E264" s="33" t="s">
        <v>86</v>
      </c>
      <c r="F264" s="34" t="str">
        <f>IF(E264="","",IFERROR(VLOOKUP(E264,'Input &amp; Settings'!$F$5:$G$10,2,FALSE),""))</f>
        <v>High</v>
      </c>
      <c r="G264" s="33">
        <v>20</v>
      </c>
      <c r="H264" s="33">
        <v>18</v>
      </c>
      <c r="I264" s="35">
        <v>1</v>
      </c>
      <c r="J264" s="33">
        <v>0</v>
      </c>
      <c r="K264" s="36">
        <v>5</v>
      </c>
      <c r="L264" s="35">
        <v>1</v>
      </c>
      <c r="M264" s="33">
        <v>0</v>
      </c>
      <c r="N264" s="33">
        <v>1</v>
      </c>
      <c r="O264" s="33">
        <v>0</v>
      </c>
      <c r="P264" s="33">
        <v>1</v>
      </c>
      <c r="Q264" s="37">
        <f>IF(G264="","",IFERROR(MIN(100,G264/'Input &amp; Settings'!$B$5*100),""))</f>
        <v>26.666666666666668</v>
      </c>
      <c r="R264" s="37">
        <f>IF(H264="","",IFERROR(MIN(100,H264/'Input &amp; Settings'!$B$6*100),""))</f>
        <v>22.5</v>
      </c>
      <c r="S264" s="37">
        <f>IF(I264="","",IFERROR(MIN(100,I264/'Input &amp; Settings'!$B$7*100),""))</f>
        <v>100</v>
      </c>
      <c r="T264" s="37">
        <f>IF(J264="","",IFERROR(MIN(100,J264/'Input &amp; Settings'!$B$8*100),""))</f>
        <v>0</v>
      </c>
      <c r="U264" s="37">
        <f>IF(K264="","",IFERROR(MIN(100,K264/'Input &amp; Settings'!$B$9*100),""))</f>
        <v>100</v>
      </c>
      <c r="V264" s="37">
        <f>IF(L264="","",IFERROR(MIN(100,L264/'Input &amp; Settings'!$B$10*100),""))</f>
        <v>100</v>
      </c>
      <c r="W264" s="37">
        <f>IF(M264="","",IFERROR(IF(M264&lt;='Input &amp; Settings'!$B$11,100,MAX(0,100-(M264-'Input &amp; Settings'!$B$11)*20)),""))</f>
        <v>100</v>
      </c>
      <c r="X264" s="37">
        <f>IF(N264="","",IFERROR(MIN(100,N264/'Input &amp; Settings'!$B$12*100),""))</f>
        <v>100</v>
      </c>
      <c r="Y264" s="37">
        <f>IF(O264="","",IFERROR(MIN(100,O264/'Input &amp; Settings'!$B$13*100),""))</f>
        <v>0</v>
      </c>
      <c r="Z264" s="37">
        <f>IF(P264="","",IFERROR(IF(P264&lt;='Input &amp; Settings'!$B$14,100,MAX(0,100-(P264-'Input &amp; Settings'!$B$14)*20)),""))</f>
        <v>100</v>
      </c>
      <c r="AA264" s="37">
        <f>IF(COUNTA(G264:P264)=0,"",ROUND(Q264*'Input &amp; Settings'!$C$5+R264*'Input &amp; Settings'!$C$6+S264*'Input &amp; Settings'!$C$7+T264*'Input &amp; Settings'!$C$8+U264*'Input &amp; Settings'!$C$9+V264*'Input &amp; Settings'!$C$10+W264*'Input &amp; Settings'!$C$11+X264*'Input &amp; Settings'!$C$12+Y264*'Input &amp; Settings'!$C$13+Z264*'Input &amp; Settings'!$C$14,1))</f>
        <v>66.3</v>
      </c>
      <c r="AB264" s="38" t="str">
        <f>IF(OR(AA264="",E264=""),"",IFERROR(IF(AA264&gt;=VLOOKUP(E264,'Input &amp; Settings'!$F$5:$K$10,3,FALSE),"Outstanding",IF(AA264&gt;=VLOOKUP(E264,'Input &amp; Settings'!$F$5:$K$10,4,FALSE),"Exceeds Expectations",IF(AA264&gt;=VLOOKUP(E264,'Input &amp; Settings'!$F$5:$K$10,5,FALSE),"Meets Expectations",IF(AA264&gt;=VLOOKUP(E264,'Input &amp; Settings'!$F$5:$K$10,6,FALSE),"Needs Improvement","Performance Improvement Required")))),""))</f>
        <v>Meets Expectations</v>
      </c>
      <c r="AC264" s="38" t="str">
        <f t="shared" si="16"/>
        <v>Entered</v>
      </c>
      <c r="AD264" s="39"/>
      <c r="AE264" s="40"/>
      <c r="AF264" s="41">
        <f t="shared" si="17"/>
        <v>66.3</v>
      </c>
      <c r="AG264" s="42" t="str">
        <f t="shared" si="18"/>
        <v>Meets Expectations</v>
      </c>
      <c r="AH264" s="42" t="str">
        <f t="shared" si="19"/>
        <v>Alvaro Hernandez|July</v>
      </c>
    </row>
    <row r="265" spans="1:34" hidden="1">
      <c r="A265" s="32">
        <v>2026</v>
      </c>
      <c r="B265" s="32" t="s">
        <v>92</v>
      </c>
      <c r="C265" s="32" t="s">
        <v>36</v>
      </c>
      <c r="D265" s="32" t="s">
        <v>47</v>
      </c>
      <c r="E265" s="33" t="s">
        <v>88</v>
      </c>
      <c r="F265" s="34" t="str">
        <f>IF(E265="","",IFERROR(VLOOKUP(E265,'Input &amp; Settings'!$F$5:$G$10,2,FALSE),""))</f>
        <v>Normal</v>
      </c>
      <c r="G265" s="33"/>
      <c r="H265" s="33"/>
      <c r="I265" s="35"/>
      <c r="J265" s="33"/>
      <c r="K265" s="36"/>
      <c r="L265" s="35"/>
      <c r="M265" s="33"/>
      <c r="N265" s="33"/>
      <c r="O265" s="33"/>
      <c r="P265" s="33"/>
      <c r="Q265" s="37" t="str">
        <f>IF(G265="","",IFERROR(MIN(100,G265/'Input &amp; Settings'!$B$5*100),""))</f>
        <v/>
      </c>
      <c r="R265" s="37" t="str">
        <f>IF(H265="","",IFERROR(MIN(100,H265/'Input &amp; Settings'!$B$6*100),""))</f>
        <v/>
      </c>
      <c r="S265" s="37" t="str">
        <f>IF(I265="","",IFERROR(MIN(100,I265/'Input &amp; Settings'!$B$7*100),""))</f>
        <v/>
      </c>
      <c r="T265" s="37" t="str">
        <f>IF(J265="","",IFERROR(MIN(100,J265/'Input &amp; Settings'!$B$8*100),""))</f>
        <v/>
      </c>
      <c r="U265" s="37" t="str">
        <f>IF(K265="","",IFERROR(MIN(100,K265/'Input &amp; Settings'!$B$9*100),""))</f>
        <v/>
      </c>
      <c r="V265" s="37" t="str">
        <f>IF(L265="","",IFERROR(MIN(100,L265/'Input &amp; Settings'!$B$10*100),""))</f>
        <v/>
      </c>
      <c r="W265" s="37" t="str">
        <f>IF(M265="","",IFERROR(IF(M265&lt;='Input &amp; Settings'!$B$11,100,MAX(0,100-(M265-'Input &amp; Settings'!$B$11)*20)),""))</f>
        <v/>
      </c>
      <c r="X265" s="37" t="str">
        <f>IF(N265="","",IFERROR(MIN(100,N265/'Input &amp; Settings'!$B$12*100),""))</f>
        <v/>
      </c>
      <c r="Y265" s="37" t="str">
        <f>IF(O265="","",IFERROR(MIN(100,O265/'Input &amp; Settings'!$B$13*100),""))</f>
        <v/>
      </c>
      <c r="Z265" s="37" t="str">
        <f>IF(P265="","",IFERROR(IF(P265&lt;='Input &amp; Settings'!$B$14,100,MAX(0,100-(P265-'Input &amp; Settings'!$B$14)*20)),""))</f>
        <v/>
      </c>
      <c r="AA265" s="37" t="str">
        <f>IF(COUNTA(G265:P265)=0,"",ROUND(Q265*'Input &amp; Settings'!$C$5+R265*'Input &amp; Settings'!$C$6+S265*'Input &amp; Settings'!$C$7+T265*'Input &amp; Settings'!$C$8+U265*'Input &amp; Settings'!$C$9+V265*'Input &amp; Settings'!$C$10+W265*'Input &amp; Settings'!$C$11+X265*'Input &amp; Settings'!$C$12+Y265*'Input &amp; Settings'!$C$13+Z265*'Input &amp; Settings'!$C$14,1))</f>
        <v/>
      </c>
      <c r="AB265" s="38" t="str">
        <f>IF(OR(AA265="",E265=""),"",IFERROR(IF(AA265&gt;=VLOOKUP(E265,'Input &amp; Settings'!$F$5:$K$10,3,FALSE),"Outstanding",IF(AA265&gt;=VLOOKUP(E265,'Input &amp; Settings'!$F$5:$K$10,4,FALSE),"Exceeds Expectations",IF(AA265&gt;=VLOOKUP(E265,'Input &amp; Settings'!$F$5:$K$10,5,FALSE),"Meets Expectations",IF(AA265&gt;=VLOOKUP(E265,'Input &amp; Settings'!$F$5:$K$10,6,FALSE),"Needs Improvement","Performance Improvement Required")))),""))</f>
        <v/>
      </c>
      <c r="AC265" s="38" t="str">
        <f t="shared" si="16"/>
        <v/>
      </c>
      <c r="AD265" s="39"/>
      <c r="AE265" s="40"/>
      <c r="AF265" s="41" t="str">
        <f t="shared" si="17"/>
        <v/>
      </c>
      <c r="AG265" s="42" t="str">
        <f t="shared" si="18"/>
        <v/>
      </c>
      <c r="AH265" s="42" t="str">
        <f t="shared" si="19"/>
        <v>Sarah Clervil|July</v>
      </c>
    </row>
    <row r="266" spans="1:34" hidden="1">
      <c r="A266" s="32">
        <v>2026</v>
      </c>
      <c r="B266" s="32" t="s">
        <v>92</v>
      </c>
      <c r="C266" s="32" t="s">
        <v>36</v>
      </c>
      <c r="D266" s="32" t="s">
        <v>48</v>
      </c>
      <c r="E266" s="33" t="s">
        <v>88</v>
      </c>
      <c r="F266" s="34" t="str">
        <f>IF(E266="","",IFERROR(VLOOKUP(E266,'Input &amp; Settings'!$F$5:$G$10,2,FALSE),""))</f>
        <v>Normal</v>
      </c>
      <c r="G266" s="33">
        <v>42</v>
      </c>
      <c r="H266" s="33">
        <v>36</v>
      </c>
      <c r="I266" s="35">
        <v>1</v>
      </c>
      <c r="J266" s="33">
        <v>1</v>
      </c>
      <c r="K266" s="36">
        <v>4.75</v>
      </c>
      <c r="L266" s="35">
        <v>1</v>
      </c>
      <c r="M266" s="33">
        <v>0</v>
      </c>
      <c r="N266" s="33">
        <v>0</v>
      </c>
      <c r="O266" s="33">
        <v>0</v>
      </c>
      <c r="P266" s="33">
        <v>0</v>
      </c>
      <c r="Q266" s="37">
        <f>IF(G266="","",IFERROR(MIN(100,G266/'Input &amp; Settings'!$B$5*100),""))</f>
        <v>56.000000000000007</v>
      </c>
      <c r="R266" s="37">
        <f>IF(H266="","",IFERROR(MIN(100,H266/'Input &amp; Settings'!$B$6*100),""))</f>
        <v>45</v>
      </c>
      <c r="S266" s="37">
        <f>IF(I266="","",IFERROR(MIN(100,I266/'Input &amp; Settings'!$B$7*100),""))</f>
        <v>100</v>
      </c>
      <c r="T266" s="37">
        <f>IF(J266="","",IFERROR(MIN(100,J266/'Input &amp; Settings'!$B$8*100),""))</f>
        <v>5</v>
      </c>
      <c r="U266" s="37">
        <f>IF(K266="","",IFERROR(MIN(100,K266/'Input &amp; Settings'!$B$9*100),""))</f>
        <v>100</v>
      </c>
      <c r="V266" s="37">
        <f>IF(L266="","",IFERROR(MIN(100,L266/'Input &amp; Settings'!$B$10*100),""))</f>
        <v>100</v>
      </c>
      <c r="W266" s="37">
        <f>IF(M266="","",IFERROR(IF(M266&lt;='Input &amp; Settings'!$B$11,100,MAX(0,100-(M266-'Input &amp; Settings'!$B$11)*20)),""))</f>
        <v>100</v>
      </c>
      <c r="X266" s="37">
        <f>IF(N266="","",IFERROR(MIN(100,N266/'Input &amp; Settings'!$B$12*100),""))</f>
        <v>0</v>
      </c>
      <c r="Y266" s="37">
        <f>IF(O266="","",IFERROR(MIN(100,O266/'Input &amp; Settings'!$B$13*100),""))</f>
        <v>0</v>
      </c>
      <c r="Z266" s="37">
        <f>IF(P266="","",IFERROR(IF(P266&lt;='Input &amp; Settings'!$B$14,100,MAX(0,100-(P266-'Input &amp; Settings'!$B$14)*20)),""))</f>
        <v>100</v>
      </c>
      <c r="AA266" s="37">
        <f>IF(COUNTA(G266:P266)=0,"",ROUND(Q266*'Input &amp; Settings'!$C$5+R266*'Input &amp; Settings'!$C$6+S266*'Input &amp; Settings'!$C$7+T266*'Input &amp; Settings'!$C$8+U266*'Input &amp; Settings'!$C$9+V266*'Input &amp; Settings'!$C$10+W266*'Input &amp; Settings'!$C$11+X266*'Input &amp; Settings'!$C$12+Y266*'Input &amp; Settings'!$C$13+Z266*'Input &amp; Settings'!$C$14,1))</f>
        <v>68.400000000000006</v>
      </c>
      <c r="AB266" s="38" t="str">
        <f>IF(OR(AA266="",E266=""),"",IFERROR(IF(AA266&gt;=VLOOKUP(E266,'Input &amp; Settings'!$F$5:$K$10,3,FALSE),"Outstanding",IF(AA266&gt;=VLOOKUP(E266,'Input &amp; Settings'!$F$5:$K$10,4,FALSE),"Exceeds Expectations",IF(AA266&gt;=VLOOKUP(E266,'Input &amp; Settings'!$F$5:$K$10,5,FALSE),"Meets Expectations",IF(AA266&gt;=VLOOKUP(E266,'Input &amp; Settings'!$F$5:$K$10,6,FALSE),"Needs Improvement","Performance Improvement Required")))),""))</f>
        <v>Exceeds Expectations</v>
      </c>
      <c r="AC266" s="38" t="str">
        <f t="shared" si="16"/>
        <v>Entered</v>
      </c>
      <c r="AD266" s="39"/>
      <c r="AE266" s="40"/>
      <c r="AF266" s="41">
        <f t="shared" si="17"/>
        <v>68.400000000000006</v>
      </c>
      <c r="AG266" s="42" t="str">
        <f t="shared" si="18"/>
        <v>Exceeds Expectations</v>
      </c>
      <c r="AH266" s="42" t="str">
        <f t="shared" si="19"/>
        <v>Christopher Ovid|July</v>
      </c>
    </row>
    <row r="267" spans="1:34" hidden="1">
      <c r="A267" s="32">
        <v>2026</v>
      </c>
      <c r="B267" s="32" t="s">
        <v>92</v>
      </c>
      <c r="C267" s="32" t="s">
        <v>36</v>
      </c>
      <c r="D267" s="32" t="s">
        <v>49</v>
      </c>
      <c r="E267" s="33" t="s">
        <v>86</v>
      </c>
      <c r="F267" s="34" t="str">
        <f>IF(E267="","",IFERROR(VLOOKUP(E267,'Input &amp; Settings'!$F$5:$G$10,2,FALSE),""))</f>
        <v>High</v>
      </c>
      <c r="G267" s="33">
        <v>46</v>
      </c>
      <c r="H267" s="33">
        <v>64</v>
      </c>
      <c r="I267" s="35">
        <v>1</v>
      </c>
      <c r="J267" s="33">
        <v>0</v>
      </c>
      <c r="K267" s="36">
        <v>5</v>
      </c>
      <c r="L267" s="35">
        <v>0.98</v>
      </c>
      <c r="M267" s="33">
        <v>0</v>
      </c>
      <c r="N267" s="33">
        <v>0</v>
      </c>
      <c r="O267" s="33">
        <v>0</v>
      </c>
      <c r="P267" s="33">
        <v>3</v>
      </c>
      <c r="Q267" s="37">
        <f>IF(G267="","",IFERROR(MIN(100,G267/'Input &amp; Settings'!$B$5*100),""))</f>
        <v>61.333333333333329</v>
      </c>
      <c r="R267" s="37">
        <f>IF(H267="","",IFERROR(MIN(100,H267/'Input &amp; Settings'!$B$6*100),""))</f>
        <v>80</v>
      </c>
      <c r="S267" s="37">
        <f>IF(I267="","",IFERROR(MIN(100,I267/'Input &amp; Settings'!$B$7*100),""))</f>
        <v>100</v>
      </c>
      <c r="T267" s="37">
        <f>IF(J267="","",IFERROR(MIN(100,J267/'Input &amp; Settings'!$B$8*100),""))</f>
        <v>0</v>
      </c>
      <c r="U267" s="37">
        <f>IF(K267="","",IFERROR(MIN(100,K267/'Input &amp; Settings'!$B$9*100),""))</f>
        <v>100</v>
      </c>
      <c r="V267" s="37">
        <f>IF(L267="","",IFERROR(MIN(100,L267/'Input &amp; Settings'!$B$10*100),""))</f>
        <v>100</v>
      </c>
      <c r="W267" s="37">
        <f>IF(M267="","",IFERROR(IF(M267&lt;='Input &amp; Settings'!$B$11,100,MAX(0,100-(M267-'Input &amp; Settings'!$B$11)*20)),""))</f>
        <v>100</v>
      </c>
      <c r="X267" s="37">
        <f>IF(N267="","",IFERROR(MIN(100,N267/'Input &amp; Settings'!$B$12*100),""))</f>
        <v>0</v>
      </c>
      <c r="Y267" s="37">
        <f>IF(O267="","",IFERROR(MIN(100,O267/'Input &amp; Settings'!$B$13*100),""))</f>
        <v>0</v>
      </c>
      <c r="Z267" s="37">
        <f>IF(P267="","",IFERROR(IF(P267&lt;='Input &amp; Settings'!$B$14,100,MAX(0,100-(P267-'Input &amp; Settings'!$B$14)*20)),""))</f>
        <v>100</v>
      </c>
      <c r="AA267" s="37">
        <f>IF(COUNTA(G267:P267)=0,"",ROUND(Q267*'Input &amp; Settings'!$C$5+R267*'Input &amp; Settings'!$C$6+S267*'Input &amp; Settings'!$C$7+T267*'Input &amp; Settings'!$C$8+U267*'Input &amp; Settings'!$C$9+V267*'Input &amp; Settings'!$C$10+W267*'Input &amp; Settings'!$C$11+X267*'Input &amp; Settings'!$C$12+Y267*'Input &amp; Settings'!$C$13+Z267*'Input &amp; Settings'!$C$14,1))</f>
        <v>72.2</v>
      </c>
      <c r="AB267" s="38" t="str">
        <f>IF(OR(AA267="",E267=""),"",IFERROR(IF(AA267&gt;=VLOOKUP(E267,'Input &amp; Settings'!$F$5:$K$10,3,FALSE),"Outstanding",IF(AA267&gt;=VLOOKUP(E267,'Input &amp; Settings'!$F$5:$K$10,4,FALSE),"Exceeds Expectations",IF(AA267&gt;=VLOOKUP(E267,'Input &amp; Settings'!$F$5:$K$10,5,FALSE),"Meets Expectations",IF(AA267&gt;=VLOOKUP(E267,'Input &amp; Settings'!$F$5:$K$10,6,FALSE),"Needs Improvement","Performance Improvement Required")))),""))</f>
        <v>Exceeds Expectations</v>
      </c>
      <c r="AC267" s="38" t="str">
        <f t="shared" si="16"/>
        <v>Entered</v>
      </c>
      <c r="AD267" s="39"/>
      <c r="AE267" s="40"/>
      <c r="AF267" s="41">
        <f t="shared" si="17"/>
        <v>72.2</v>
      </c>
      <c r="AG267" s="42" t="str">
        <f t="shared" si="18"/>
        <v>Exceeds Expectations</v>
      </c>
      <c r="AH267" s="42" t="str">
        <f t="shared" si="19"/>
        <v>Rafael Godinez|July</v>
      </c>
    </row>
    <row r="268" spans="1:34" hidden="1">
      <c r="A268" s="32">
        <v>2026</v>
      </c>
      <c r="B268" s="32" t="s">
        <v>92</v>
      </c>
      <c r="C268" s="32" t="s">
        <v>36</v>
      </c>
      <c r="D268" s="32" t="s">
        <v>50</v>
      </c>
      <c r="E268" s="33" t="s">
        <v>87</v>
      </c>
      <c r="F268" s="34" t="str">
        <f>IF(E268="","",IFERROR(VLOOKUP(E268,'Input &amp; Settings'!$F$5:$G$10,2,FALSE),""))</f>
        <v>Normal</v>
      </c>
      <c r="G268" s="33">
        <v>77</v>
      </c>
      <c r="H268" s="33">
        <v>5</v>
      </c>
      <c r="I268" s="35">
        <v>1</v>
      </c>
      <c r="J268" s="33">
        <v>0</v>
      </c>
      <c r="K268" s="36">
        <v>4.96</v>
      </c>
      <c r="L268" s="35">
        <v>1</v>
      </c>
      <c r="M268" s="33">
        <v>0</v>
      </c>
      <c r="N268" s="33">
        <v>0</v>
      </c>
      <c r="O268" s="33">
        <v>1</v>
      </c>
      <c r="P268" s="33">
        <v>0</v>
      </c>
      <c r="Q268" s="37">
        <f>IF(G268="","",IFERROR(MIN(100,G268/'Input &amp; Settings'!$B$5*100),""))</f>
        <v>100</v>
      </c>
      <c r="R268" s="37">
        <f>IF(H268="","",IFERROR(MIN(100,H268/'Input &amp; Settings'!$B$6*100),""))</f>
        <v>6.25</v>
      </c>
      <c r="S268" s="37">
        <f>IF(I268="","",IFERROR(MIN(100,I268/'Input &amp; Settings'!$B$7*100),""))</f>
        <v>100</v>
      </c>
      <c r="T268" s="37">
        <f>IF(J268="","",IFERROR(MIN(100,J268/'Input &amp; Settings'!$B$8*100),""))</f>
        <v>0</v>
      </c>
      <c r="U268" s="37">
        <f>IF(K268="","",IFERROR(MIN(100,K268/'Input &amp; Settings'!$B$9*100),""))</f>
        <v>100</v>
      </c>
      <c r="V268" s="37">
        <f>IF(L268="","",IFERROR(MIN(100,L268/'Input &amp; Settings'!$B$10*100),""))</f>
        <v>100</v>
      </c>
      <c r="W268" s="37">
        <f>IF(M268="","",IFERROR(IF(M268&lt;='Input &amp; Settings'!$B$11,100,MAX(0,100-(M268-'Input &amp; Settings'!$B$11)*20)),""))</f>
        <v>100</v>
      </c>
      <c r="X268" s="37">
        <f>IF(N268="","",IFERROR(MIN(100,N268/'Input &amp; Settings'!$B$12*100),""))</f>
        <v>0</v>
      </c>
      <c r="Y268" s="37">
        <f>IF(O268="","",IFERROR(MIN(100,O268/'Input &amp; Settings'!$B$13*100),""))</f>
        <v>50</v>
      </c>
      <c r="Z268" s="37">
        <f>IF(P268="","",IFERROR(IF(P268&lt;='Input &amp; Settings'!$B$14,100,MAX(0,100-(P268-'Input &amp; Settings'!$B$14)*20)),""))</f>
        <v>100</v>
      </c>
      <c r="AA268" s="37">
        <f>IF(COUNTA(G268:P268)=0,"",ROUND(Q268*'Input &amp; Settings'!$C$5+R268*'Input &amp; Settings'!$C$6+S268*'Input &amp; Settings'!$C$7+T268*'Input &amp; Settings'!$C$8+U268*'Input &amp; Settings'!$C$9+V268*'Input &amp; Settings'!$C$10+W268*'Input &amp; Settings'!$C$11+X268*'Input &amp; Settings'!$C$12+Y268*'Input &amp; Settings'!$C$13+Z268*'Input &amp; Settings'!$C$14,1))</f>
        <v>73.099999999999994</v>
      </c>
      <c r="AB268" s="38" t="str">
        <f>IF(OR(AA268="",E268=""),"",IFERROR(IF(AA268&gt;=VLOOKUP(E268,'Input &amp; Settings'!$F$5:$K$10,3,FALSE),"Outstanding",IF(AA268&gt;=VLOOKUP(E268,'Input &amp; Settings'!$F$5:$K$10,4,FALSE),"Exceeds Expectations",IF(AA268&gt;=VLOOKUP(E268,'Input &amp; Settings'!$F$5:$K$10,5,FALSE),"Meets Expectations",IF(AA268&gt;=VLOOKUP(E268,'Input &amp; Settings'!$F$5:$K$10,6,FALSE),"Needs Improvement","Performance Improvement Required")))),""))</f>
        <v>Exceeds Expectations</v>
      </c>
      <c r="AC268" s="38" t="str">
        <f t="shared" si="16"/>
        <v>Entered</v>
      </c>
      <c r="AD268" s="39"/>
      <c r="AE268" s="40"/>
      <c r="AF268" s="41">
        <f t="shared" si="17"/>
        <v>73.099999999999994</v>
      </c>
      <c r="AG268" s="42" t="str">
        <f t="shared" si="18"/>
        <v>Exceeds Expectations</v>
      </c>
      <c r="AH268" s="42" t="str">
        <f t="shared" si="19"/>
        <v>Dennis Mayorga|July</v>
      </c>
    </row>
    <row r="269" spans="1:34" hidden="1">
      <c r="A269" s="32">
        <v>2026</v>
      </c>
      <c r="B269" s="32" t="s">
        <v>92</v>
      </c>
      <c r="C269" s="32" t="s">
        <v>36</v>
      </c>
      <c r="D269" s="32" t="s">
        <v>51</v>
      </c>
      <c r="E269" s="33" t="s">
        <v>88</v>
      </c>
      <c r="F269" s="34" t="str">
        <f>IF(E269="","",IFERROR(VLOOKUP(E269,'Input &amp; Settings'!$F$5:$G$10,2,FALSE),""))</f>
        <v>Normal</v>
      </c>
      <c r="G269" s="33">
        <v>56</v>
      </c>
      <c r="H269" s="33">
        <v>41</v>
      </c>
      <c r="I269" s="35">
        <v>1</v>
      </c>
      <c r="J269" s="33">
        <v>181</v>
      </c>
      <c r="K269" s="36">
        <v>5</v>
      </c>
      <c r="L269" s="35">
        <v>1</v>
      </c>
      <c r="M269" s="33">
        <v>2</v>
      </c>
      <c r="N269" s="33">
        <v>2</v>
      </c>
      <c r="O269" s="33">
        <v>0</v>
      </c>
      <c r="P269" s="33">
        <v>20</v>
      </c>
      <c r="Q269" s="37">
        <f>IF(G269="","",IFERROR(MIN(100,G269/'Input &amp; Settings'!$B$5*100),""))</f>
        <v>74.666666666666671</v>
      </c>
      <c r="R269" s="37">
        <f>IF(H269="","",IFERROR(MIN(100,H269/'Input &amp; Settings'!$B$6*100),""))</f>
        <v>51.249999999999993</v>
      </c>
      <c r="S269" s="37">
        <f>IF(I269="","",IFERROR(MIN(100,I269/'Input &amp; Settings'!$B$7*100),""))</f>
        <v>100</v>
      </c>
      <c r="T269" s="37">
        <f>IF(J269="","",IFERROR(MIN(100,J269/'Input &amp; Settings'!$B$8*100),""))</f>
        <v>100</v>
      </c>
      <c r="U269" s="37">
        <f>IF(K269="","",IFERROR(MIN(100,K269/'Input &amp; Settings'!$B$9*100),""))</f>
        <v>100</v>
      </c>
      <c r="V269" s="37">
        <f>IF(L269="","",IFERROR(MIN(100,L269/'Input &amp; Settings'!$B$10*100),""))</f>
        <v>100</v>
      </c>
      <c r="W269" s="37">
        <f>IF(M269="","",IFERROR(IF(M269&lt;='Input &amp; Settings'!$B$11,100,MAX(0,100-(M269-'Input &amp; Settings'!$B$11)*20)),""))</f>
        <v>100</v>
      </c>
      <c r="X269" s="37">
        <f>IF(N269="","",IFERROR(MIN(100,N269/'Input &amp; Settings'!$B$12*100),""))</f>
        <v>100</v>
      </c>
      <c r="Y269" s="37">
        <f>IF(O269="","",IFERROR(MIN(100,O269/'Input &amp; Settings'!$B$13*100),""))</f>
        <v>0</v>
      </c>
      <c r="Z269" s="37">
        <f>IF(P269="","",IFERROR(IF(P269&lt;='Input &amp; Settings'!$B$14,100,MAX(0,100-(P269-'Input &amp; Settings'!$B$14)*20)),""))</f>
        <v>0</v>
      </c>
      <c r="AA269" s="37">
        <f>IF(COUNTA(G269:P269)=0,"",ROUND(Q269*'Input &amp; Settings'!$C$5+R269*'Input &amp; Settings'!$C$6+S269*'Input &amp; Settings'!$C$7+T269*'Input &amp; Settings'!$C$8+U269*'Input &amp; Settings'!$C$9+V269*'Input &amp; Settings'!$C$10+W269*'Input &amp; Settings'!$C$11+X269*'Input &amp; Settings'!$C$12+Y269*'Input &amp; Settings'!$C$13+Z269*'Input &amp; Settings'!$C$14,1))</f>
        <v>71.3</v>
      </c>
      <c r="AB269" s="38" t="str">
        <f>IF(OR(AA269="",E269=""),"",IFERROR(IF(AA269&gt;=VLOOKUP(E269,'Input &amp; Settings'!$F$5:$K$10,3,FALSE),"Outstanding",IF(AA269&gt;=VLOOKUP(E269,'Input &amp; Settings'!$F$5:$K$10,4,FALSE),"Exceeds Expectations",IF(AA269&gt;=VLOOKUP(E269,'Input &amp; Settings'!$F$5:$K$10,5,FALSE),"Meets Expectations",IF(AA269&gt;=VLOOKUP(E269,'Input &amp; Settings'!$F$5:$K$10,6,FALSE),"Needs Improvement","Performance Improvement Required")))),""))</f>
        <v>Exceeds Expectations</v>
      </c>
      <c r="AC269" s="38" t="str">
        <f t="shared" si="16"/>
        <v>Entered</v>
      </c>
      <c r="AD269" s="39"/>
      <c r="AE269" s="40"/>
      <c r="AF269" s="41">
        <f t="shared" si="17"/>
        <v>71.3</v>
      </c>
      <c r="AG269" s="42" t="str">
        <f t="shared" si="18"/>
        <v>Exceeds Expectations</v>
      </c>
      <c r="AH269" s="42" t="str">
        <f t="shared" si="19"/>
        <v>Jose Reyes-Navolskyi (Ivan)|July</v>
      </c>
    </row>
    <row r="270" spans="1:34" hidden="1">
      <c r="A270" s="32">
        <v>2026</v>
      </c>
      <c r="B270" s="32" t="s">
        <v>92</v>
      </c>
      <c r="C270" s="32" t="s">
        <v>36</v>
      </c>
      <c r="D270" s="32" t="s">
        <v>52</v>
      </c>
      <c r="E270" s="33" t="s">
        <v>91</v>
      </c>
      <c r="F270" s="34" t="str">
        <f>IF(E270="","",IFERROR(VLOOKUP(E270,'Input &amp; Settings'!$F$5:$G$10,2,FALSE),""))</f>
        <v>Low</v>
      </c>
      <c r="G270" s="33">
        <v>5</v>
      </c>
      <c r="H270" s="33">
        <v>1</v>
      </c>
      <c r="I270" s="35">
        <v>1</v>
      </c>
      <c r="J270" s="33">
        <v>0</v>
      </c>
      <c r="K270" s="36">
        <v>5</v>
      </c>
      <c r="L270" s="35">
        <v>1</v>
      </c>
      <c r="M270" s="33">
        <v>0</v>
      </c>
      <c r="N270" s="33">
        <v>0</v>
      </c>
      <c r="O270" s="33">
        <v>0</v>
      </c>
      <c r="P270" s="33">
        <v>0</v>
      </c>
      <c r="Q270" s="37">
        <f>IF(G270="","",IFERROR(MIN(100,G270/'Input &amp; Settings'!$B$5*100),""))</f>
        <v>6.666666666666667</v>
      </c>
      <c r="R270" s="37">
        <f>IF(H270="","",IFERROR(MIN(100,H270/'Input &amp; Settings'!$B$6*100),""))</f>
        <v>1.25</v>
      </c>
      <c r="S270" s="37">
        <f>IF(I270="","",IFERROR(MIN(100,I270/'Input &amp; Settings'!$B$7*100),""))</f>
        <v>100</v>
      </c>
      <c r="T270" s="37">
        <f>IF(J270="","",IFERROR(MIN(100,J270/'Input &amp; Settings'!$B$8*100),""))</f>
        <v>0</v>
      </c>
      <c r="U270" s="37">
        <f>IF(K270="","",IFERROR(MIN(100,K270/'Input &amp; Settings'!$B$9*100),""))</f>
        <v>100</v>
      </c>
      <c r="V270" s="37">
        <f>IF(L270="","",IFERROR(MIN(100,L270/'Input &amp; Settings'!$B$10*100),""))</f>
        <v>100</v>
      </c>
      <c r="W270" s="37">
        <f>IF(M270="","",IFERROR(IF(M270&lt;='Input &amp; Settings'!$B$11,100,MAX(0,100-(M270-'Input &amp; Settings'!$B$11)*20)),""))</f>
        <v>100</v>
      </c>
      <c r="X270" s="37">
        <f>IF(N270="","",IFERROR(MIN(100,N270/'Input &amp; Settings'!$B$12*100),""))</f>
        <v>0</v>
      </c>
      <c r="Y270" s="37">
        <f>IF(O270="","",IFERROR(MIN(100,O270/'Input &amp; Settings'!$B$13*100),""))</f>
        <v>0</v>
      </c>
      <c r="Z270" s="37">
        <f>IF(P270="","",IFERROR(IF(P270&lt;='Input &amp; Settings'!$B$14,100,MAX(0,100-(P270-'Input &amp; Settings'!$B$14)*20)),""))</f>
        <v>100</v>
      </c>
      <c r="AA270" s="37">
        <f>IF(COUNTA(G270:P270)=0,"",ROUND(Q270*'Input &amp; Settings'!$C$5+R270*'Input &amp; Settings'!$C$6+S270*'Input &amp; Settings'!$C$7+T270*'Input &amp; Settings'!$C$8+U270*'Input &amp; Settings'!$C$9+V270*'Input &amp; Settings'!$C$10+W270*'Input &amp; Settings'!$C$11+X270*'Input &amp; Settings'!$C$12+Y270*'Input &amp; Settings'!$C$13+Z270*'Input &amp; Settings'!$C$14,1))</f>
        <v>56.1</v>
      </c>
      <c r="AB270" s="38" t="str">
        <f>IF(OR(AA270="",E270=""),"",IFERROR(IF(AA270&gt;=VLOOKUP(E270,'Input &amp; Settings'!$F$5:$K$10,3,FALSE),"Outstanding",IF(AA270&gt;=VLOOKUP(E270,'Input &amp; Settings'!$F$5:$K$10,4,FALSE),"Exceeds Expectations",IF(AA270&gt;=VLOOKUP(E270,'Input &amp; Settings'!$F$5:$K$10,5,FALSE),"Meets Expectations",IF(AA270&gt;=VLOOKUP(E270,'Input &amp; Settings'!$F$5:$K$10,6,FALSE),"Needs Improvement","Performance Improvement Required")))),""))</f>
        <v>Needs Improvement</v>
      </c>
      <c r="AC270" s="38" t="str">
        <f t="shared" si="16"/>
        <v>Entered</v>
      </c>
      <c r="AD270" s="39"/>
      <c r="AE270" s="40"/>
      <c r="AF270" s="41">
        <f t="shared" si="17"/>
        <v>56.1</v>
      </c>
      <c r="AG270" s="42" t="str">
        <f t="shared" si="18"/>
        <v>Needs Improvement</v>
      </c>
      <c r="AH270" s="42" t="str">
        <f t="shared" si="19"/>
        <v>Jonathan Davila|July</v>
      </c>
    </row>
    <row r="271" spans="1:34" hidden="1">
      <c r="A271" s="32">
        <v>2026</v>
      </c>
      <c r="B271" s="32" t="s">
        <v>92</v>
      </c>
      <c r="C271" s="32" t="s">
        <v>53</v>
      </c>
      <c r="D271" s="32" t="s">
        <v>54</v>
      </c>
      <c r="E271" s="33" t="s">
        <v>89</v>
      </c>
      <c r="F271" s="34" t="str">
        <f>IF(E271="","",IFERROR(VLOOKUP(E271,'Input &amp; Settings'!$F$5:$G$10,2,FALSE),""))</f>
        <v>Low</v>
      </c>
      <c r="G271" s="33"/>
      <c r="H271" s="33"/>
      <c r="I271" s="35"/>
      <c r="J271" s="33"/>
      <c r="K271" s="36"/>
      <c r="L271" s="35"/>
      <c r="M271" s="33"/>
      <c r="N271" s="33"/>
      <c r="O271" s="33"/>
      <c r="P271" s="33"/>
      <c r="Q271" s="37" t="str">
        <f>IF(G271="","",IFERROR(MIN(100,G271/'Input &amp; Settings'!$B$5*100),""))</f>
        <v/>
      </c>
      <c r="R271" s="37" t="str">
        <f>IF(H271="","",IFERROR(MIN(100,H271/'Input &amp; Settings'!$B$6*100),""))</f>
        <v/>
      </c>
      <c r="S271" s="37" t="str">
        <f>IF(I271="","",IFERROR(MIN(100,I271/'Input &amp; Settings'!$B$7*100),""))</f>
        <v/>
      </c>
      <c r="T271" s="37" t="str">
        <f>IF(J271="","",IFERROR(MIN(100,J271/'Input &amp; Settings'!$B$8*100),""))</f>
        <v/>
      </c>
      <c r="U271" s="37" t="str">
        <f>IF(K271="","",IFERROR(MIN(100,K271/'Input &amp; Settings'!$B$9*100),""))</f>
        <v/>
      </c>
      <c r="V271" s="37" t="str">
        <f>IF(L271="","",IFERROR(MIN(100,L271/'Input &amp; Settings'!$B$10*100),""))</f>
        <v/>
      </c>
      <c r="W271" s="37" t="str">
        <f>IF(M271="","",IFERROR(IF(M271&lt;='Input &amp; Settings'!$B$11,100,MAX(0,100-(M271-'Input &amp; Settings'!$B$11)*20)),""))</f>
        <v/>
      </c>
      <c r="X271" s="37" t="str">
        <f>IF(N271="","",IFERROR(MIN(100,N271/'Input &amp; Settings'!$B$12*100),""))</f>
        <v/>
      </c>
      <c r="Y271" s="37" t="str">
        <f>IF(O271="","",IFERROR(MIN(100,O271/'Input &amp; Settings'!$B$13*100),""))</f>
        <v/>
      </c>
      <c r="Z271" s="37" t="str">
        <f>IF(P271="","",IFERROR(IF(P271&lt;='Input &amp; Settings'!$B$14,100,MAX(0,100-(P271-'Input &amp; Settings'!$B$14)*20)),""))</f>
        <v/>
      </c>
      <c r="AA271" s="37" t="str">
        <f>IF(COUNTA(G271:P271)=0,"",ROUND(Q271*'Input &amp; Settings'!$C$5+R271*'Input &amp; Settings'!$C$6+S271*'Input &amp; Settings'!$C$7+T271*'Input &amp; Settings'!$C$8+U271*'Input &amp; Settings'!$C$9+V271*'Input &amp; Settings'!$C$10+W271*'Input &amp; Settings'!$C$11+X271*'Input &amp; Settings'!$C$12+Y271*'Input &amp; Settings'!$C$13+Z271*'Input &amp; Settings'!$C$14,1))</f>
        <v/>
      </c>
      <c r="AB271" s="38" t="str">
        <f>IF(OR(AA271="",E271=""),"",IFERROR(IF(AA271&gt;=VLOOKUP(E271,'Input &amp; Settings'!$F$5:$K$10,3,FALSE),"Outstanding",IF(AA271&gt;=VLOOKUP(E271,'Input &amp; Settings'!$F$5:$K$10,4,FALSE),"Exceeds Expectations",IF(AA271&gt;=VLOOKUP(E271,'Input &amp; Settings'!$F$5:$K$10,5,FALSE),"Meets Expectations",IF(AA271&gt;=VLOOKUP(E271,'Input &amp; Settings'!$F$5:$K$10,6,FALSE),"Needs Improvement","Performance Improvement Required")))),""))</f>
        <v/>
      </c>
      <c r="AC271" s="38" t="str">
        <f t="shared" si="16"/>
        <v/>
      </c>
      <c r="AD271" s="39"/>
      <c r="AE271" s="40"/>
      <c r="AF271" s="41" t="str">
        <f t="shared" si="17"/>
        <v/>
      </c>
      <c r="AG271" s="42" t="str">
        <f t="shared" si="18"/>
        <v/>
      </c>
      <c r="AH271" s="42" t="str">
        <f t="shared" si="19"/>
        <v>Kevin Luburd|July</v>
      </c>
    </row>
    <row r="272" spans="1:34" hidden="1">
      <c r="A272" s="32">
        <v>2026</v>
      </c>
      <c r="B272" s="32" t="s">
        <v>92</v>
      </c>
      <c r="C272" s="32" t="s">
        <v>53</v>
      </c>
      <c r="D272" s="32" t="s">
        <v>55</v>
      </c>
      <c r="E272" s="33" t="s">
        <v>86</v>
      </c>
      <c r="F272" s="34" t="str">
        <f>IF(E272="","",IFERROR(VLOOKUP(E272,'Input &amp; Settings'!$F$5:$G$10,2,FALSE),""))</f>
        <v>High</v>
      </c>
      <c r="G272" s="33">
        <v>30</v>
      </c>
      <c r="H272" s="33">
        <v>33</v>
      </c>
      <c r="I272" s="35">
        <v>1</v>
      </c>
      <c r="J272" s="33">
        <v>0</v>
      </c>
      <c r="K272" s="36">
        <v>5</v>
      </c>
      <c r="L272" s="35">
        <v>0.9</v>
      </c>
      <c r="M272" s="33">
        <v>4</v>
      </c>
      <c r="N272" s="33">
        <v>0</v>
      </c>
      <c r="O272" s="33">
        <v>0</v>
      </c>
      <c r="P272" s="33">
        <v>10</v>
      </c>
      <c r="Q272" s="37">
        <f>IF(G272="","",IFERROR(MIN(100,G272/'Input &amp; Settings'!$B$5*100),""))</f>
        <v>40</v>
      </c>
      <c r="R272" s="37">
        <f>IF(H272="","",IFERROR(MIN(100,H272/'Input &amp; Settings'!$B$6*100),""))</f>
        <v>41.25</v>
      </c>
      <c r="S272" s="37">
        <f>IF(I272="","",IFERROR(MIN(100,I272/'Input &amp; Settings'!$B$7*100),""))</f>
        <v>100</v>
      </c>
      <c r="T272" s="37">
        <f>IF(J272="","",IFERROR(MIN(100,J272/'Input &amp; Settings'!$B$8*100),""))</f>
        <v>0</v>
      </c>
      <c r="U272" s="37">
        <f>IF(K272="","",IFERROR(MIN(100,K272/'Input &amp; Settings'!$B$9*100),""))</f>
        <v>100</v>
      </c>
      <c r="V272" s="37">
        <f>IF(L272="","",IFERROR(MIN(100,L272/'Input &amp; Settings'!$B$10*100),""))</f>
        <v>94.736842105263165</v>
      </c>
      <c r="W272" s="37">
        <f>IF(M272="","",IFERROR(IF(M272&lt;='Input &amp; Settings'!$B$11,100,MAX(0,100-(M272-'Input &amp; Settings'!$B$11)*20)),""))</f>
        <v>100</v>
      </c>
      <c r="X272" s="37">
        <f>IF(N272="","",IFERROR(MIN(100,N272/'Input &amp; Settings'!$B$12*100),""))</f>
        <v>0</v>
      </c>
      <c r="Y272" s="37">
        <f>IF(O272="","",IFERROR(MIN(100,O272/'Input &amp; Settings'!$B$13*100),""))</f>
        <v>0</v>
      </c>
      <c r="Z272" s="37">
        <f>IF(P272="","",IFERROR(IF(P272&lt;='Input &amp; Settings'!$B$14,100,MAX(0,100-(P272-'Input &amp; Settings'!$B$14)*20)),""))</f>
        <v>0</v>
      </c>
      <c r="AA272" s="37">
        <f>IF(COUNTA(G272:P272)=0,"",ROUND(Q272*'Input &amp; Settings'!$C$5+R272*'Input &amp; Settings'!$C$6+S272*'Input &amp; Settings'!$C$7+T272*'Input &amp; Settings'!$C$8+U272*'Input &amp; Settings'!$C$9+V272*'Input &amp; Settings'!$C$10+W272*'Input &amp; Settings'!$C$11+X272*'Input &amp; Settings'!$C$12+Y272*'Input &amp; Settings'!$C$13+Z272*'Input &amp; Settings'!$C$14,1))</f>
        <v>49.6</v>
      </c>
      <c r="AB272" s="38" t="str">
        <f>IF(OR(AA272="",E272=""),"",IFERROR(IF(AA272&gt;=VLOOKUP(E272,'Input &amp; Settings'!$F$5:$K$10,3,FALSE),"Outstanding",IF(AA272&gt;=VLOOKUP(E272,'Input &amp; Settings'!$F$5:$K$10,4,FALSE),"Exceeds Expectations",IF(AA272&gt;=VLOOKUP(E272,'Input &amp; Settings'!$F$5:$K$10,5,FALSE),"Meets Expectations",IF(AA272&gt;=VLOOKUP(E272,'Input &amp; Settings'!$F$5:$K$10,6,FALSE),"Needs Improvement","Performance Improvement Required")))),""))</f>
        <v>Performance Improvement Required</v>
      </c>
      <c r="AC272" s="38" t="str">
        <f t="shared" si="16"/>
        <v>Entered</v>
      </c>
      <c r="AD272" s="39"/>
      <c r="AE272" s="40"/>
      <c r="AF272" s="41">
        <f t="shared" si="17"/>
        <v>49.6</v>
      </c>
      <c r="AG272" s="42" t="str">
        <f t="shared" si="18"/>
        <v>Performance Improvement Required</v>
      </c>
      <c r="AH272" s="42" t="str">
        <f t="shared" si="19"/>
        <v>Anthony Thompson|July</v>
      </c>
    </row>
    <row r="273" spans="1:34" hidden="1">
      <c r="A273" s="32">
        <v>2026</v>
      </c>
      <c r="B273" s="32" t="s">
        <v>92</v>
      </c>
      <c r="C273" s="32" t="s">
        <v>53</v>
      </c>
      <c r="D273" s="32" t="s">
        <v>56</v>
      </c>
      <c r="E273" s="33" t="s">
        <v>90</v>
      </c>
      <c r="F273" s="34" t="str">
        <f>IF(E273="","",IFERROR(VLOOKUP(E273,'Input &amp; Settings'!$F$5:$G$10,2,FALSE),""))</f>
        <v>Low</v>
      </c>
      <c r="G273" s="33">
        <v>9</v>
      </c>
      <c r="H273" s="33">
        <v>10</v>
      </c>
      <c r="I273" s="35">
        <v>1</v>
      </c>
      <c r="J273" s="33">
        <v>6</v>
      </c>
      <c r="K273" s="36">
        <v>5</v>
      </c>
      <c r="L273" s="35">
        <v>0.9</v>
      </c>
      <c r="M273" s="33">
        <v>0</v>
      </c>
      <c r="N273" s="33">
        <v>0</v>
      </c>
      <c r="O273" s="33">
        <v>0</v>
      </c>
      <c r="P273" s="33">
        <v>5</v>
      </c>
      <c r="Q273" s="37">
        <f>IF(G273="","",IFERROR(MIN(100,G273/'Input &amp; Settings'!$B$5*100),""))</f>
        <v>12</v>
      </c>
      <c r="R273" s="37">
        <f>IF(H273="","",IFERROR(MIN(100,H273/'Input &amp; Settings'!$B$6*100),""))</f>
        <v>12.5</v>
      </c>
      <c r="S273" s="37">
        <f>IF(I273="","",IFERROR(MIN(100,I273/'Input &amp; Settings'!$B$7*100),""))</f>
        <v>100</v>
      </c>
      <c r="T273" s="37">
        <f>IF(J273="","",IFERROR(MIN(100,J273/'Input &amp; Settings'!$B$8*100),""))</f>
        <v>30</v>
      </c>
      <c r="U273" s="37">
        <f>IF(K273="","",IFERROR(MIN(100,K273/'Input &amp; Settings'!$B$9*100),""))</f>
        <v>100</v>
      </c>
      <c r="V273" s="37">
        <f>IF(L273="","",IFERROR(MIN(100,L273/'Input &amp; Settings'!$B$10*100),""))</f>
        <v>94.736842105263165</v>
      </c>
      <c r="W273" s="37">
        <f>IF(M273="","",IFERROR(IF(M273&lt;='Input &amp; Settings'!$B$11,100,MAX(0,100-(M273-'Input &amp; Settings'!$B$11)*20)),""))</f>
        <v>100</v>
      </c>
      <c r="X273" s="37">
        <f>IF(N273="","",IFERROR(MIN(100,N273/'Input &amp; Settings'!$B$12*100),""))</f>
        <v>0</v>
      </c>
      <c r="Y273" s="37">
        <f>IF(O273="","",IFERROR(MIN(100,O273/'Input &amp; Settings'!$B$13*100),""))</f>
        <v>0</v>
      </c>
      <c r="Z273" s="37">
        <f>IF(P273="","",IFERROR(IF(P273&lt;='Input &amp; Settings'!$B$14,100,MAX(0,100-(P273-'Input &amp; Settings'!$B$14)*20)),""))</f>
        <v>100</v>
      </c>
      <c r="AA273" s="37">
        <f>IF(COUNTA(G273:P273)=0,"",ROUND(Q273*'Input &amp; Settings'!$C$5+R273*'Input &amp; Settings'!$C$6+S273*'Input &amp; Settings'!$C$7+T273*'Input &amp; Settings'!$C$8+U273*'Input &amp; Settings'!$C$9+V273*'Input &amp; Settings'!$C$10+W273*'Input &amp; Settings'!$C$11+X273*'Input &amp; Settings'!$C$12+Y273*'Input &amp; Settings'!$C$13+Z273*'Input &amp; Settings'!$C$14,1))</f>
        <v>60.5</v>
      </c>
      <c r="AB273" s="38" t="str">
        <f>IF(OR(AA273="",E273=""),"",IFERROR(IF(AA273&gt;=VLOOKUP(E273,'Input &amp; Settings'!$F$5:$K$10,3,FALSE),"Outstanding",IF(AA273&gt;=VLOOKUP(E273,'Input &amp; Settings'!$F$5:$K$10,4,FALSE),"Exceeds Expectations",IF(AA273&gt;=VLOOKUP(E273,'Input &amp; Settings'!$F$5:$K$10,5,FALSE),"Meets Expectations",IF(AA273&gt;=VLOOKUP(E273,'Input &amp; Settings'!$F$5:$K$10,6,FALSE),"Needs Improvement","Performance Improvement Required")))),""))</f>
        <v>Exceeds Expectations</v>
      </c>
      <c r="AC273" s="38" t="str">
        <f t="shared" si="16"/>
        <v>Entered</v>
      </c>
      <c r="AD273" s="39"/>
      <c r="AE273" s="40"/>
      <c r="AF273" s="41">
        <f t="shared" si="17"/>
        <v>60.5</v>
      </c>
      <c r="AG273" s="42" t="str">
        <f t="shared" si="18"/>
        <v>Exceeds Expectations</v>
      </c>
      <c r="AH273" s="42" t="str">
        <f t="shared" si="19"/>
        <v>Shamar Modeste|July</v>
      </c>
    </row>
    <row r="274" spans="1:34" hidden="1">
      <c r="A274" s="32">
        <v>2026</v>
      </c>
      <c r="B274" s="32" t="s">
        <v>92</v>
      </c>
      <c r="C274" s="32" t="s">
        <v>53</v>
      </c>
      <c r="D274" s="32" t="s">
        <v>57</v>
      </c>
      <c r="E274" s="33" t="s">
        <v>86</v>
      </c>
      <c r="F274" s="34" t="str">
        <f>IF(E274="","",IFERROR(VLOOKUP(E274,'Input &amp; Settings'!$F$5:$G$10,2,FALSE),""))</f>
        <v>High</v>
      </c>
      <c r="G274" s="33">
        <v>125</v>
      </c>
      <c r="H274" s="33">
        <v>44</v>
      </c>
      <c r="I274" s="35">
        <v>1</v>
      </c>
      <c r="J274" s="33">
        <v>1</v>
      </c>
      <c r="K274" s="36">
        <v>4.08</v>
      </c>
      <c r="L274" s="35">
        <v>1</v>
      </c>
      <c r="M274" s="33">
        <v>4</v>
      </c>
      <c r="N274" s="33">
        <v>0</v>
      </c>
      <c r="O274" s="33">
        <v>1</v>
      </c>
      <c r="P274" s="33">
        <v>4</v>
      </c>
      <c r="Q274" s="37">
        <f>IF(G274="","",IFERROR(MIN(100,G274/'Input &amp; Settings'!$B$5*100),""))</f>
        <v>100</v>
      </c>
      <c r="R274" s="37">
        <f>IF(H274="","",IFERROR(MIN(100,H274/'Input &amp; Settings'!$B$6*100),""))</f>
        <v>55.000000000000007</v>
      </c>
      <c r="S274" s="37">
        <f>IF(I274="","",IFERROR(MIN(100,I274/'Input &amp; Settings'!$B$7*100),""))</f>
        <v>100</v>
      </c>
      <c r="T274" s="37">
        <f>IF(J274="","",IFERROR(MIN(100,J274/'Input &amp; Settings'!$B$8*100),""))</f>
        <v>5</v>
      </c>
      <c r="U274" s="37">
        <f>IF(K274="","",IFERROR(MIN(100,K274/'Input &amp; Settings'!$B$9*100),""))</f>
        <v>86.808510638297875</v>
      </c>
      <c r="V274" s="37">
        <f>IF(L274="","",IFERROR(MIN(100,L274/'Input &amp; Settings'!$B$10*100),""))</f>
        <v>100</v>
      </c>
      <c r="W274" s="37">
        <f>IF(M274="","",IFERROR(IF(M274&lt;='Input &amp; Settings'!$B$11,100,MAX(0,100-(M274-'Input &amp; Settings'!$B$11)*20)),""))</f>
        <v>100</v>
      </c>
      <c r="X274" s="37">
        <f>IF(N274="","",IFERROR(MIN(100,N274/'Input &amp; Settings'!$B$12*100),""))</f>
        <v>0</v>
      </c>
      <c r="Y274" s="37">
        <f>IF(O274="","",IFERROR(MIN(100,O274/'Input &amp; Settings'!$B$13*100),""))</f>
        <v>50</v>
      </c>
      <c r="Z274" s="37">
        <f>IF(P274="","",IFERROR(IF(P274&lt;='Input &amp; Settings'!$B$14,100,MAX(0,100-(P274-'Input &amp; Settings'!$B$14)*20)),""))</f>
        <v>100</v>
      </c>
      <c r="AA274" s="37">
        <f>IF(COUNTA(G274:P274)=0,"",ROUND(Q274*'Input &amp; Settings'!$C$5+R274*'Input &amp; Settings'!$C$6+S274*'Input &amp; Settings'!$C$7+T274*'Input &amp; Settings'!$C$8+U274*'Input &amp; Settings'!$C$9+V274*'Input &amp; Settings'!$C$10+W274*'Input &amp; Settings'!$C$11+X274*'Input &amp; Settings'!$C$12+Y274*'Input &amp; Settings'!$C$13+Z274*'Input &amp; Settings'!$C$14,1))</f>
        <v>77.2</v>
      </c>
      <c r="AB274" s="38" t="str">
        <f>IF(OR(AA274="",E274=""),"",IFERROR(IF(AA274&gt;=VLOOKUP(E274,'Input &amp; Settings'!$F$5:$K$10,3,FALSE),"Outstanding",IF(AA274&gt;=VLOOKUP(E274,'Input &amp; Settings'!$F$5:$K$10,4,FALSE),"Exceeds Expectations",IF(AA274&gt;=VLOOKUP(E274,'Input &amp; Settings'!$F$5:$K$10,5,FALSE),"Meets Expectations",IF(AA274&gt;=VLOOKUP(E274,'Input &amp; Settings'!$F$5:$K$10,6,FALSE),"Needs Improvement","Performance Improvement Required")))),""))</f>
        <v>Exceeds Expectations</v>
      </c>
      <c r="AC274" s="38" t="str">
        <f t="shared" si="16"/>
        <v>Entered</v>
      </c>
      <c r="AD274" s="39"/>
      <c r="AE274" s="40"/>
      <c r="AF274" s="41">
        <f t="shared" si="17"/>
        <v>77.2</v>
      </c>
      <c r="AG274" s="42" t="str">
        <f t="shared" si="18"/>
        <v>Exceeds Expectations</v>
      </c>
      <c r="AH274" s="42" t="str">
        <f t="shared" si="19"/>
        <v>Steven Morejon|July</v>
      </c>
    </row>
    <row r="275" spans="1:34" hidden="1">
      <c r="A275" s="32">
        <v>2026</v>
      </c>
      <c r="B275" s="32" t="s">
        <v>92</v>
      </c>
      <c r="C275" s="32" t="s">
        <v>53</v>
      </c>
      <c r="D275" s="32" t="s">
        <v>58</v>
      </c>
      <c r="E275" s="33" t="s">
        <v>87</v>
      </c>
      <c r="F275" s="34" t="str">
        <f>IF(E275="","",IFERROR(VLOOKUP(E275,'Input &amp; Settings'!$F$5:$G$10,2,FALSE),""))</f>
        <v>Normal</v>
      </c>
      <c r="G275" s="33">
        <v>59</v>
      </c>
      <c r="H275" s="33">
        <v>121</v>
      </c>
      <c r="I275" s="35">
        <v>1</v>
      </c>
      <c r="J275" s="33">
        <v>3</v>
      </c>
      <c r="K275" s="36">
        <v>5</v>
      </c>
      <c r="L275" s="35">
        <v>1</v>
      </c>
      <c r="M275" s="33">
        <v>0</v>
      </c>
      <c r="N275" s="33">
        <v>0</v>
      </c>
      <c r="O275" s="33">
        <v>0</v>
      </c>
      <c r="P275" s="33">
        <v>12</v>
      </c>
      <c r="Q275" s="37">
        <f>IF(G275="","",IFERROR(MIN(100,G275/'Input &amp; Settings'!$B$5*100),""))</f>
        <v>78.666666666666657</v>
      </c>
      <c r="R275" s="37">
        <f>IF(H275="","",IFERROR(MIN(100,H275/'Input &amp; Settings'!$B$6*100),""))</f>
        <v>100</v>
      </c>
      <c r="S275" s="37">
        <f>IF(I275="","",IFERROR(MIN(100,I275/'Input &amp; Settings'!$B$7*100),""))</f>
        <v>100</v>
      </c>
      <c r="T275" s="37">
        <f>IF(J275="","",IFERROR(MIN(100,J275/'Input &amp; Settings'!$B$8*100),""))</f>
        <v>15</v>
      </c>
      <c r="U275" s="37">
        <f>IF(K275="","",IFERROR(MIN(100,K275/'Input &amp; Settings'!$B$9*100),""))</f>
        <v>100</v>
      </c>
      <c r="V275" s="37">
        <f>IF(L275="","",IFERROR(MIN(100,L275/'Input &amp; Settings'!$B$10*100),""))</f>
        <v>100</v>
      </c>
      <c r="W275" s="37">
        <f>IF(M275="","",IFERROR(IF(M275&lt;='Input &amp; Settings'!$B$11,100,MAX(0,100-(M275-'Input &amp; Settings'!$B$11)*20)),""))</f>
        <v>100</v>
      </c>
      <c r="X275" s="37">
        <f>IF(N275="","",IFERROR(MIN(100,N275/'Input &amp; Settings'!$B$12*100),""))</f>
        <v>0</v>
      </c>
      <c r="Y275" s="37">
        <f>IF(O275="","",IFERROR(MIN(100,O275/'Input &amp; Settings'!$B$13*100),""))</f>
        <v>0</v>
      </c>
      <c r="Z275" s="37">
        <f>IF(P275="","",IFERROR(IF(P275&lt;='Input &amp; Settings'!$B$14,100,MAX(0,100-(P275-'Input &amp; Settings'!$B$14)*20)),""))</f>
        <v>0</v>
      </c>
      <c r="AA275" s="37">
        <f>IF(COUNTA(G275:P275)=0,"",ROUND(Q275*'Input &amp; Settings'!$C$5+R275*'Input &amp; Settings'!$C$6+S275*'Input &amp; Settings'!$C$7+T275*'Input &amp; Settings'!$C$8+U275*'Input &amp; Settings'!$C$9+V275*'Input &amp; Settings'!$C$10+W275*'Input &amp; Settings'!$C$11+X275*'Input &amp; Settings'!$C$12+Y275*'Input &amp; Settings'!$C$13+Z275*'Input &amp; Settings'!$C$14,1))</f>
        <v>63.3</v>
      </c>
      <c r="AB275" s="38" t="str">
        <f>IF(OR(AA275="",E275=""),"",IFERROR(IF(AA275&gt;=VLOOKUP(E275,'Input &amp; Settings'!$F$5:$K$10,3,FALSE),"Outstanding",IF(AA275&gt;=VLOOKUP(E275,'Input &amp; Settings'!$F$5:$K$10,4,FALSE),"Exceeds Expectations",IF(AA275&gt;=VLOOKUP(E275,'Input &amp; Settings'!$F$5:$K$10,5,FALSE),"Meets Expectations",IF(AA275&gt;=VLOOKUP(E275,'Input &amp; Settings'!$F$5:$K$10,6,FALSE),"Needs Improvement","Performance Improvement Required")))),""))</f>
        <v>Meets Expectations</v>
      </c>
      <c r="AC275" s="38" t="str">
        <f t="shared" si="16"/>
        <v>Entered</v>
      </c>
      <c r="AD275" s="39"/>
      <c r="AE275" s="40"/>
      <c r="AF275" s="41">
        <f t="shared" si="17"/>
        <v>63.3</v>
      </c>
      <c r="AG275" s="42" t="str">
        <f t="shared" si="18"/>
        <v>Meets Expectations</v>
      </c>
      <c r="AH275" s="42" t="str">
        <f t="shared" si="19"/>
        <v>Nicolas Abello|July</v>
      </c>
    </row>
    <row r="276" spans="1:34" hidden="1">
      <c r="A276" s="32">
        <v>2026</v>
      </c>
      <c r="B276" s="32" t="s">
        <v>92</v>
      </c>
      <c r="C276" s="32" t="s">
        <v>53</v>
      </c>
      <c r="D276" s="32" t="s">
        <v>59</v>
      </c>
      <c r="E276" s="33" t="s">
        <v>88</v>
      </c>
      <c r="F276" s="34" t="str">
        <f>IF(E276="","",IFERROR(VLOOKUP(E276,'Input &amp; Settings'!$F$5:$G$10,2,FALSE),""))</f>
        <v>Normal</v>
      </c>
      <c r="G276" s="33">
        <v>66</v>
      </c>
      <c r="H276" s="33">
        <v>72</v>
      </c>
      <c r="I276" s="35">
        <v>1</v>
      </c>
      <c r="J276" s="33">
        <v>18</v>
      </c>
      <c r="K276" s="36">
        <v>5</v>
      </c>
      <c r="L276" s="35">
        <v>1</v>
      </c>
      <c r="M276" s="33">
        <v>0</v>
      </c>
      <c r="N276" s="33">
        <v>0</v>
      </c>
      <c r="O276" s="33">
        <v>0</v>
      </c>
      <c r="P276" s="33">
        <v>1</v>
      </c>
      <c r="Q276" s="37">
        <f>IF(G276="","",IFERROR(MIN(100,G276/'Input &amp; Settings'!$B$5*100),""))</f>
        <v>88</v>
      </c>
      <c r="R276" s="37">
        <f>IF(H276="","",IFERROR(MIN(100,H276/'Input &amp; Settings'!$B$6*100),""))</f>
        <v>90</v>
      </c>
      <c r="S276" s="37">
        <f>IF(I276="","",IFERROR(MIN(100,I276/'Input &amp; Settings'!$B$7*100),""))</f>
        <v>100</v>
      </c>
      <c r="T276" s="37">
        <f>IF(J276="","",IFERROR(MIN(100,J276/'Input &amp; Settings'!$B$8*100),""))</f>
        <v>90</v>
      </c>
      <c r="U276" s="37">
        <f>IF(K276="","",IFERROR(MIN(100,K276/'Input &amp; Settings'!$B$9*100),""))</f>
        <v>100</v>
      </c>
      <c r="V276" s="37">
        <f>IF(L276="","",IFERROR(MIN(100,L276/'Input &amp; Settings'!$B$10*100),""))</f>
        <v>100</v>
      </c>
      <c r="W276" s="37">
        <f>IF(M276="","",IFERROR(IF(M276&lt;='Input &amp; Settings'!$B$11,100,MAX(0,100-(M276-'Input &amp; Settings'!$B$11)*20)),""))</f>
        <v>100</v>
      </c>
      <c r="X276" s="37">
        <f>IF(N276="","",IFERROR(MIN(100,N276/'Input &amp; Settings'!$B$12*100),""))</f>
        <v>0</v>
      </c>
      <c r="Y276" s="37">
        <f>IF(O276="","",IFERROR(MIN(100,O276/'Input &amp; Settings'!$B$13*100),""))</f>
        <v>0</v>
      </c>
      <c r="Z276" s="37">
        <f>IF(P276="","",IFERROR(IF(P276&lt;='Input &amp; Settings'!$B$14,100,MAX(0,100-(P276-'Input &amp; Settings'!$B$14)*20)),""))</f>
        <v>100</v>
      </c>
      <c r="AA276" s="37">
        <f>IF(COUNTA(G276:P276)=0,"",ROUND(Q276*'Input &amp; Settings'!$C$5+R276*'Input &amp; Settings'!$C$6+S276*'Input &amp; Settings'!$C$7+T276*'Input &amp; Settings'!$C$8+U276*'Input &amp; Settings'!$C$9+V276*'Input &amp; Settings'!$C$10+W276*'Input &amp; Settings'!$C$11+X276*'Input &amp; Settings'!$C$12+Y276*'Input &amp; Settings'!$C$13+Z276*'Input &amp; Settings'!$C$14,1))</f>
        <v>86.2</v>
      </c>
      <c r="AB276" s="38" t="str">
        <f>IF(OR(AA276="",E276=""),"",IFERROR(IF(AA276&gt;=VLOOKUP(E276,'Input &amp; Settings'!$F$5:$K$10,3,FALSE),"Outstanding",IF(AA276&gt;=VLOOKUP(E276,'Input &amp; Settings'!$F$5:$K$10,4,FALSE),"Exceeds Expectations",IF(AA276&gt;=VLOOKUP(E276,'Input &amp; Settings'!$F$5:$K$10,5,FALSE),"Meets Expectations",IF(AA276&gt;=VLOOKUP(E276,'Input &amp; Settings'!$F$5:$K$10,6,FALSE),"Needs Improvement","Performance Improvement Required")))),""))</f>
        <v>Outstanding</v>
      </c>
      <c r="AC276" s="38" t="str">
        <f t="shared" si="16"/>
        <v>Entered</v>
      </c>
      <c r="AD276" s="39"/>
      <c r="AE276" s="40"/>
      <c r="AF276" s="41">
        <f t="shared" si="17"/>
        <v>86.2</v>
      </c>
      <c r="AG276" s="42" t="str">
        <f t="shared" si="18"/>
        <v>Outstanding</v>
      </c>
      <c r="AH276" s="42" t="str">
        <f t="shared" si="19"/>
        <v>Carlos Espinosa|July</v>
      </c>
    </row>
    <row r="277" spans="1:34" hidden="1">
      <c r="A277" s="32">
        <v>2026</v>
      </c>
      <c r="B277" s="32" t="s">
        <v>92</v>
      </c>
      <c r="C277" s="32" t="s">
        <v>53</v>
      </c>
      <c r="D277" s="32" t="s">
        <v>60</v>
      </c>
      <c r="E277" s="33" t="s">
        <v>86</v>
      </c>
      <c r="F277" s="34" t="str">
        <f>IF(E277="","",IFERROR(VLOOKUP(E277,'Input &amp; Settings'!$F$5:$G$10,2,FALSE),""))</f>
        <v>High</v>
      </c>
      <c r="G277" s="33">
        <v>120</v>
      </c>
      <c r="H277" s="33">
        <v>42</v>
      </c>
      <c r="I277" s="35">
        <v>1</v>
      </c>
      <c r="J277" s="33">
        <v>28</v>
      </c>
      <c r="K277" s="36">
        <v>5</v>
      </c>
      <c r="L277" s="35">
        <v>1</v>
      </c>
      <c r="M277" s="33">
        <v>0</v>
      </c>
      <c r="N277" s="33">
        <v>0</v>
      </c>
      <c r="O277" s="33">
        <v>2</v>
      </c>
      <c r="P277" s="33">
        <v>6</v>
      </c>
      <c r="Q277" s="37">
        <f>IF(G277="","",IFERROR(MIN(100,G277/'Input &amp; Settings'!$B$5*100),""))</f>
        <v>100</v>
      </c>
      <c r="R277" s="37">
        <f>IF(H277="","",IFERROR(MIN(100,H277/'Input &amp; Settings'!$B$6*100),""))</f>
        <v>52.5</v>
      </c>
      <c r="S277" s="37">
        <f>IF(I277="","",IFERROR(MIN(100,I277/'Input &amp; Settings'!$B$7*100),""))</f>
        <v>100</v>
      </c>
      <c r="T277" s="37">
        <f>IF(J277="","",IFERROR(MIN(100,J277/'Input &amp; Settings'!$B$8*100),""))</f>
        <v>100</v>
      </c>
      <c r="U277" s="37">
        <f>IF(K277="","",IFERROR(MIN(100,K277/'Input &amp; Settings'!$B$9*100),""))</f>
        <v>100</v>
      </c>
      <c r="V277" s="37">
        <f>IF(L277="","",IFERROR(MIN(100,L277/'Input &amp; Settings'!$B$10*100),""))</f>
        <v>100</v>
      </c>
      <c r="W277" s="37">
        <f>IF(M277="","",IFERROR(IF(M277&lt;='Input &amp; Settings'!$B$11,100,MAX(0,100-(M277-'Input &amp; Settings'!$B$11)*20)),""))</f>
        <v>100</v>
      </c>
      <c r="X277" s="37">
        <f>IF(N277="","",IFERROR(MIN(100,N277/'Input &amp; Settings'!$B$12*100),""))</f>
        <v>0</v>
      </c>
      <c r="Y277" s="37">
        <f>IF(O277="","",IFERROR(MIN(100,O277/'Input &amp; Settings'!$B$13*100),""))</f>
        <v>100</v>
      </c>
      <c r="Z277" s="37">
        <f>IF(P277="","",IFERROR(IF(P277&lt;='Input &amp; Settings'!$B$14,100,MAX(0,100-(P277-'Input &amp; Settings'!$B$14)*20)),""))</f>
        <v>80</v>
      </c>
      <c r="AA277" s="37">
        <f>IF(COUNTA(G277:P277)=0,"",ROUND(Q277*'Input &amp; Settings'!$C$5+R277*'Input &amp; Settings'!$C$6+S277*'Input &amp; Settings'!$C$7+T277*'Input &amp; Settings'!$C$8+U277*'Input &amp; Settings'!$C$9+V277*'Input &amp; Settings'!$C$10+W277*'Input &amp; Settings'!$C$11+X277*'Input &amp; Settings'!$C$12+Y277*'Input &amp; Settings'!$C$13+Z277*'Input &amp; Settings'!$C$14,1))</f>
        <v>87.3</v>
      </c>
      <c r="AB277" s="38" t="str">
        <f>IF(OR(AA277="",E277=""),"",IFERROR(IF(AA277&gt;=VLOOKUP(E277,'Input &amp; Settings'!$F$5:$K$10,3,FALSE),"Outstanding",IF(AA277&gt;=VLOOKUP(E277,'Input &amp; Settings'!$F$5:$K$10,4,FALSE),"Exceeds Expectations",IF(AA277&gt;=VLOOKUP(E277,'Input &amp; Settings'!$F$5:$K$10,5,FALSE),"Meets Expectations",IF(AA277&gt;=VLOOKUP(E277,'Input &amp; Settings'!$F$5:$K$10,6,FALSE),"Needs Improvement","Performance Improvement Required")))),""))</f>
        <v>Outstanding</v>
      </c>
      <c r="AC277" s="38" t="str">
        <f t="shared" si="16"/>
        <v>Entered</v>
      </c>
      <c r="AD277" s="39"/>
      <c r="AE277" s="40"/>
      <c r="AF277" s="41">
        <f t="shared" si="17"/>
        <v>87.3</v>
      </c>
      <c r="AG277" s="42" t="str">
        <f t="shared" si="18"/>
        <v>Outstanding</v>
      </c>
      <c r="AH277" s="42" t="str">
        <f t="shared" si="19"/>
        <v>Fernando Barbera - Boyer|July</v>
      </c>
    </row>
    <row r="278" spans="1:34" hidden="1">
      <c r="A278" s="32">
        <v>2026</v>
      </c>
      <c r="B278" s="32" t="s">
        <v>92</v>
      </c>
      <c r="C278" s="32" t="s">
        <v>53</v>
      </c>
      <c r="D278" s="32" t="s">
        <v>61</v>
      </c>
      <c r="E278" s="33" t="s">
        <v>86</v>
      </c>
      <c r="F278" s="34" t="str">
        <f>IF(E278="","",IFERROR(VLOOKUP(E278,'Input &amp; Settings'!$F$5:$G$10,2,FALSE),""))</f>
        <v>High</v>
      </c>
      <c r="G278" s="33">
        <v>64</v>
      </c>
      <c r="H278" s="33">
        <v>34</v>
      </c>
      <c r="I278" s="35">
        <v>1</v>
      </c>
      <c r="J278" s="33">
        <v>5</v>
      </c>
      <c r="K278" s="36">
        <v>5</v>
      </c>
      <c r="L278" s="35">
        <v>1</v>
      </c>
      <c r="M278" s="33">
        <v>0</v>
      </c>
      <c r="N278" s="33">
        <v>0</v>
      </c>
      <c r="O278" s="33">
        <v>1</v>
      </c>
      <c r="P278" s="33">
        <v>5</v>
      </c>
      <c r="Q278" s="37">
        <f>IF(G278="","",IFERROR(MIN(100,G278/'Input &amp; Settings'!$B$5*100),""))</f>
        <v>85.333333333333343</v>
      </c>
      <c r="R278" s="37">
        <f>IF(H278="","",IFERROR(MIN(100,H278/'Input &amp; Settings'!$B$6*100),""))</f>
        <v>42.5</v>
      </c>
      <c r="S278" s="37">
        <f>IF(I278="","",IFERROR(MIN(100,I278/'Input &amp; Settings'!$B$7*100),""))</f>
        <v>100</v>
      </c>
      <c r="T278" s="37">
        <f>IF(J278="","",IFERROR(MIN(100,J278/'Input &amp; Settings'!$B$8*100),""))</f>
        <v>25</v>
      </c>
      <c r="U278" s="37">
        <f>IF(K278="","",IFERROR(MIN(100,K278/'Input &amp; Settings'!$B$9*100),""))</f>
        <v>100</v>
      </c>
      <c r="V278" s="37">
        <f>IF(L278="","",IFERROR(MIN(100,L278/'Input &amp; Settings'!$B$10*100),""))</f>
        <v>100</v>
      </c>
      <c r="W278" s="37">
        <f>IF(M278="","",IFERROR(IF(M278&lt;='Input &amp; Settings'!$B$11,100,MAX(0,100-(M278-'Input &amp; Settings'!$B$11)*20)),""))</f>
        <v>100</v>
      </c>
      <c r="X278" s="37">
        <f>IF(N278="","",IFERROR(MIN(100,N278/'Input &amp; Settings'!$B$12*100),""))</f>
        <v>0</v>
      </c>
      <c r="Y278" s="37">
        <f>IF(O278="","",IFERROR(MIN(100,O278/'Input &amp; Settings'!$B$13*100),""))</f>
        <v>50</v>
      </c>
      <c r="Z278" s="37">
        <f>IF(P278="","",IFERROR(IF(P278&lt;='Input &amp; Settings'!$B$14,100,MAX(0,100-(P278-'Input &amp; Settings'!$B$14)*20)),""))</f>
        <v>100</v>
      </c>
      <c r="AA278" s="37">
        <f>IF(COUNTA(G278:P278)=0,"",ROUND(Q278*'Input &amp; Settings'!$C$5+R278*'Input &amp; Settings'!$C$6+S278*'Input &amp; Settings'!$C$7+T278*'Input &amp; Settings'!$C$8+U278*'Input &amp; Settings'!$C$9+V278*'Input &amp; Settings'!$C$10+W278*'Input &amp; Settings'!$C$11+X278*'Input &amp; Settings'!$C$12+Y278*'Input &amp; Settings'!$C$13+Z278*'Input &amp; Settings'!$C$14,1))</f>
        <v>77.099999999999994</v>
      </c>
      <c r="AB278" s="38" t="str">
        <f>IF(OR(AA278="",E278=""),"",IFERROR(IF(AA278&gt;=VLOOKUP(E278,'Input &amp; Settings'!$F$5:$K$10,3,FALSE),"Outstanding",IF(AA278&gt;=VLOOKUP(E278,'Input &amp; Settings'!$F$5:$K$10,4,FALSE),"Exceeds Expectations",IF(AA278&gt;=VLOOKUP(E278,'Input &amp; Settings'!$F$5:$K$10,5,FALSE),"Meets Expectations",IF(AA278&gt;=VLOOKUP(E278,'Input &amp; Settings'!$F$5:$K$10,6,FALSE),"Needs Improvement","Performance Improvement Required")))),""))</f>
        <v>Exceeds Expectations</v>
      </c>
      <c r="AC278" s="38" t="str">
        <f t="shared" si="16"/>
        <v>Entered</v>
      </c>
      <c r="AD278" s="39"/>
      <c r="AE278" s="40"/>
      <c r="AF278" s="41">
        <f t="shared" si="17"/>
        <v>77.099999999999994</v>
      </c>
      <c r="AG278" s="42" t="str">
        <f t="shared" si="18"/>
        <v>Exceeds Expectations</v>
      </c>
      <c r="AH278" s="42" t="str">
        <f t="shared" si="19"/>
        <v>Miquelle Cordova|July</v>
      </c>
    </row>
    <row r="279" spans="1:34" hidden="1">
      <c r="A279" s="32">
        <v>2026</v>
      </c>
      <c r="B279" s="32" t="s">
        <v>92</v>
      </c>
      <c r="C279" s="32" t="s">
        <v>53</v>
      </c>
      <c r="D279" s="32" t="s">
        <v>62</v>
      </c>
      <c r="E279" s="33" t="s">
        <v>88</v>
      </c>
      <c r="F279" s="34" t="str">
        <f>IF(E279="","",IFERROR(VLOOKUP(E279,'Input &amp; Settings'!$F$5:$G$10,2,FALSE),""))</f>
        <v>Normal</v>
      </c>
      <c r="G279" s="33">
        <v>45</v>
      </c>
      <c r="H279" s="33">
        <v>8</v>
      </c>
      <c r="I279" s="35">
        <v>1</v>
      </c>
      <c r="J279" s="33">
        <v>26</v>
      </c>
      <c r="K279" s="36">
        <v>5</v>
      </c>
      <c r="L279" s="35">
        <v>1</v>
      </c>
      <c r="M279" s="33">
        <v>1</v>
      </c>
      <c r="N279" s="33">
        <v>0</v>
      </c>
      <c r="O279" s="33">
        <v>0</v>
      </c>
      <c r="P279" s="33">
        <v>1</v>
      </c>
      <c r="Q279" s="37">
        <f>IF(G279="","",IFERROR(MIN(100,G279/'Input &amp; Settings'!$B$5*100),""))</f>
        <v>60</v>
      </c>
      <c r="R279" s="37">
        <f>IF(H279="","",IFERROR(MIN(100,H279/'Input &amp; Settings'!$B$6*100),""))</f>
        <v>10</v>
      </c>
      <c r="S279" s="37">
        <f>IF(I279="","",IFERROR(MIN(100,I279/'Input &amp; Settings'!$B$7*100),""))</f>
        <v>100</v>
      </c>
      <c r="T279" s="37">
        <f>IF(J279="","",IFERROR(MIN(100,J279/'Input &amp; Settings'!$B$8*100),""))</f>
        <v>100</v>
      </c>
      <c r="U279" s="37">
        <f>IF(K279="","",IFERROR(MIN(100,K279/'Input &amp; Settings'!$B$9*100),""))</f>
        <v>100</v>
      </c>
      <c r="V279" s="37">
        <f>IF(L279="","",IFERROR(MIN(100,L279/'Input &amp; Settings'!$B$10*100),""))</f>
        <v>100</v>
      </c>
      <c r="W279" s="37">
        <f>IF(M279="","",IFERROR(IF(M279&lt;='Input &amp; Settings'!$B$11,100,MAX(0,100-(M279-'Input &amp; Settings'!$B$11)*20)),""))</f>
        <v>100</v>
      </c>
      <c r="X279" s="37">
        <f>IF(N279="","",IFERROR(MIN(100,N279/'Input &amp; Settings'!$B$12*100),""))</f>
        <v>0</v>
      </c>
      <c r="Y279" s="37">
        <f>IF(O279="","",IFERROR(MIN(100,O279/'Input &amp; Settings'!$B$13*100),""))</f>
        <v>0</v>
      </c>
      <c r="Z279" s="37">
        <f>IF(P279="","",IFERROR(IF(P279&lt;='Input &amp; Settings'!$B$14,100,MAX(0,100-(P279-'Input &amp; Settings'!$B$14)*20)),""))</f>
        <v>100</v>
      </c>
      <c r="AA279" s="37">
        <f>IF(COUNTA(G279:P279)=0,"",ROUND(Q279*'Input &amp; Settings'!$C$5+R279*'Input &amp; Settings'!$C$6+S279*'Input &amp; Settings'!$C$7+T279*'Input &amp; Settings'!$C$8+U279*'Input &amp; Settings'!$C$9+V279*'Input &amp; Settings'!$C$10+W279*'Input &amp; Settings'!$C$11+X279*'Input &amp; Settings'!$C$12+Y279*'Input &amp; Settings'!$C$13+Z279*'Input &amp; Settings'!$C$14,1))</f>
        <v>75</v>
      </c>
      <c r="AB279" s="38" t="str">
        <f>IF(OR(AA279="",E279=""),"",IFERROR(IF(AA279&gt;=VLOOKUP(E279,'Input &amp; Settings'!$F$5:$K$10,3,FALSE),"Outstanding",IF(AA279&gt;=VLOOKUP(E279,'Input &amp; Settings'!$F$5:$K$10,4,FALSE),"Exceeds Expectations",IF(AA279&gt;=VLOOKUP(E279,'Input &amp; Settings'!$F$5:$K$10,5,FALSE),"Meets Expectations",IF(AA279&gt;=VLOOKUP(E279,'Input &amp; Settings'!$F$5:$K$10,6,FALSE),"Needs Improvement","Performance Improvement Required")))),""))</f>
        <v>Outstanding</v>
      </c>
      <c r="AC279" s="38" t="str">
        <f t="shared" si="16"/>
        <v>Entered</v>
      </c>
      <c r="AD279" s="39"/>
      <c r="AE279" s="40"/>
      <c r="AF279" s="41">
        <f t="shared" si="17"/>
        <v>75</v>
      </c>
      <c r="AG279" s="42" t="str">
        <f t="shared" si="18"/>
        <v>Outstanding</v>
      </c>
      <c r="AH279" s="42" t="str">
        <f t="shared" si="19"/>
        <v>Daniel Sanchez|July</v>
      </c>
    </row>
    <row r="280" spans="1:34" hidden="1">
      <c r="A280" s="32">
        <v>2026</v>
      </c>
      <c r="B280" s="32" t="s">
        <v>92</v>
      </c>
      <c r="C280" s="32" t="s">
        <v>53</v>
      </c>
      <c r="D280" s="32" t="s">
        <v>63</v>
      </c>
      <c r="E280" s="33" t="s">
        <v>88</v>
      </c>
      <c r="F280" s="34" t="str">
        <f>IF(E280="","",IFERROR(VLOOKUP(E280,'Input &amp; Settings'!$F$5:$G$10,2,FALSE),""))</f>
        <v>Normal</v>
      </c>
      <c r="G280" s="33">
        <v>14</v>
      </c>
      <c r="H280" s="33">
        <v>15</v>
      </c>
      <c r="I280" s="35">
        <v>1</v>
      </c>
      <c r="J280" s="33">
        <v>10</v>
      </c>
      <c r="K280" s="36">
        <v>5</v>
      </c>
      <c r="L280" s="35">
        <v>0.9</v>
      </c>
      <c r="M280" s="33">
        <v>1</v>
      </c>
      <c r="N280" s="33">
        <v>0</v>
      </c>
      <c r="O280" s="33">
        <v>0</v>
      </c>
      <c r="P280" s="33">
        <v>0</v>
      </c>
      <c r="Q280" s="37">
        <f>IF(G280="","",IFERROR(MIN(100,G280/'Input &amp; Settings'!$B$5*100),""))</f>
        <v>18.666666666666668</v>
      </c>
      <c r="R280" s="37">
        <f>IF(H280="","",IFERROR(MIN(100,H280/'Input &amp; Settings'!$B$6*100),""))</f>
        <v>18.75</v>
      </c>
      <c r="S280" s="37">
        <f>IF(I280="","",IFERROR(MIN(100,I280/'Input &amp; Settings'!$B$7*100),""))</f>
        <v>100</v>
      </c>
      <c r="T280" s="37">
        <f>IF(J280="","",IFERROR(MIN(100,J280/'Input &amp; Settings'!$B$8*100),""))</f>
        <v>50</v>
      </c>
      <c r="U280" s="37">
        <f>IF(K280="","",IFERROR(MIN(100,K280/'Input &amp; Settings'!$B$9*100),""))</f>
        <v>100</v>
      </c>
      <c r="V280" s="37">
        <f>IF(L280="","",IFERROR(MIN(100,L280/'Input &amp; Settings'!$B$10*100),""))</f>
        <v>94.736842105263165</v>
      </c>
      <c r="W280" s="37">
        <f>IF(M280="","",IFERROR(IF(M280&lt;='Input &amp; Settings'!$B$11,100,MAX(0,100-(M280-'Input &amp; Settings'!$B$11)*20)),""))</f>
        <v>100</v>
      </c>
      <c r="X280" s="37">
        <f>IF(N280="","",IFERROR(MIN(100,N280/'Input &amp; Settings'!$B$12*100),""))</f>
        <v>0</v>
      </c>
      <c r="Y280" s="37">
        <f>IF(O280="","",IFERROR(MIN(100,O280/'Input &amp; Settings'!$B$13*100),""))</f>
        <v>0</v>
      </c>
      <c r="Z280" s="37">
        <f>IF(P280="","",IFERROR(IF(P280&lt;='Input &amp; Settings'!$B$14,100,MAX(0,100-(P280-'Input &amp; Settings'!$B$14)*20)),""))</f>
        <v>100</v>
      </c>
      <c r="AA280" s="37">
        <f>IF(COUNTA(G280:P280)=0,"",ROUND(Q280*'Input &amp; Settings'!$C$5+R280*'Input &amp; Settings'!$C$6+S280*'Input &amp; Settings'!$C$7+T280*'Input &amp; Settings'!$C$8+U280*'Input &amp; Settings'!$C$9+V280*'Input &amp; Settings'!$C$10+W280*'Input &amp; Settings'!$C$11+X280*'Input &amp; Settings'!$C$12+Y280*'Input &amp; Settings'!$C$13+Z280*'Input &amp; Settings'!$C$14,1))</f>
        <v>64.099999999999994</v>
      </c>
      <c r="AB280" s="38" t="str">
        <f>IF(OR(AA280="",E280=""),"",IFERROR(IF(AA280&gt;=VLOOKUP(E280,'Input &amp; Settings'!$F$5:$K$10,3,FALSE),"Outstanding",IF(AA280&gt;=VLOOKUP(E280,'Input &amp; Settings'!$F$5:$K$10,4,FALSE),"Exceeds Expectations",IF(AA280&gt;=VLOOKUP(E280,'Input &amp; Settings'!$F$5:$K$10,5,FALSE),"Meets Expectations",IF(AA280&gt;=VLOOKUP(E280,'Input &amp; Settings'!$F$5:$K$10,6,FALSE),"Needs Improvement","Performance Improvement Required")))),""))</f>
        <v>Meets Expectations</v>
      </c>
      <c r="AC280" s="38" t="str">
        <f t="shared" si="16"/>
        <v>Entered</v>
      </c>
      <c r="AD280" s="39"/>
      <c r="AE280" s="40"/>
      <c r="AF280" s="41">
        <f t="shared" si="17"/>
        <v>64.099999999999994</v>
      </c>
      <c r="AG280" s="42" t="str">
        <f t="shared" si="18"/>
        <v>Meets Expectations</v>
      </c>
      <c r="AH280" s="42" t="str">
        <f t="shared" si="19"/>
        <v>Braynon Edwards|July</v>
      </c>
    </row>
    <row r="281" spans="1:34" hidden="1">
      <c r="A281" s="32">
        <v>2026</v>
      </c>
      <c r="B281" s="32" t="s">
        <v>92</v>
      </c>
      <c r="C281" s="32" t="s">
        <v>53</v>
      </c>
      <c r="D281" s="32" t="s">
        <v>64</v>
      </c>
      <c r="E281" s="33" t="s">
        <v>91</v>
      </c>
      <c r="F281" s="34" t="str">
        <f>IF(E281="","",IFERROR(VLOOKUP(E281,'Input &amp; Settings'!$F$5:$G$10,2,FALSE),""))</f>
        <v>Low</v>
      </c>
      <c r="G281" s="33">
        <v>32</v>
      </c>
      <c r="H281" s="33">
        <v>26</v>
      </c>
      <c r="I281" s="35">
        <v>1</v>
      </c>
      <c r="J281" s="33">
        <v>1</v>
      </c>
      <c r="K281" s="36">
        <v>4.5</v>
      </c>
      <c r="L281" s="35">
        <v>1</v>
      </c>
      <c r="M281" s="33">
        <v>0</v>
      </c>
      <c r="N281" s="33">
        <v>0</v>
      </c>
      <c r="O281" s="33">
        <v>1</v>
      </c>
      <c r="P281" s="33">
        <v>0</v>
      </c>
      <c r="Q281" s="37">
        <f>IF(G281="","",IFERROR(MIN(100,G281/'Input &amp; Settings'!$B$5*100),""))</f>
        <v>42.666666666666671</v>
      </c>
      <c r="R281" s="37">
        <f>IF(H281="","",IFERROR(MIN(100,H281/'Input &amp; Settings'!$B$6*100),""))</f>
        <v>32.5</v>
      </c>
      <c r="S281" s="37">
        <f>IF(I281="","",IFERROR(MIN(100,I281/'Input &amp; Settings'!$B$7*100),""))</f>
        <v>100</v>
      </c>
      <c r="T281" s="37">
        <f>IF(J281="","",IFERROR(MIN(100,J281/'Input &amp; Settings'!$B$8*100),""))</f>
        <v>5</v>
      </c>
      <c r="U281" s="37">
        <f>IF(K281="","",IFERROR(MIN(100,K281/'Input &amp; Settings'!$B$9*100),""))</f>
        <v>95.744680851063819</v>
      </c>
      <c r="V281" s="37">
        <f>IF(L281="","",IFERROR(MIN(100,L281/'Input &amp; Settings'!$B$10*100),""))</f>
        <v>100</v>
      </c>
      <c r="W281" s="37">
        <f>IF(M281="","",IFERROR(IF(M281&lt;='Input &amp; Settings'!$B$11,100,MAX(0,100-(M281-'Input &amp; Settings'!$B$11)*20)),""))</f>
        <v>100</v>
      </c>
      <c r="X281" s="37">
        <f>IF(N281="","",IFERROR(MIN(100,N281/'Input &amp; Settings'!$B$12*100),""))</f>
        <v>0</v>
      </c>
      <c r="Y281" s="37">
        <f>IF(O281="","",IFERROR(MIN(100,O281/'Input &amp; Settings'!$B$13*100),""))</f>
        <v>50</v>
      </c>
      <c r="Z281" s="37">
        <f>IF(P281="","",IFERROR(IF(P281&lt;='Input &amp; Settings'!$B$14,100,MAX(0,100-(P281-'Input &amp; Settings'!$B$14)*20)),""))</f>
        <v>100</v>
      </c>
      <c r="AA281" s="37">
        <f>IF(COUNTA(G281:P281)=0,"",ROUND(Q281*'Input &amp; Settings'!$C$5+R281*'Input &amp; Settings'!$C$6+S281*'Input &amp; Settings'!$C$7+T281*'Input &amp; Settings'!$C$8+U281*'Input &amp; Settings'!$C$9+V281*'Input &amp; Settings'!$C$10+W281*'Input &amp; Settings'!$C$11+X281*'Input &amp; Settings'!$C$12+Y281*'Input &amp; Settings'!$C$13+Z281*'Input &amp; Settings'!$C$14,1))</f>
        <v>67.2</v>
      </c>
      <c r="AB281" s="38" t="str">
        <f>IF(OR(AA281="",E281=""),"",IFERROR(IF(AA281&gt;=VLOOKUP(E281,'Input &amp; Settings'!$F$5:$K$10,3,FALSE),"Outstanding",IF(AA281&gt;=VLOOKUP(E281,'Input &amp; Settings'!$F$5:$K$10,4,FALSE),"Exceeds Expectations",IF(AA281&gt;=VLOOKUP(E281,'Input &amp; Settings'!$F$5:$K$10,5,FALSE),"Meets Expectations",IF(AA281&gt;=VLOOKUP(E281,'Input &amp; Settings'!$F$5:$K$10,6,FALSE),"Needs Improvement","Performance Improvement Required")))),""))</f>
        <v>Exceeds Expectations</v>
      </c>
      <c r="AC281" s="38" t="str">
        <f t="shared" si="16"/>
        <v>Entered</v>
      </c>
      <c r="AD281" s="39"/>
      <c r="AE281" s="40"/>
      <c r="AF281" s="41">
        <f t="shared" si="17"/>
        <v>67.2</v>
      </c>
      <c r="AG281" s="42" t="str">
        <f t="shared" si="18"/>
        <v>Exceeds Expectations</v>
      </c>
      <c r="AH281" s="42" t="str">
        <f t="shared" si="19"/>
        <v>Sebastian Lopez|July</v>
      </c>
    </row>
    <row r="282" spans="1:34" hidden="1">
      <c r="A282" s="32">
        <v>2026</v>
      </c>
      <c r="B282" s="32" t="s">
        <v>92</v>
      </c>
      <c r="C282" s="32" t="s">
        <v>53</v>
      </c>
      <c r="D282" s="32" t="s">
        <v>65</v>
      </c>
      <c r="E282" s="33" t="s">
        <v>86</v>
      </c>
      <c r="F282" s="34" t="str">
        <f>IF(E282="","",IFERROR(VLOOKUP(E282,'Input &amp; Settings'!$F$5:$G$10,2,FALSE),""))</f>
        <v>High</v>
      </c>
      <c r="G282" s="33">
        <v>20</v>
      </c>
      <c r="H282" s="33">
        <v>37</v>
      </c>
      <c r="I282" s="35">
        <v>1</v>
      </c>
      <c r="J282" s="33">
        <v>64</v>
      </c>
      <c r="K282" s="36">
        <v>4.5</v>
      </c>
      <c r="L282" s="35">
        <v>1</v>
      </c>
      <c r="M282" s="33">
        <v>0</v>
      </c>
      <c r="N282" s="33">
        <v>0</v>
      </c>
      <c r="O282" s="33">
        <v>1</v>
      </c>
      <c r="P282" s="33">
        <v>0</v>
      </c>
      <c r="Q282" s="37">
        <f>IF(G282="","",IFERROR(MIN(100,G282/'Input &amp; Settings'!$B$5*100),""))</f>
        <v>26.666666666666668</v>
      </c>
      <c r="R282" s="37">
        <f>IF(H282="","",IFERROR(MIN(100,H282/'Input &amp; Settings'!$B$6*100),""))</f>
        <v>46.25</v>
      </c>
      <c r="S282" s="37">
        <f>IF(I282="","",IFERROR(MIN(100,I282/'Input &amp; Settings'!$B$7*100),""))</f>
        <v>100</v>
      </c>
      <c r="T282" s="37">
        <f>IF(J282="","",IFERROR(MIN(100,J282/'Input &amp; Settings'!$B$8*100),""))</f>
        <v>100</v>
      </c>
      <c r="U282" s="37">
        <f>IF(K282="","",IFERROR(MIN(100,K282/'Input &amp; Settings'!$B$9*100),""))</f>
        <v>95.744680851063819</v>
      </c>
      <c r="V282" s="37">
        <f>IF(L282="","",IFERROR(MIN(100,L282/'Input &amp; Settings'!$B$10*100),""))</f>
        <v>100</v>
      </c>
      <c r="W282" s="37">
        <f>IF(M282="","",IFERROR(IF(M282&lt;='Input &amp; Settings'!$B$11,100,MAX(0,100-(M282-'Input &amp; Settings'!$B$11)*20)),""))</f>
        <v>100</v>
      </c>
      <c r="X282" s="37">
        <f>IF(N282="","",IFERROR(MIN(100,N282/'Input &amp; Settings'!$B$12*100),""))</f>
        <v>0</v>
      </c>
      <c r="Y282" s="37">
        <f>IF(O282="","",IFERROR(MIN(100,O282/'Input &amp; Settings'!$B$13*100),""))</f>
        <v>50</v>
      </c>
      <c r="Z282" s="37">
        <f>IF(P282="","",IFERROR(IF(P282&lt;='Input &amp; Settings'!$B$14,100,MAX(0,100-(P282-'Input &amp; Settings'!$B$14)*20)),""))</f>
        <v>100</v>
      </c>
      <c r="AA282" s="37">
        <f>IF(COUNTA(G282:P282)=0,"",ROUND(Q282*'Input &amp; Settings'!$C$5+R282*'Input &amp; Settings'!$C$6+S282*'Input &amp; Settings'!$C$7+T282*'Input &amp; Settings'!$C$8+U282*'Input &amp; Settings'!$C$9+V282*'Input &amp; Settings'!$C$10+W282*'Input &amp; Settings'!$C$11+X282*'Input &amp; Settings'!$C$12+Y282*'Input &amp; Settings'!$C$13+Z282*'Input &amp; Settings'!$C$14,1))</f>
        <v>75.7</v>
      </c>
      <c r="AB282" s="38" t="str">
        <f>IF(OR(AA282="",E282=""),"",IFERROR(IF(AA282&gt;=VLOOKUP(E282,'Input &amp; Settings'!$F$5:$K$10,3,FALSE),"Outstanding",IF(AA282&gt;=VLOOKUP(E282,'Input &amp; Settings'!$F$5:$K$10,4,FALSE),"Exceeds Expectations",IF(AA282&gt;=VLOOKUP(E282,'Input &amp; Settings'!$F$5:$K$10,5,FALSE),"Meets Expectations",IF(AA282&gt;=VLOOKUP(E282,'Input &amp; Settings'!$F$5:$K$10,6,FALSE),"Needs Improvement","Performance Improvement Required")))),""))</f>
        <v>Exceeds Expectations</v>
      </c>
      <c r="AC282" s="38" t="str">
        <f t="shared" si="16"/>
        <v>Entered</v>
      </c>
      <c r="AD282" s="39"/>
      <c r="AE282" s="40"/>
      <c r="AF282" s="41">
        <f t="shared" si="17"/>
        <v>75.7</v>
      </c>
      <c r="AG282" s="42" t="str">
        <f t="shared" si="18"/>
        <v>Exceeds Expectations</v>
      </c>
      <c r="AH282" s="42" t="str">
        <f t="shared" si="19"/>
        <v>Lucas Degomme|July</v>
      </c>
    </row>
    <row r="283" spans="1:34" hidden="1">
      <c r="A283" s="32">
        <v>2026</v>
      </c>
      <c r="B283" s="32" t="s">
        <v>92</v>
      </c>
      <c r="C283" s="32" t="s">
        <v>53</v>
      </c>
      <c r="D283" s="32" t="s">
        <v>66</v>
      </c>
      <c r="E283" s="33" t="s">
        <v>88</v>
      </c>
      <c r="F283" s="34" t="str">
        <f>IF(E283="","",IFERROR(VLOOKUP(E283,'Input &amp; Settings'!$F$5:$G$10,2,FALSE),""))</f>
        <v>Normal</v>
      </c>
      <c r="G283" s="33">
        <v>27</v>
      </c>
      <c r="H283" s="33">
        <v>15</v>
      </c>
      <c r="I283" s="35">
        <v>1</v>
      </c>
      <c r="J283" s="33">
        <v>19</v>
      </c>
      <c r="K283" s="36">
        <v>4.5</v>
      </c>
      <c r="L283" s="35">
        <v>1</v>
      </c>
      <c r="M283" s="33">
        <v>1</v>
      </c>
      <c r="N283" s="33">
        <v>0</v>
      </c>
      <c r="O283" s="33">
        <v>2</v>
      </c>
      <c r="P283" s="33">
        <v>0</v>
      </c>
      <c r="Q283" s="37">
        <f>IF(G283="","",IFERROR(MIN(100,G283/'Input &amp; Settings'!$B$5*100),""))</f>
        <v>36</v>
      </c>
      <c r="R283" s="37">
        <f>IF(H283="","",IFERROR(MIN(100,H283/'Input &amp; Settings'!$B$6*100),""))</f>
        <v>18.75</v>
      </c>
      <c r="S283" s="37">
        <f>IF(I283="","",IFERROR(MIN(100,I283/'Input &amp; Settings'!$B$7*100),""))</f>
        <v>100</v>
      </c>
      <c r="T283" s="37">
        <f>IF(J283="","",IFERROR(MIN(100,J283/'Input &amp; Settings'!$B$8*100),""))</f>
        <v>95</v>
      </c>
      <c r="U283" s="37">
        <f>IF(K283="","",IFERROR(MIN(100,K283/'Input &amp; Settings'!$B$9*100),""))</f>
        <v>95.744680851063819</v>
      </c>
      <c r="V283" s="37">
        <f>IF(L283="","",IFERROR(MIN(100,L283/'Input &amp; Settings'!$B$10*100),""))</f>
        <v>100</v>
      </c>
      <c r="W283" s="37">
        <f>IF(M283="","",IFERROR(IF(M283&lt;='Input &amp; Settings'!$B$11,100,MAX(0,100-(M283-'Input &amp; Settings'!$B$11)*20)),""))</f>
        <v>100</v>
      </c>
      <c r="X283" s="37">
        <f>IF(N283="","",IFERROR(MIN(100,N283/'Input &amp; Settings'!$B$12*100),""))</f>
        <v>0</v>
      </c>
      <c r="Y283" s="37">
        <f>IF(O283="","",IFERROR(MIN(100,O283/'Input &amp; Settings'!$B$13*100),""))</f>
        <v>100</v>
      </c>
      <c r="Z283" s="37">
        <f>IF(P283="","",IFERROR(IF(P283&lt;='Input &amp; Settings'!$B$14,100,MAX(0,100-(P283-'Input &amp; Settings'!$B$14)*20)),""))</f>
        <v>100</v>
      </c>
      <c r="AA283" s="37">
        <f>IF(COUNTA(G283:P283)=0,"",ROUND(Q283*'Input &amp; Settings'!$C$5+R283*'Input &amp; Settings'!$C$6+S283*'Input &amp; Settings'!$C$7+T283*'Input &amp; Settings'!$C$8+U283*'Input &amp; Settings'!$C$9+V283*'Input &amp; Settings'!$C$10+W283*'Input &amp; Settings'!$C$11+X283*'Input &amp; Settings'!$C$12+Y283*'Input &amp; Settings'!$C$13+Z283*'Input &amp; Settings'!$C$14,1))</f>
        <v>76.3</v>
      </c>
      <c r="AB283" s="38" t="str">
        <f>IF(OR(AA283="",E283=""),"",IFERROR(IF(AA283&gt;=VLOOKUP(E283,'Input &amp; Settings'!$F$5:$K$10,3,FALSE),"Outstanding",IF(AA283&gt;=VLOOKUP(E283,'Input &amp; Settings'!$F$5:$K$10,4,FALSE),"Exceeds Expectations",IF(AA283&gt;=VLOOKUP(E283,'Input &amp; Settings'!$F$5:$K$10,5,FALSE),"Meets Expectations",IF(AA283&gt;=VLOOKUP(E283,'Input &amp; Settings'!$F$5:$K$10,6,FALSE),"Needs Improvement","Performance Improvement Required")))),""))</f>
        <v>Outstanding</v>
      </c>
      <c r="AC283" s="38" t="str">
        <f t="shared" si="16"/>
        <v>Entered</v>
      </c>
      <c r="AD283" s="39"/>
      <c r="AE283" s="40"/>
      <c r="AF283" s="41">
        <f t="shared" si="17"/>
        <v>76.3</v>
      </c>
      <c r="AG283" s="42" t="str">
        <f t="shared" si="18"/>
        <v>Outstanding</v>
      </c>
      <c r="AH283" s="42" t="str">
        <f t="shared" si="19"/>
        <v>Alexander Chinea|July</v>
      </c>
    </row>
    <row r="284" spans="1:34" hidden="1">
      <c r="A284" s="32">
        <v>2026</v>
      </c>
      <c r="B284" s="32" t="s">
        <v>92</v>
      </c>
      <c r="C284" s="32" t="s">
        <v>53</v>
      </c>
      <c r="D284" s="32" t="s">
        <v>67</v>
      </c>
      <c r="E284" s="33" t="s">
        <v>91</v>
      </c>
      <c r="F284" s="34" t="str">
        <f>IF(E284="","",IFERROR(VLOOKUP(E284,'Input &amp; Settings'!$F$5:$G$10,2,FALSE),""))</f>
        <v>Low</v>
      </c>
      <c r="G284" s="33">
        <v>19</v>
      </c>
      <c r="H284" s="33">
        <v>25</v>
      </c>
      <c r="I284" s="35">
        <v>1</v>
      </c>
      <c r="J284" s="33">
        <v>10</v>
      </c>
      <c r="K284" s="36">
        <v>3</v>
      </c>
      <c r="L284" s="35">
        <v>1</v>
      </c>
      <c r="M284" s="33">
        <v>2</v>
      </c>
      <c r="N284" s="33">
        <v>0</v>
      </c>
      <c r="O284" s="33">
        <v>0</v>
      </c>
      <c r="P284" s="33">
        <v>5</v>
      </c>
      <c r="Q284" s="37">
        <f>IF(G284="","",IFERROR(MIN(100,G284/'Input &amp; Settings'!$B$5*100),""))</f>
        <v>25.333333333333336</v>
      </c>
      <c r="R284" s="37">
        <f>IF(H284="","",IFERROR(MIN(100,H284/'Input &amp; Settings'!$B$6*100),""))</f>
        <v>31.25</v>
      </c>
      <c r="S284" s="37">
        <f>IF(I284="","",IFERROR(MIN(100,I284/'Input &amp; Settings'!$B$7*100),""))</f>
        <v>100</v>
      </c>
      <c r="T284" s="37">
        <f>IF(J284="","",IFERROR(MIN(100,J284/'Input &amp; Settings'!$B$8*100),""))</f>
        <v>50</v>
      </c>
      <c r="U284" s="37">
        <f>IF(K284="","",IFERROR(MIN(100,K284/'Input &amp; Settings'!$B$9*100),""))</f>
        <v>63.829787234042549</v>
      </c>
      <c r="V284" s="37">
        <f>IF(L284="","",IFERROR(MIN(100,L284/'Input &amp; Settings'!$B$10*100),""))</f>
        <v>100</v>
      </c>
      <c r="W284" s="37">
        <f>IF(M284="","",IFERROR(IF(M284&lt;='Input &amp; Settings'!$B$11,100,MAX(0,100-(M284-'Input &amp; Settings'!$B$11)*20)),""))</f>
        <v>100</v>
      </c>
      <c r="X284" s="37">
        <f>IF(N284="","",IFERROR(MIN(100,N284/'Input &amp; Settings'!$B$12*100),""))</f>
        <v>0</v>
      </c>
      <c r="Y284" s="37">
        <f>IF(O284="","",IFERROR(MIN(100,O284/'Input &amp; Settings'!$B$13*100),""))</f>
        <v>0</v>
      </c>
      <c r="Z284" s="37">
        <f>IF(P284="","",IFERROR(IF(P284&lt;='Input &amp; Settings'!$B$14,100,MAX(0,100-(P284-'Input &amp; Settings'!$B$14)*20)),""))</f>
        <v>100</v>
      </c>
      <c r="AA284" s="37">
        <f>IF(COUNTA(G284:P284)=0,"",ROUND(Q284*'Input &amp; Settings'!$C$5+R284*'Input &amp; Settings'!$C$6+S284*'Input &amp; Settings'!$C$7+T284*'Input &amp; Settings'!$C$8+U284*'Input &amp; Settings'!$C$9+V284*'Input &amp; Settings'!$C$10+W284*'Input &amp; Settings'!$C$11+X284*'Input &amp; Settings'!$C$12+Y284*'Input &amp; Settings'!$C$13+Z284*'Input &amp; Settings'!$C$14,1))</f>
        <v>63.3</v>
      </c>
      <c r="AB284" s="38" t="str">
        <f>IF(OR(AA284="",E284=""),"",IFERROR(IF(AA284&gt;=VLOOKUP(E284,'Input &amp; Settings'!$F$5:$K$10,3,FALSE),"Outstanding",IF(AA284&gt;=VLOOKUP(E284,'Input &amp; Settings'!$F$5:$K$10,4,FALSE),"Exceeds Expectations",IF(AA284&gt;=VLOOKUP(E284,'Input &amp; Settings'!$F$5:$K$10,5,FALSE),"Meets Expectations",IF(AA284&gt;=VLOOKUP(E284,'Input &amp; Settings'!$F$5:$K$10,6,FALSE),"Needs Improvement","Performance Improvement Required")))),""))</f>
        <v>Meets Expectations</v>
      </c>
      <c r="AC284" s="38" t="str">
        <f t="shared" si="16"/>
        <v>Entered</v>
      </c>
      <c r="AD284" s="39"/>
      <c r="AE284" s="40"/>
      <c r="AF284" s="41">
        <f t="shared" si="17"/>
        <v>63.3</v>
      </c>
      <c r="AG284" s="42" t="str">
        <f t="shared" si="18"/>
        <v>Meets Expectations</v>
      </c>
      <c r="AH284" s="42" t="str">
        <f t="shared" si="19"/>
        <v>Carlos Martinez Monzon|July</v>
      </c>
    </row>
    <row r="285" spans="1:34" hidden="1">
      <c r="A285" s="32">
        <v>2026</v>
      </c>
      <c r="B285" s="32" t="s">
        <v>92</v>
      </c>
      <c r="C285" s="32" t="s">
        <v>53</v>
      </c>
      <c r="D285" s="32" t="s">
        <v>68</v>
      </c>
      <c r="E285" s="33" t="s">
        <v>87</v>
      </c>
      <c r="F285" s="34" t="str">
        <f>IF(E285="","",IFERROR(VLOOKUP(E285,'Input &amp; Settings'!$F$5:$G$10,2,FALSE),""))</f>
        <v>Normal</v>
      </c>
      <c r="G285" s="33"/>
      <c r="H285" s="33"/>
      <c r="I285" s="35"/>
      <c r="J285" s="33"/>
      <c r="K285" s="36"/>
      <c r="L285" s="35"/>
      <c r="M285" s="33"/>
      <c r="N285" s="33"/>
      <c r="O285" s="33"/>
      <c r="P285" s="33"/>
      <c r="Q285" s="37" t="str">
        <f>IF(G285="","",IFERROR(MIN(100,G285/'Input &amp; Settings'!$B$5*100),""))</f>
        <v/>
      </c>
      <c r="R285" s="37" t="str">
        <f>IF(H285="","",IFERROR(MIN(100,H285/'Input &amp; Settings'!$B$6*100),""))</f>
        <v/>
      </c>
      <c r="S285" s="37" t="str">
        <f>IF(I285="","",IFERROR(MIN(100,I285/'Input &amp; Settings'!$B$7*100),""))</f>
        <v/>
      </c>
      <c r="T285" s="37" t="str">
        <f>IF(J285="","",IFERROR(MIN(100,J285/'Input &amp; Settings'!$B$8*100),""))</f>
        <v/>
      </c>
      <c r="U285" s="37" t="str">
        <f>IF(K285="","",IFERROR(MIN(100,K285/'Input &amp; Settings'!$B$9*100),""))</f>
        <v/>
      </c>
      <c r="V285" s="37" t="str">
        <f>IF(L285="","",IFERROR(MIN(100,L285/'Input &amp; Settings'!$B$10*100),""))</f>
        <v/>
      </c>
      <c r="W285" s="37" t="str">
        <f>IF(M285="","",IFERROR(IF(M285&lt;='Input &amp; Settings'!$B$11,100,MAX(0,100-(M285-'Input &amp; Settings'!$B$11)*20)),""))</f>
        <v/>
      </c>
      <c r="X285" s="37" t="str">
        <f>IF(N285="","",IFERROR(MIN(100,N285/'Input &amp; Settings'!$B$12*100),""))</f>
        <v/>
      </c>
      <c r="Y285" s="37" t="str">
        <f>IF(O285="","",IFERROR(MIN(100,O285/'Input &amp; Settings'!$B$13*100),""))</f>
        <v/>
      </c>
      <c r="Z285" s="37" t="str">
        <f>IF(P285="","",IFERROR(IF(P285&lt;='Input &amp; Settings'!$B$14,100,MAX(0,100-(P285-'Input &amp; Settings'!$B$14)*20)),""))</f>
        <v/>
      </c>
      <c r="AA285" s="37" t="str">
        <f>IF(COUNTA(G285:P285)=0,"",ROUND(Q285*'Input &amp; Settings'!$C$5+R285*'Input &amp; Settings'!$C$6+S285*'Input &amp; Settings'!$C$7+T285*'Input &amp; Settings'!$C$8+U285*'Input &amp; Settings'!$C$9+V285*'Input &amp; Settings'!$C$10+W285*'Input &amp; Settings'!$C$11+X285*'Input &amp; Settings'!$C$12+Y285*'Input &amp; Settings'!$C$13+Z285*'Input &amp; Settings'!$C$14,1))</f>
        <v/>
      </c>
      <c r="AB285" s="38" t="str">
        <f>IF(OR(AA285="",E285=""),"",IFERROR(IF(AA285&gt;=VLOOKUP(E285,'Input &amp; Settings'!$F$5:$K$10,3,FALSE),"Outstanding",IF(AA285&gt;=VLOOKUP(E285,'Input &amp; Settings'!$F$5:$K$10,4,FALSE),"Exceeds Expectations",IF(AA285&gt;=VLOOKUP(E285,'Input &amp; Settings'!$F$5:$K$10,5,FALSE),"Meets Expectations",IF(AA285&gt;=VLOOKUP(E285,'Input &amp; Settings'!$F$5:$K$10,6,FALSE),"Needs Improvement","Performance Improvement Required")))),""))</f>
        <v/>
      </c>
      <c r="AC285" s="38" t="str">
        <f t="shared" si="16"/>
        <v/>
      </c>
      <c r="AD285" s="39"/>
      <c r="AE285" s="40"/>
      <c r="AF285" s="41" t="str">
        <f t="shared" si="17"/>
        <v/>
      </c>
      <c r="AG285" s="42" t="str">
        <f t="shared" si="18"/>
        <v/>
      </c>
      <c r="AH285" s="42" t="str">
        <f t="shared" si="19"/>
        <v>Carlos Sanabria|July</v>
      </c>
    </row>
    <row r="286" spans="1:34" hidden="1">
      <c r="A286" s="32">
        <v>2026</v>
      </c>
      <c r="B286" s="32" t="s">
        <v>92</v>
      </c>
      <c r="C286" s="32" t="s">
        <v>53</v>
      </c>
      <c r="D286" s="32" t="s">
        <v>69</v>
      </c>
      <c r="E286" s="33" t="s">
        <v>86</v>
      </c>
      <c r="F286" s="34" t="str">
        <f>IF(E286="","",IFERROR(VLOOKUP(E286,'Input &amp; Settings'!$F$5:$G$10,2,FALSE),""))</f>
        <v>High</v>
      </c>
      <c r="G286" s="33">
        <v>20</v>
      </c>
      <c r="H286" s="33">
        <v>34</v>
      </c>
      <c r="I286" s="35">
        <v>1</v>
      </c>
      <c r="J286" s="33">
        <v>29</v>
      </c>
      <c r="K286" s="36">
        <v>4.25</v>
      </c>
      <c r="L286" s="35">
        <v>1</v>
      </c>
      <c r="M286" s="33">
        <v>2</v>
      </c>
      <c r="N286" s="33">
        <v>0</v>
      </c>
      <c r="O286" s="33">
        <v>0</v>
      </c>
      <c r="P286" s="33">
        <v>2</v>
      </c>
      <c r="Q286" s="37">
        <f>IF(G286="","",IFERROR(MIN(100,G286/'Input &amp; Settings'!$B$5*100),""))</f>
        <v>26.666666666666668</v>
      </c>
      <c r="R286" s="37">
        <f>IF(H286="","",IFERROR(MIN(100,H286/'Input &amp; Settings'!$B$6*100),""))</f>
        <v>42.5</v>
      </c>
      <c r="S286" s="37">
        <f>IF(I286="","",IFERROR(MIN(100,I286/'Input &amp; Settings'!$B$7*100),""))</f>
        <v>100</v>
      </c>
      <c r="T286" s="37">
        <f>IF(J286="","",IFERROR(MIN(100,J286/'Input &amp; Settings'!$B$8*100),""))</f>
        <v>100</v>
      </c>
      <c r="U286" s="37">
        <f>IF(K286="","",IFERROR(MIN(100,K286/'Input &amp; Settings'!$B$9*100),""))</f>
        <v>90.425531914893611</v>
      </c>
      <c r="V286" s="37">
        <f>IF(L286="","",IFERROR(MIN(100,L286/'Input &amp; Settings'!$B$10*100),""))</f>
        <v>100</v>
      </c>
      <c r="W286" s="37">
        <f>IF(M286="","",IFERROR(IF(M286&lt;='Input &amp; Settings'!$B$11,100,MAX(0,100-(M286-'Input &amp; Settings'!$B$11)*20)),""))</f>
        <v>100</v>
      </c>
      <c r="X286" s="37">
        <f>IF(N286="","",IFERROR(MIN(100,N286/'Input &amp; Settings'!$B$12*100),""))</f>
        <v>0</v>
      </c>
      <c r="Y286" s="37">
        <f>IF(O286="","",IFERROR(MIN(100,O286/'Input &amp; Settings'!$B$13*100),""))</f>
        <v>0</v>
      </c>
      <c r="Z286" s="37">
        <f>IF(P286="","",IFERROR(IF(P286&lt;='Input &amp; Settings'!$B$14,100,MAX(0,100-(P286-'Input &amp; Settings'!$B$14)*20)),""))</f>
        <v>100</v>
      </c>
      <c r="AA286" s="37">
        <f>IF(COUNTA(G286:P286)=0,"",ROUND(Q286*'Input &amp; Settings'!$C$5+R286*'Input &amp; Settings'!$C$6+S286*'Input &amp; Settings'!$C$7+T286*'Input &amp; Settings'!$C$8+U286*'Input &amp; Settings'!$C$9+V286*'Input &amp; Settings'!$C$10+W286*'Input &amp; Settings'!$C$11+X286*'Input &amp; Settings'!$C$12+Y286*'Input &amp; Settings'!$C$13+Z286*'Input &amp; Settings'!$C$14,1))</f>
        <v>72.3</v>
      </c>
      <c r="AB286" s="38" t="str">
        <f>IF(OR(AA286="",E286=""),"",IFERROR(IF(AA286&gt;=VLOOKUP(E286,'Input &amp; Settings'!$F$5:$K$10,3,FALSE),"Outstanding",IF(AA286&gt;=VLOOKUP(E286,'Input &amp; Settings'!$F$5:$K$10,4,FALSE),"Exceeds Expectations",IF(AA286&gt;=VLOOKUP(E286,'Input &amp; Settings'!$F$5:$K$10,5,FALSE),"Meets Expectations",IF(AA286&gt;=VLOOKUP(E286,'Input &amp; Settings'!$F$5:$K$10,6,FALSE),"Needs Improvement","Performance Improvement Required")))),""))</f>
        <v>Exceeds Expectations</v>
      </c>
      <c r="AC286" s="38" t="str">
        <f t="shared" si="16"/>
        <v>Entered</v>
      </c>
      <c r="AD286" s="39"/>
      <c r="AE286" s="40"/>
      <c r="AF286" s="41">
        <f t="shared" si="17"/>
        <v>72.3</v>
      </c>
      <c r="AG286" s="42" t="str">
        <f t="shared" si="18"/>
        <v>Exceeds Expectations</v>
      </c>
      <c r="AH286" s="42" t="str">
        <f t="shared" si="19"/>
        <v>Alex Gomes|July</v>
      </c>
    </row>
    <row r="287" spans="1:34" hidden="1">
      <c r="A287" s="32">
        <v>2026</v>
      </c>
      <c r="B287" s="32" t="s">
        <v>92</v>
      </c>
      <c r="C287" s="32" t="s">
        <v>53</v>
      </c>
      <c r="D287" s="32" t="s">
        <v>70</v>
      </c>
      <c r="E287" s="33" t="s">
        <v>88</v>
      </c>
      <c r="F287" s="34" t="str">
        <f>IF(E287="","",IFERROR(VLOOKUP(E287,'Input &amp; Settings'!$F$5:$G$10,2,FALSE),""))</f>
        <v>Normal</v>
      </c>
      <c r="G287" s="33">
        <v>19</v>
      </c>
      <c r="H287" s="33">
        <v>13</v>
      </c>
      <c r="I287" s="35">
        <v>1</v>
      </c>
      <c r="J287" s="33">
        <v>21</v>
      </c>
      <c r="K287" s="36">
        <v>5</v>
      </c>
      <c r="L287" s="35">
        <v>1</v>
      </c>
      <c r="M287" s="33">
        <v>0</v>
      </c>
      <c r="N287" s="33">
        <v>0</v>
      </c>
      <c r="O287" s="33">
        <v>0</v>
      </c>
      <c r="P287" s="33">
        <v>0</v>
      </c>
      <c r="Q287" s="37">
        <f>IF(G287="","",IFERROR(MIN(100,G287/'Input &amp; Settings'!$B$5*100),""))</f>
        <v>25.333333333333336</v>
      </c>
      <c r="R287" s="37">
        <f>IF(H287="","",IFERROR(MIN(100,H287/'Input &amp; Settings'!$B$6*100),""))</f>
        <v>16.25</v>
      </c>
      <c r="S287" s="37">
        <f>IF(I287="","",IFERROR(MIN(100,I287/'Input &amp; Settings'!$B$7*100),""))</f>
        <v>100</v>
      </c>
      <c r="T287" s="37">
        <f>IF(J287="","",IFERROR(MIN(100,J287/'Input &amp; Settings'!$B$8*100),""))</f>
        <v>100</v>
      </c>
      <c r="U287" s="37">
        <f>IF(K287="","",IFERROR(MIN(100,K287/'Input &amp; Settings'!$B$9*100),""))</f>
        <v>100</v>
      </c>
      <c r="V287" s="37">
        <f>IF(L287="","",IFERROR(MIN(100,L287/'Input &amp; Settings'!$B$10*100),""))</f>
        <v>100</v>
      </c>
      <c r="W287" s="37">
        <f>IF(M287="","",IFERROR(IF(M287&lt;='Input &amp; Settings'!$B$11,100,MAX(0,100-(M287-'Input &amp; Settings'!$B$11)*20)),""))</f>
        <v>100</v>
      </c>
      <c r="X287" s="37">
        <f>IF(N287="","",IFERROR(MIN(100,N287/'Input &amp; Settings'!$B$12*100),""))</f>
        <v>0</v>
      </c>
      <c r="Y287" s="37">
        <f>IF(O287="","",IFERROR(MIN(100,O287/'Input &amp; Settings'!$B$13*100),""))</f>
        <v>0</v>
      </c>
      <c r="Z287" s="37">
        <f>IF(P287="","",IFERROR(IF(P287&lt;='Input &amp; Settings'!$B$14,100,MAX(0,100-(P287-'Input &amp; Settings'!$B$14)*20)),""))</f>
        <v>100</v>
      </c>
      <c r="AA287" s="37">
        <f>IF(COUNTA(G287:P287)=0,"",ROUND(Q287*'Input &amp; Settings'!$C$5+R287*'Input &amp; Settings'!$C$6+S287*'Input &amp; Settings'!$C$7+T287*'Input &amp; Settings'!$C$8+U287*'Input &amp; Settings'!$C$9+V287*'Input &amp; Settings'!$C$10+W287*'Input &amp; Settings'!$C$11+X287*'Input &amp; Settings'!$C$12+Y287*'Input &amp; Settings'!$C$13+Z287*'Input &amp; Settings'!$C$14,1))</f>
        <v>70.400000000000006</v>
      </c>
      <c r="AB287" s="38" t="str">
        <f>IF(OR(AA287="",E287=""),"",IFERROR(IF(AA287&gt;=VLOOKUP(E287,'Input &amp; Settings'!$F$5:$K$10,3,FALSE),"Outstanding",IF(AA287&gt;=VLOOKUP(E287,'Input &amp; Settings'!$F$5:$K$10,4,FALSE),"Exceeds Expectations",IF(AA287&gt;=VLOOKUP(E287,'Input &amp; Settings'!$F$5:$K$10,5,FALSE),"Meets Expectations",IF(AA287&gt;=VLOOKUP(E287,'Input &amp; Settings'!$F$5:$K$10,6,FALSE),"Needs Improvement","Performance Improvement Required")))),""))</f>
        <v>Exceeds Expectations</v>
      </c>
      <c r="AC287" s="38" t="str">
        <f t="shared" si="16"/>
        <v>Entered</v>
      </c>
      <c r="AD287" s="39"/>
      <c r="AE287" s="40"/>
      <c r="AF287" s="41">
        <f t="shared" si="17"/>
        <v>70.400000000000006</v>
      </c>
      <c r="AG287" s="42" t="str">
        <f t="shared" si="18"/>
        <v>Exceeds Expectations</v>
      </c>
      <c r="AH287" s="42" t="str">
        <f t="shared" si="19"/>
        <v>Teddy Joseph|July</v>
      </c>
    </row>
    <row r="288" spans="1:34" hidden="1">
      <c r="A288" s="32">
        <v>2026</v>
      </c>
      <c r="B288" s="32" t="s">
        <v>92</v>
      </c>
      <c r="C288" s="32" t="s">
        <v>53</v>
      </c>
      <c r="D288" s="32" t="s">
        <v>71</v>
      </c>
      <c r="E288" s="33" t="s">
        <v>91</v>
      </c>
      <c r="F288" s="34" t="str">
        <f>IF(E288="","",IFERROR(VLOOKUP(E288,'Input &amp; Settings'!$F$5:$G$10,2,FALSE),""))</f>
        <v>Low</v>
      </c>
      <c r="G288" s="33">
        <v>12</v>
      </c>
      <c r="H288" s="33">
        <v>7</v>
      </c>
      <c r="I288" s="35">
        <v>1</v>
      </c>
      <c r="J288" s="33">
        <v>52</v>
      </c>
      <c r="K288" s="36">
        <v>5</v>
      </c>
      <c r="L288" s="35">
        <v>1</v>
      </c>
      <c r="M288" s="33">
        <v>0</v>
      </c>
      <c r="N288" s="33">
        <v>0</v>
      </c>
      <c r="O288" s="33">
        <v>0</v>
      </c>
      <c r="P288" s="33">
        <v>0</v>
      </c>
      <c r="Q288" s="37">
        <f>IF(G288="","",IFERROR(MIN(100,G288/'Input &amp; Settings'!$B$5*100),""))</f>
        <v>16</v>
      </c>
      <c r="R288" s="37">
        <f>IF(H288="","",IFERROR(MIN(100,H288/'Input &amp; Settings'!$B$6*100),""))</f>
        <v>8.75</v>
      </c>
      <c r="S288" s="37">
        <f>IF(I288="","",IFERROR(MIN(100,I288/'Input &amp; Settings'!$B$7*100),""))</f>
        <v>100</v>
      </c>
      <c r="T288" s="37">
        <f>IF(J288="","",IFERROR(MIN(100,J288/'Input &amp; Settings'!$B$8*100),""))</f>
        <v>100</v>
      </c>
      <c r="U288" s="37">
        <f>IF(K288="","",IFERROR(MIN(100,K288/'Input &amp; Settings'!$B$9*100),""))</f>
        <v>100</v>
      </c>
      <c r="V288" s="37">
        <f>IF(L288="","",IFERROR(MIN(100,L288/'Input &amp; Settings'!$B$10*100),""))</f>
        <v>100</v>
      </c>
      <c r="W288" s="37">
        <f>IF(M288="","",IFERROR(IF(M288&lt;='Input &amp; Settings'!$B$11,100,MAX(0,100-(M288-'Input &amp; Settings'!$B$11)*20)),""))</f>
        <v>100</v>
      </c>
      <c r="X288" s="37">
        <f>IF(N288="","",IFERROR(MIN(100,N288/'Input &amp; Settings'!$B$12*100),""))</f>
        <v>0</v>
      </c>
      <c r="Y288" s="37">
        <f>IF(O288="","",IFERROR(MIN(100,O288/'Input &amp; Settings'!$B$13*100),""))</f>
        <v>0</v>
      </c>
      <c r="Z288" s="37">
        <f>IF(P288="","",IFERROR(IF(P288&lt;='Input &amp; Settings'!$B$14,100,MAX(0,100-(P288-'Input &amp; Settings'!$B$14)*20)),""))</f>
        <v>100</v>
      </c>
      <c r="AA288" s="37">
        <f>IF(COUNTA(G288:P288)=0,"",ROUND(Q288*'Input &amp; Settings'!$C$5+R288*'Input &amp; Settings'!$C$6+S288*'Input &amp; Settings'!$C$7+T288*'Input &amp; Settings'!$C$8+U288*'Input &amp; Settings'!$C$9+V288*'Input &amp; Settings'!$C$10+W288*'Input &amp; Settings'!$C$11+X288*'Input &amp; Settings'!$C$12+Y288*'Input &amp; Settings'!$C$13+Z288*'Input &amp; Settings'!$C$14,1))</f>
        <v>68.3</v>
      </c>
      <c r="AB288" s="38" t="str">
        <f>IF(OR(AA288="",E288=""),"",IFERROR(IF(AA288&gt;=VLOOKUP(E288,'Input &amp; Settings'!$F$5:$K$10,3,FALSE),"Outstanding",IF(AA288&gt;=VLOOKUP(E288,'Input &amp; Settings'!$F$5:$K$10,4,FALSE),"Exceeds Expectations",IF(AA288&gt;=VLOOKUP(E288,'Input &amp; Settings'!$F$5:$K$10,5,FALSE),"Meets Expectations",IF(AA288&gt;=VLOOKUP(E288,'Input &amp; Settings'!$F$5:$K$10,6,FALSE),"Needs Improvement","Performance Improvement Required")))),""))</f>
        <v>Exceeds Expectations</v>
      </c>
      <c r="AC288" s="38" t="str">
        <f t="shared" si="16"/>
        <v>Entered</v>
      </c>
      <c r="AD288" s="39"/>
      <c r="AE288" s="40"/>
      <c r="AF288" s="41">
        <f t="shared" si="17"/>
        <v>68.3</v>
      </c>
      <c r="AG288" s="42" t="str">
        <f t="shared" si="18"/>
        <v>Exceeds Expectations</v>
      </c>
      <c r="AH288" s="42" t="str">
        <f t="shared" si="19"/>
        <v>Andrew Montgomery|July</v>
      </c>
    </row>
    <row r="289" spans="1:34" hidden="1">
      <c r="A289" s="32">
        <v>2026</v>
      </c>
      <c r="B289" s="32" t="s">
        <v>92</v>
      </c>
      <c r="C289" s="32" t="s">
        <v>53</v>
      </c>
      <c r="D289" s="32" t="s">
        <v>72</v>
      </c>
      <c r="E289" s="33" t="s">
        <v>87</v>
      </c>
      <c r="F289" s="34" t="str">
        <f>IF(E289="","",IFERROR(VLOOKUP(E289,'Input &amp; Settings'!$F$5:$G$10,2,FALSE),""))</f>
        <v>Normal</v>
      </c>
      <c r="G289" s="33"/>
      <c r="H289" s="33"/>
      <c r="I289" s="35"/>
      <c r="J289" s="33"/>
      <c r="K289" s="36"/>
      <c r="L289" s="35"/>
      <c r="M289" s="33"/>
      <c r="N289" s="33"/>
      <c r="O289" s="33"/>
      <c r="P289" s="33"/>
      <c r="Q289" s="37" t="str">
        <f>IF(G289="","",IFERROR(MIN(100,G289/'Input &amp; Settings'!$B$5*100),""))</f>
        <v/>
      </c>
      <c r="R289" s="37" t="str">
        <f>IF(H289="","",IFERROR(MIN(100,H289/'Input &amp; Settings'!$B$6*100),""))</f>
        <v/>
      </c>
      <c r="S289" s="37" t="str">
        <f>IF(I289="","",IFERROR(MIN(100,I289/'Input &amp; Settings'!$B$7*100),""))</f>
        <v/>
      </c>
      <c r="T289" s="37" t="str">
        <f>IF(J289="","",IFERROR(MIN(100,J289/'Input &amp; Settings'!$B$8*100),""))</f>
        <v/>
      </c>
      <c r="U289" s="37" t="str">
        <f>IF(K289="","",IFERROR(MIN(100,K289/'Input &amp; Settings'!$B$9*100),""))</f>
        <v/>
      </c>
      <c r="V289" s="37" t="str">
        <f>IF(L289="","",IFERROR(MIN(100,L289/'Input &amp; Settings'!$B$10*100),""))</f>
        <v/>
      </c>
      <c r="W289" s="37" t="str">
        <f>IF(M289="","",IFERROR(IF(M289&lt;='Input &amp; Settings'!$B$11,100,MAX(0,100-(M289-'Input &amp; Settings'!$B$11)*20)),""))</f>
        <v/>
      </c>
      <c r="X289" s="37" t="str">
        <f>IF(N289="","",IFERROR(MIN(100,N289/'Input &amp; Settings'!$B$12*100),""))</f>
        <v/>
      </c>
      <c r="Y289" s="37" t="str">
        <f>IF(O289="","",IFERROR(MIN(100,O289/'Input &amp; Settings'!$B$13*100),""))</f>
        <v/>
      </c>
      <c r="Z289" s="37" t="str">
        <f>IF(P289="","",IFERROR(IF(P289&lt;='Input &amp; Settings'!$B$14,100,MAX(0,100-(P289-'Input &amp; Settings'!$B$14)*20)),""))</f>
        <v/>
      </c>
      <c r="AA289" s="37" t="str">
        <f>IF(COUNTA(G289:P289)=0,"",ROUND(Q289*'Input &amp; Settings'!$C$5+R289*'Input &amp; Settings'!$C$6+S289*'Input &amp; Settings'!$C$7+T289*'Input &amp; Settings'!$C$8+U289*'Input &amp; Settings'!$C$9+V289*'Input &amp; Settings'!$C$10+W289*'Input &amp; Settings'!$C$11+X289*'Input &amp; Settings'!$C$12+Y289*'Input &amp; Settings'!$C$13+Z289*'Input &amp; Settings'!$C$14,1))</f>
        <v/>
      </c>
      <c r="AB289" s="38" t="str">
        <f>IF(OR(AA289="",E289=""),"",IFERROR(IF(AA289&gt;=VLOOKUP(E289,'Input &amp; Settings'!$F$5:$K$10,3,FALSE),"Outstanding",IF(AA289&gt;=VLOOKUP(E289,'Input &amp; Settings'!$F$5:$K$10,4,FALSE),"Exceeds Expectations",IF(AA289&gt;=VLOOKUP(E289,'Input &amp; Settings'!$F$5:$K$10,5,FALSE),"Meets Expectations",IF(AA289&gt;=VLOOKUP(E289,'Input &amp; Settings'!$F$5:$K$10,6,FALSE),"Needs Improvement","Performance Improvement Required")))),""))</f>
        <v/>
      </c>
      <c r="AC289" s="38" t="str">
        <f t="shared" si="16"/>
        <v/>
      </c>
      <c r="AD289" s="39"/>
      <c r="AE289" s="40"/>
      <c r="AF289" s="41" t="str">
        <f t="shared" si="17"/>
        <v/>
      </c>
      <c r="AG289" s="42" t="str">
        <f t="shared" si="18"/>
        <v/>
      </c>
      <c r="AH289" s="42" t="str">
        <f t="shared" si="19"/>
        <v>Amanda Rodriguez|July</v>
      </c>
    </row>
    <row r="290" spans="1:34" hidden="1">
      <c r="A290" s="32">
        <v>2026</v>
      </c>
      <c r="B290" s="32" t="s">
        <v>92</v>
      </c>
      <c r="C290" s="32" t="s">
        <v>53</v>
      </c>
      <c r="D290" s="32" t="s">
        <v>73</v>
      </c>
      <c r="E290" s="33" t="s">
        <v>86</v>
      </c>
      <c r="F290" s="34" t="str">
        <f>IF(E290="","",IFERROR(VLOOKUP(E290,'Input &amp; Settings'!$F$5:$G$10,2,FALSE),""))</f>
        <v>High</v>
      </c>
      <c r="G290" s="33">
        <v>48</v>
      </c>
      <c r="H290" s="33">
        <v>59</v>
      </c>
      <c r="I290" s="35">
        <v>1</v>
      </c>
      <c r="J290" s="33">
        <v>0</v>
      </c>
      <c r="K290" s="36">
        <v>5</v>
      </c>
      <c r="L290" s="35">
        <v>1</v>
      </c>
      <c r="M290" s="33">
        <v>6</v>
      </c>
      <c r="N290" s="33">
        <v>0</v>
      </c>
      <c r="O290" s="33">
        <v>1</v>
      </c>
      <c r="P290" s="33">
        <v>8</v>
      </c>
      <c r="Q290" s="37">
        <f>IF(G290="","",IFERROR(MIN(100,G290/'Input &amp; Settings'!$B$5*100),""))</f>
        <v>64</v>
      </c>
      <c r="R290" s="37">
        <f>IF(H290="","",IFERROR(MIN(100,H290/'Input &amp; Settings'!$B$6*100),""))</f>
        <v>73.75</v>
      </c>
      <c r="S290" s="37">
        <f>IF(I290="","",IFERROR(MIN(100,I290/'Input &amp; Settings'!$B$7*100),""))</f>
        <v>100</v>
      </c>
      <c r="T290" s="37">
        <f>IF(J290="","",IFERROR(MIN(100,J290/'Input &amp; Settings'!$B$8*100),""))</f>
        <v>0</v>
      </c>
      <c r="U290" s="37">
        <f>IF(K290="","",IFERROR(MIN(100,K290/'Input &amp; Settings'!$B$9*100),""))</f>
        <v>100</v>
      </c>
      <c r="V290" s="37">
        <f>IF(L290="","",IFERROR(MIN(100,L290/'Input &amp; Settings'!$B$10*100),""))</f>
        <v>100</v>
      </c>
      <c r="W290" s="37">
        <f>IF(M290="","",IFERROR(IF(M290&lt;='Input &amp; Settings'!$B$11,100,MAX(0,100-(M290-'Input &amp; Settings'!$B$11)*20)),""))</f>
        <v>80</v>
      </c>
      <c r="X290" s="37">
        <f>IF(N290="","",IFERROR(MIN(100,N290/'Input &amp; Settings'!$B$12*100),""))</f>
        <v>0</v>
      </c>
      <c r="Y290" s="37">
        <f>IF(O290="","",IFERROR(MIN(100,O290/'Input &amp; Settings'!$B$13*100),""))</f>
        <v>50</v>
      </c>
      <c r="Z290" s="37">
        <f>IF(P290="","",IFERROR(IF(P290&lt;='Input &amp; Settings'!$B$14,100,MAX(0,100-(P290-'Input &amp; Settings'!$B$14)*20)),""))</f>
        <v>40</v>
      </c>
      <c r="AA290" s="37">
        <f>IF(COUNTA(G290:P290)=0,"",ROUND(Q290*'Input &amp; Settings'!$C$5+R290*'Input &amp; Settings'!$C$6+S290*'Input &amp; Settings'!$C$7+T290*'Input &amp; Settings'!$C$8+U290*'Input &amp; Settings'!$C$9+V290*'Input &amp; Settings'!$C$10+W290*'Input &amp; Settings'!$C$11+X290*'Input &amp; Settings'!$C$12+Y290*'Input &amp; Settings'!$C$13+Z290*'Input &amp; Settings'!$C$14,1))</f>
        <v>63.5</v>
      </c>
      <c r="AB290" s="38" t="str">
        <f>IF(OR(AA290="",E290=""),"",IFERROR(IF(AA290&gt;=VLOOKUP(E290,'Input &amp; Settings'!$F$5:$K$10,3,FALSE),"Outstanding",IF(AA290&gt;=VLOOKUP(E290,'Input &amp; Settings'!$F$5:$K$10,4,FALSE),"Exceeds Expectations",IF(AA290&gt;=VLOOKUP(E290,'Input &amp; Settings'!$F$5:$K$10,5,FALSE),"Meets Expectations",IF(AA290&gt;=VLOOKUP(E290,'Input &amp; Settings'!$F$5:$K$10,6,FALSE),"Needs Improvement","Performance Improvement Required")))),""))</f>
        <v>Meets Expectations</v>
      </c>
      <c r="AC290" s="38" t="str">
        <f t="shared" si="16"/>
        <v>Entered</v>
      </c>
      <c r="AD290" s="39"/>
      <c r="AE290" s="40"/>
      <c r="AF290" s="41">
        <f t="shared" si="17"/>
        <v>63.5</v>
      </c>
      <c r="AG290" s="42" t="str">
        <f t="shared" si="18"/>
        <v>Meets Expectations</v>
      </c>
      <c r="AH290" s="42" t="str">
        <f t="shared" si="19"/>
        <v>Erick Mojica|July</v>
      </c>
    </row>
    <row r="291" spans="1:34" hidden="1">
      <c r="A291" s="32">
        <v>2026</v>
      </c>
      <c r="B291" s="32" t="s">
        <v>92</v>
      </c>
      <c r="C291" s="32" t="s">
        <v>74</v>
      </c>
      <c r="D291" s="32" t="s">
        <v>75</v>
      </c>
      <c r="E291" s="33"/>
      <c r="F291" s="34" t="str">
        <f>IF(E291="","",IFERROR(VLOOKUP(E291,'Input &amp; Settings'!$F$5:$G$10,2,FALSE),""))</f>
        <v/>
      </c>
      <c r="G291" s="33"/>
      <c r="H291" s="33"/>
      <c r="I291" s="35"/>
      <c r="J291" s="33"/>
      <c r="K291" s="36"/>
      <c r="L291" s="35"/>
      <c r="M291" s="33"/>
      <c r="N291" s="33"/>
      <c r="O291" s="33"/>
      <c r="P291" s="33"/>
      <c r="Q291" s="37" t="str">
        <f>IF(G291="","",IFERROR(MIN(100,G291/'Input &amp; Settings'!$B$5*100),""))</f>
        <v/>
      </c>
      <c r="R291" s="37" t="str">
        <f>IF(H291="","",IFERROR(MIN(100,H291/'Input &amp; Settings'!$B$6*100),""))</f>
        <v/>
      </c>
      <c r="S291" s="37" t="str">
        <f>IF(I291="","",IFERROR(MIN(100,I291/'Input &amp; Settings'!$B$7*100),""))</f>
        <v/>
      </c>
      <c r="T291" s="37" t="str">
        <f>IF(J291="","",IFERROR(MIN(100,J291/'Input &amp; Settings'!$B$8*100),""))</f>
        <v/>
      </c>
      <c r="U291" s="37" t="str">
        <f>IF(K291="","",IFERROR(MIN(100,K291/'Input &amp; Settings'!$B$9*100),""))</f>
        <v/>
      </c>
      <c r="V291" s="37" t="str">
        <f>IF(L291="","",IFERROR(MIN(100,L291/'Input &amp; Settings'!$B$10*100),""))</f>
        <v/>
      </c>
      <c r="W291" s="37" t="str">
        <f>IF(M291="","",IFERROR(IF(M291&lt;='Input &amp; Settings'!$B$11,100,MAX(0,100-(M291-'Input &amp; Settings'!$B$11)*20)),""))</f>
        <v/>
      </c>
      <c r="X291" s="37" t="str">
        <f>IF(N291="","",IFERROR(MIN(100,N291/'Input &amp; Settings'!$B$12*100),""))</f>
        <v/>
      </c>
      <c r="Y291" s="37" t="str">
        <f>IF(O291="","",IFERROR(MIN(100,O291/'Input &amp; Settings'!$B$13*100),""))</f>
        <v/>
      </c>
      <c r="Z291" s="37" t="str">
        <f>IF(P291="","",IFERROR(IF(P291&lt;='Input &amp; Settings'!$B$14,100,MAX(0,100-(P291-'Input &amp; Settings'!$B$14)*20)),""))</f>
        <v/>
      </c>
      <c r="AA291" s="37" t="str">
        <f>IF(COUNTA(G291:P291)=0,"",ROUND(Q291*'Input &amp; Settings'!$C$5+R291*'Input &amp; Settings'!$C$6+S291*'Input &amp; Settings'!$C$7+T291*'Input &amp; Settings'!$C$8+U291*'Input &amp; Settings'!$C$9+V291*'Input &amp; Settings'!$C$10+W291*'Input &amp; Settings'!$C$11+X291*'Input &amp; Settings'!$C$12+Y291*'Input &amp; Settings'!$C$13+Z291*'Input &amp; Settings'!$C$14,1))</f>
        <v/>
      </c>
      <c r="AB291" s="38" t="str">
        <f>IF(OR(AA291="",E291=""),"",IFERROR(IF(AA291&gt;=VLOOKUP(E291,'Input &amp; Settings'!$F$5:$K$10,3,FALSE),"Outstanding",IF(AA291&gt;=VLOOKUP(E291,'Input &amp; Settings'!$F$5:$K$10,4,FALSE),"Exceeds Expectations",IF(AA291&gt;=VLOOKUP(E291,'Input &amp; Settings'!$F$5:$K$10,5,FALSE),"Meets Expectations",IF(AA291&gt;=VLOOKUP(E291,'Input &amp; Settings'!$F$5:$K$10,6,FALSE),"Needs Improvement","Performance Improvement Required")))),""))</f>
        <v/>
      </c>
      <c r="AC291" s="38" t="str">
        <f t="shared" si="16"/>
        <v/>
      </c>
      <c r="AD291" s="39"/>
      <c r="AE291" s="40"/>
      <c r="AF291" s="41" t="str">
        <f t="shared" si="17"/>
        <v/>
      </c>
      <c r="AG291" s="42" t="str">
        <f t="shared" si="18"/>
        <v/>
      </c>
      <c r="AH291" s="42" t="str">
        <f t="shared" si="19"/>
        <v>Raul Rama|July</v>
      </c>
    </row>
    <row r="292" spans="1:34" hidden="1">
      <c r="A292" s="32">
        <v>2026</v>
      </c>
      <c r="B292" s="32" t="s">
        <v>92</v>
      </c>
      <c r="C292" s="32" t="s">
        <v>74</v>
      </c>
      <c r="D292" s="32" t="s">
        <v>76</v>
      </c>
      <c r="E292" s="33"/>
      <c r="F292" s="34" t="str">
        <f>IF(E292="","",IFERROR(VLOOKUP(E292,'Input &amp; Settings'!$F$5:$G$10,2,FALSE),""))</f>
        <v/>
      </c>
      <c r="G292" s="33"/>
      <c r="H292" s="33"/>
      <c r="I292" s="35"/>
      <c r="J292" s="33"/>
      <c r="K292" s="36"/>
      <c r="L292" s="35"/>
      <c r="M292" s="33"/>
      <c r="N292" s="33"/>
      <c r="O292" s="33"/>
      <c r="P292" s="33"/>
      <c r="Q292" s="37" t="str">
        <f>IF(G292="","",IFERROR(MIN(100,G292/'Input &amp; Settings'!$B$5*100),""))</f>
        <v/>
      </c>
      <c r="R292" s="37" t="str">
        <f>IF(H292="","",IFERROR(MIN(100,H292/'Input &amp; Settings'!$B$6*100),""))</f>
        <v/>
      </c>
      <c r="S292" s="37" t="str">
        <f>IF(I292="","",IFERROR(MIN(100,I292/'Input &amp; Settings'!$B$7*100),""))</f>
        <v/>
      </c>
      <c r="T292" s="37" t="str">
        <f>IF(J292="","",IFERROR(MIN(100,J292/'Input &amp; Settings'!$B$8*100),""))</f>
        <v/>
      </c>
      <c r="U292" s="37" t="str">
        <f>IF(K292="","",IFERROR(MIN(100,K292/'Input &amp; Settings'!$B$9*100),""))</f>
        <v/>
      </c>
      <c r="V292" s="37" t="str">
        <f>IF(L292="","",IFERROR(MIN(100,L292/'Input &amp; Settings'!$B$10*100),""))</f>
        <v/>
      </c>
      <c r="W292" s="37" t="str">
        <f>IF(M292="","",IFERROR(IF(M292&lt;='Input &amp; Settings'!$B$11,100,MAX(0,100-(M292-'Input &amp; Settings'!$B$11)*20)),""))</f>
        <v/>
      </c>
      <c r="X292" s="37" t="str">
        <f>IF(N292="","",IFERROR(MIN(100,N292/'Input &amp; Settings'!$B$12*100),""))</f>
        <v/>
      </c>
      <c r="Y292" s="37" t="str">
        <f>IF(O292="","",IFERROR(MIN(100,O292/'Input &amp; Settings'!$B$13*100),""))</f>
        <v/>
      </c>
      <c r="Z292" s="37" t="str">
        <f>IF(P292="","",IFERROR(IF(P292&lt;='Input &amp; Settings'!$B$14,100,MAX(0,100-(P292-'Input &amp; Settings'!$B$14)*20)),""))</f>
        <v/>
      </c>
      <c r="AA292" s="37" t="str">
        <f>IF(COUNTA(G292:P292)=0,"",ROUND(Q292*'Input &amp; Settings'!$C$5+R292*'Input &amp; Settings'!$C$6+S292*'Input &amp; Settings'!$C$7+T292*'Input &amp; Settings'!$C$8+U292*'Input &amp; Settings'!$C$9+V292*'Input &amp; Settings'!$C$10+W292*'Input &amp; Settings'!$C$11+X292*'Input &amp; Settings'!$C$12+Y292*'Input &amp; Settings'!$C$13+Z292*'Input &amp; Settings'!$C$14,1))</f>
        <v/>
      </c>
      <c r="AB292" s="38" t="str">
        <f>IF(OR(AA292="",E292=""),"",IFERROR(IF(AA292&gt;=VLOOKUP(E292,'Input &amp; Settings'!$F$5:$K$10,3,FALSE),"Outstanding",IF(AA292&gt;=VLOOKUP(E292,'Input &amp; Settings'!$F$5:$K$10,4,FALSE),"Exceeds Expectations",IF(AA292&gt;=VLOOKUP(E292,'Input &amp; Settings'!$F$5:$K$10,5,FALSE),"Meets Expectations",IF(AA292&gt;=VLOOKUP(E292,'Input &amp; Settings'!$F$5:$K$10,6,FALSE),"Needs Improvement","Performance Improvement Required")))),""))</f>
        <v/>
      </c>
      <c r="AC292" s="38" t="str">
        <f t="shared" si="16"/>
        <v/>
      </c>
      <c r="AD292" s="39"/>
      <c r="AE292" s="40"/>
      <c r="AF292" s="41" t="str">
        <f t="shared" si="17"/>
        <v/>
      </c>
      <c r="AG292" s="42" t="str">
        <f t="shared" si="18"/>
        <v/>
      </c>
      <c r="AH292" s="42" t="str">
        <f t="shared" si="19"/>
        <v>Kaevon Tyler|July</v>
      </c>
    </row>
    <row r="293" spans="1:34" hidden="1">
      <c r="A293" s="32">
        <v>2026</v>
      </c>
      <c r="B293" s="32" t="s">
        <v>92</v>
      </c>
      <c r="C293" s="32" t="s">
        <v>74</v>
      </c>
      <c r="D293" s="32" t="s">
        <v>77</v>
      </c>
      <c r="E293" s="33"/>
      <c r="F293" s="34" t="str">
        <f>IF(E293="","",IFERROR(VLOOKUP(E293,'Input &amp; Settings'!$F$5:$G$10,2,FALSE),""))</f>
        <v/>
      </c>
      <c r="G293" s="33"/>
      <c r="H293" s="33"/>
      <c r="I293" s="35"/>
      <c r="J293" s="33"/>
      <c r="K293" s="36"/>
      <c r="L293" s="35"/>
      <c r="M293" s="33"/>
      <c r="N293" s="33"/>
      <c r="O293" s="33"/>
      <c r="P293" s="33"/>
      <c r="Q293" s="37" t="str">
        <f>IF(G293="","",IFERROR(MIN(100,G293/'Input &amp; Settings'!$B$5*100),""))</f>
        <v/>
      </c>
      <c r="R293" s="37" t="str">
        <f>IF(H293="","",IFERROR(MIN(100,H293/'Input &amp; Settings'!$B$6*100),""))</f>
        <v/>
      </c>
      <c r="S293" s="37" t="str">
        <f>IF(I293="","",IFERROR(MIN(100,I293/'Input &amp; Settings'!$B$7*100),""))</f>
        <v/>
      </c>
      <c r="T293" s="37" t="str">
        <f>IF(J293="","",IFERROR(MIN(100,J293/'Input &amp; Settings'!$B$8*100),""))</f>
        <v/>
      </c>
      <c r="U293" s="37" t="str">
        <f>IF(K293="","",IFERROR(MIN(100,K293/'Input &amp; Settings'!$B$9*100),""))</f>
        <v/>
      </c>
      <c r="V293" s="37" t="str">
        <f>IF(L293="","",IFERROR(MIN(100,L293/'Input &amp; Settings'!$B$10*100),""))</f>
        <v/>
      </c>
      <c r="W293" s="37" t="str">
        <f>IF(M293="","",IFERROR(IF(M293&lt;='Input &amp; Settings'!$B$11,100,MAX(0,100-(M293-'Input &amp; Settings'!$B$11)*20)),""))</f>
        <v/>
      </c>
      <c r="X293" s="37" t="str">
        <f>IF(N293="","",IFERROR(MIN(100,N293/'Input &amp; Settings'!$B$12*100),""))</f>
        <v/>
      </c>
      <c r="Y293" s="37" t="str">
        <f>IF(O293="","",IFERROR(MIN(100,O293/'Input &amp; Settings'!$B$13*100),""))</f>
        <v/>
      </c>
      <c r="Z293" s="37" t="str">
        <f>IF(P293="","",IFERROR(IF(P293&lt;='Input &amp; Settings'!$B$14,100,MAX(0,100-(P293-'Input &amp; Settings'!$B$14)*20)),""))</f>
        <v/>
      </c>
      <c r="AA293" s="37" t="str">
        <f>IF(COUNTA(G293:P293)=0,"",ROUND(Q293*'Input &amp; Settings'!$C$5+R293*'Input &amp; Settings'!$C$6+S293*'Input &amp; Settings'!$C$7+T293*'Input &amp; Settings'!$C$8+U293*'Input &amp; Settings'!$C$9+V293*'Input &amp; Settings'!$C$10+W293*'Input &amp; Settings'!$C$11+X293*'Input &amp; Settings'!$C$12+Y293*'Input &amp; Settings'!$C$13+Z293*'Input &amp; Settings'!$C$14,1))</f>
        <v/>
      </c>
      <c r="AB293" s="38" t="str">
        <f>IF(OR(AA293="",E293=""),"",IFERROR(IF(AA293&gt;=VLOOKUP(E293,'Input &amp; Settings'!$F$5:$K$10,3,FALSE),"Outstanding",IF(AA293&gt;=VLOOKUP(E293,'Input &amp; Settings'!$F$5:$K$10,4,FALSE),"Exceeds Expectations",IF(AA293&gt;=VLOOKUP(E293,'Input &amp; Settings'!$F$5:$K$10,5,FALSE),"Meets Expectations",IF(AA293&gt;=VLOOKUP(E293,'Input &amp; Settings'!$F$5:$K$10,6,FALSE),"Needs Improvement","Performance Improvement Required")))),""))</f>
        <v/>
      </c>
      <c r="AC293" s="38" t="str">
        <f t="shared" si="16"/>
        <v/>
      </c>
      <c r="AD293" s="39"/>
      <c r="AE293" s="40"/>
      <c r="AF293" s="41" t="str">
        <f t="shared" si="17"/>
        <v/>
      </c>
      <c r="AG293" s="42" t="str">
        <f t="shared" si="18"/>
        <v/>
      </c>
      <c r="AH293" s="42" t="str">
        <f t="shared" si="19"/>
        <v>Christopher Dorta|July</v>
      </c>
    </row>
    <row r="294" spans="1:34" hidden="1">
      <c r="A294" s="32">
        <v>2026</v>
      </c>
      <c r="B294" s="32" t="s">
        <v>92</v>
      </c>
      <c r="C294" s="32" t="s">
        <v>74</v>
      </c>
      <c r="D294" s="32" t="s">
        <v>78</v>
      </c>
      <c r="E294" s="33"/>
      <c r="F294" s="34" t="str">
        <f>IF(E294="","",IFERROR(VLOOKUP(E294,'Input &amp; Settings'!$F$5:$G$10,2,FALSE),""))</f>
        <v/>
      </c>
      <c r="G294" s="33"/>
      <c r="H294" s="33"/>
      <c r="I294" s="35"/>
      <c r="J294" s="33"/>
      <c r="K294" s="36"/>
      <c r="L294" s="35"/>
      <c r="M294" s="33"/>
      <c r="N294" s="33"/>
      <c r="O294" s="33"/>
      <c r="P294" s="33"/>
      <c r="Q294" s="37" t="str">
        <f>IF(G294="","",IFERROR(MIN(100,G294/'Input &amp; Settings'!$B$5*100),""))</f>
        <v/>
      </c>
      <c r="R294" s="37" t="str">
        <f>IF(H294="","",IFERROR(MIN(100,H294/'Input &amp; Settings'!$B$6*100),""))</f>
        <v/>
      </c>
      <c r="S294" s="37" t="str">
        <f>IF(I294="","",IFERROR(MIN(100,I294/'Input &amp; Settings'!$B$7*100),""))</f>
        <v/>
      </c>
      <c r="T294" s="37" t="str">
        <f>IF(J294="","",IFERROR(MIN(100,J294/'Input &amp; Settings'!$B$8*100),""))</f>
        <v/>
      </c>
      <c r="U294" s="37" t="str">
        <f>IF(K294="","",IFERROR(MIN(100,K294/'Input &amp; Settings'!$B$9*100),""))</f>
        <v/>
      </c>
      <c r="V294" s="37" t="str">
        <f>IF(L294="","",IFERROR(MIN(100,L294/'Input &amp; Settings'!$B$10*100),""))</f>
        <v/>
      </c>
      <c r="W294" s="37" t="str">
        <f>IF(M294="","",IFERROR(IF(M294&lt;='Input &amp; Settings'!$B$11,100,MAX(0,100-(M294-'Input &amp; Settings'!$B$11)*20)),""))</f>
        <v/>
      </c>
      <c r="X294" s="37" t="str">
        <f>IF(N294="","",IFERROR(MIN(100,N294/'Input &amp; Settings'!$B$12*100),""))</f>
        <v/>
      </c>
      <c r="Y294" s="37" t="str">
        <f>IF(O294="","",IFERROR(MIN(100,O294/'Input &amp; Settings'!$B$13*100),""))</f>
        <v/>
      </c>
      <c r="Z294" s="37" t="str">
        <f>IF(P294="","",IFERROR(IF(P294&lt;='Input &amp; Settings'!$B$14,100,MAX(0,100-(P294-'Input &amp; Settings'!$B$14)*20)),""))</f>
        <v/>
      </c>
      <c r="AA294" s="37" t="str">
        <f>IF(COUNTA(G294:P294)=0,"",ROUND(Q294*'Input &amp; Settings'!$C$5+R294*'Input &amp; Settings'!$C$6+S294*'Input &amp; Settings'!$C$7+T294*'Input &amp; Settings'!$C$8+U294*'Input &amp; Settings'!$C$9+V294*'Input &amp; Settings'!$C$10+W294*'Input &amp; Settings'!$C$11+X294*'Input &amp; Settings'!$C$12+Y294*'Input &amp; Settings'!$C$13+Z294*'Input &amp; Settings'!$C$14,1))</f>
        <v/>
      </c>
      <c r="AB294" s="38" t="str">
        <f>IF(OR(AA294="",E294=""),"",IFERROR(IF(AA294&gt;=VLOOKUP(E294,'Input &amp; Settings'!$F$5:$K$10,3,FALSE),"Outstanding",IF(AA294&gt;=VLOOKUP(E294,'Input &amp; Settings'!$F$5:$K$10,4,FALSE),"Exceeds Expectations",IF(AA294&gt;=VLOOKUP(E294,'Input &amp; Settings'!$F$5:$K$10,5,FALSE),"Meets Expectations",IF(AA294&gt;=VLOOKUP(E294,'Input &amp; Settings'!$F$5:$K$10,6,FALSE),"Needs Improvement","Performance Improvement Required")))),""))</f>
        <v/>
      </c>
      <c r="AC294" s="38" t="str">
        <f t="shared" si="16"/>
        <v/>
      </c>
      <c r="AD294" s="39"/>
      <c r="AE294" s="40"/>
      <c r="AF294" s="41" t="str">
        <f t="shared" si="17"/>
        <v/>
      </c>
      <c r="AG294" s="42" t="str">
        <f t="shared" si="18"/>
        <v/>
      </c>
      <c r="AH294" s="42" t="str">
        <f t="shared" si="19"/>
        <v>Andres Galvis|July</v>
      </c>
    </row>
    <row r="295" spans="1:34" hidden="1">
      <c r="A295" s="32">
        <v>2026</v>
      </c>
      <c r="B295" s="32" t="s">
        <v>92</v>
      </c>
      <c r="C295" s="32" t="s">
        <v>74</v>
      </c>
      <c r="D295" s="32" t="s">
        <v>79</v>
      </c>
      <c r="E295" s="33"/>
      <c r="F295" s="34" t="str">
        <f>IF(E295="","",IFERROR(VLOOKUP(E295,'Input &amp; Settings'!$F$5:$G$10,2,FALSE),""))</f>
        <v/>
      </c>
      <c r="G295" s="33"/>
      <c r="H295" s="33"/>
      <c r="I295" s="35"/>
      <c r="J295" s="33"/>
      <c r="K295" s="36"/>
      <c r="L295" s="35"/>
      <c r="M295" s="33"/>
      <c r="N295" s="33"/>
      <c r="O295" s="33"/>
      <c r="P295" s="33"/>
      <c r="Q295" s="37" t="str">
        <f>IF(G295="","",IFERROR(MIN(100,G295/'Input &amp; Settings'!$B$5*100),""))</f>
        <v/>
      </c>
      <c r="R295" s="37" t="str">
        <f>IF(H295="","",IFERROR(MIN(100,H295/'Input &amp; Settings'!$B$6*100),""))</f>
        <v/>
      </c>
      <c r="S295" s="37" t="str">
        <f>IF(I295="","",IFERROR(MIN(100,I295/'Input &amp; Settings'!$B$7*100),""))</f>
        <v/>
      </c>
      <c r="T295" s="37" t="str">
        <f>IF(J295="","",IFERROR(MIN(100,J295/'Input &amp; Settings'!$B$8*100),""))</f>
        <v/>
      </c>
      <c r="U295" s="37" t="str">
        <f>IF(K295="","",IFERROR(MIN(100,K295/'Input &amp; Settings'!$B$9*100),""))</f>
        <v/>
      </c>
      <c r="V295" s="37" t="str">
        <f>IF(L295="","",IFERROR(MIN(100,L295/'Input &amp; Settings'!$B$10*100),""))</f>
        <v/>
      </c>
      <c r="W295" s="37" t="str">
        <f>IF(M295="","",IFERROR(IF(M295&lt;='Input &amp; Settings'!$B$11,100,MAX(0,100-(M295-'Input &amp; Settings'!$B$11)*20)),""))</f>
        <v/>
      </c>
      <c r="X295" s="37" t="str">
        <f>IF(N295="","",IFERROR(MIN(100,N295/'Input &amp; Settings'!$B$12*100),""))</f>
        <v/>
      </c>
      <c r="Y295" s="37" t="str">
        <f>IF(O295="","",IFERROR(MIN(100,O295/'Input &amp; Settings'!$B$13*100),""))</f>
        <v/>
      </c>
      <c r="Z295" s="37" t="str">
        <f>IF(P295="","",IFERROR(IF(P295&lt;='Input &amp; Settings'!$B$14,100,MAX(0,100-(P295-'Input &amp; Settings'!$B$14)*20)),""))</f>
        <v/>
      </c>
      <c r="AA295" s="37" t="str">
        <f>IF(COUNTA(G295:P295)=0,"",ROUND(Q295*'Input &amp; Settings'!$C$5+R295*'Input &amp; Settings'!$C$6+S295*'Input &amp; Settings'!$C$7+T295*'Input &amp; Settings'!$C$8+U295*'Input &amp; Settings'!$C$9+V295*'Input &amp; Settings'!$C$10+W295*'Input &amp; Settings'!$C$11+X295*'Input &amp; Settings'!$C$12+Y295*'Input &amp; Settings'!$C$13+Z295*'Input &amp; Settings'!$C$14,1))</f>
        <v/>
      </c>
      <c r="AB295" s="38" t="str">
        <f>IF(OR(AA295="",E295=""),"",IFERROR(IF(AA295&gt;=VLOOKUP(E295,'Input &amp; Settings'!$F$5:$K$10,3,FALSE),"Outstanding",IF(AA295&gt;=VLOOKUP(E295,'Input &amp; Settings'!$F$5:$K$10,4,FALSE),"Exceeds Expectations",IF(AA295&gt;=VLOOKUP(E295,'Input &amp; Settings'!$F$5:$K$10,5,FALSE),"Meets Expectations",IF(AA295&gt;=VLOOKUP(E295,'Input &amp; Settings'!$F$5:$K$10,6,FALSE),"Needs Improvement","Performance Improvement Required")))),""))</f>
        <v/>
      </c>
      <c r="AC295" s="38" t="str">
        <f t="shared" si="16"/>
        <v/>
      </c>
      <c r="AD295" s="39"/>
      <c r="AE295" s="40"/>
      <c r="AF295" s="41" t="str">
        <f t="shared" si="17"/>
        <v/>
      </c>
      <c r="AG295" s="42" t="str">
        <f t="shared" si="18"/>
        <v/>
      </c>
      <c r="AH295" s="42" t="str">
        <f t="shared" si="19"/>
        <v>Roberto Eckardt|July</v>
      </c>
    </row>
    <row r="296" spans="1:34" hidden="1">
      <c r="A296" s="32">
        <v>2026</v>
      </c>
      <c r="B296" s="32" t="s">
        <v>92</v>
      </c>
      <c r="C296" s="32" t="s">
        <v>74</v>
      </c>
      <c r="D296" s="32" t="s">
        <v>80</v>
      </c>
      <c r="E296" s="33"/>
      <c r="F296" s="34" t="str">
        <f>IF(E296="","",IFERROR(VLOOKUP(E296,'Input &amp; Settings'!$F$5:$G$10,2,FALSE),""))</f>
        <v/>
      </c>
      <c r="G296" s="33"/>
      <c r="H296" s="33"/>
      <c r="I296" s="35"/>
      <c r="J296" s="33"/>
      <c r="K296" s="36"/>
      <c r="L296" s="35"/>
      <c r="M296" s="33"/>
      <c r="N296" s="33"/>
      <c r="O296" s="33"/>
      <c r="P296" s="33"/>
      <c r="Q296" s="37" t="str">
        <f>IF(G296="","",IFERROR(MIN(100,G296/'Input &amp; Settings'!$B$5*100),""))</f>
        <v/>
      </c>
      <c r="R296" s="37" t="str">
        <f>IF(H296="","",IFERROR(MIN(100,H296/'Input &amp; Settings'!$B$6*100),""))</f>
        <v/>
      </c>
      <c r="S296" s="37" t="str">
        <f>IF(I296="","",IFERROR(MIN(100,I296/'Input &amp; Settings'!$B$7*100),""))</f>
        <v/>
      </c>
      <c r="T296" s="37" t="str">
        <f>IF(J296="","",IFERROR(MIN(100,J296/'Input &amp; Settings'!$B$8*100),""))</f>
        <v/>
      </c>
      <c r="U296" s="37" t="str">
        <f>IF(K296="","",IFERROR(MIN(100,K296/'Input &amp; Settings'!$B$9*100),""))</f>
        <v/>
      </c>
      <c r="V296" s="37" t="str">
        <f>IF(L296="","",IFERROR(MIN(100,L296/'Input &amp; Settings'!$B$10*100),""))</f>
        <v/>
      </c>
      <c r="W296" s="37" t="str">
        <f>IF(M296="","",IFERROR(IF(M296&lt;='Input &amp; Settings'!$B$11,100,MAX(0,100-(M296-'Input &amp; Settings'!$B$11)*20)),""))</f>
        <v/>
      </c>
      <c r="X296" s="37" t="str">
        <f>IF(N296="","",IFERROR(MIN(100,N296/'Input &amp; Settings'!$B$12*100),""))</f>
        <v/>
      </c>
      <c r="Y296" s="37" t="str">
        <f>IF(O296="","",IFERROR(MIN(100,O296/'Input &amp; Settings'!$B$13*100),""))</f>
        <v/>
      </c>
      <c r="Z296" s="37" t="str">
        <f>IF(P296="","",IFERROR(IF(P296&lt;='Input &amp; Settings'!$B$14,100,MAX(0,100-(P296-'Input &amp; Settings'!$B$14)*20)),""))</f>
        <v/>
      </c>
      <c r="AA296" s="37" t="str">
        <f>IF(COUNTA(G296:P296)=0,"",ROUND(Q296*'Input &amp; Settings'!$C$5+R296*'Input &amp; Settings'!$C$6+S296*'Input &amp; Settings'!$C$7+T296*'Input &amp; Settings'!$C$8+U296*'Input &amp; Settings'!$C$9+V296*'Input &amp; Settings'!$C$10+W296*'Input &amp; Settings'!$C$11+X296*'Input &amp; Settings'!$C$12+Y296*'Input &amp; Settings'!$C$13+Z296*'Input &amp; Settings'!$C$14,1))</f>
        <v/>
      </c>
      <c r="AB296" s="38" t="str">
        <f>IF(OR(AA296="",E296=""),"",IFERROR(IF(AA296&gt;=VLOOKUP(E296,'Input &amp; Settings'!$F$5:$K$10,3,FALSE),"Outstanding",IF(AA296&gt;=VLOOKUP(E296,'Input &amp; Settings'!$F$5:$K$10,4,FALSE),"Exceeds Expectations",IF(AA296&gt;=VLOOKUP(E296,'Input &amp; Settings'!$F$5:$K$10,5,FALSE),"Meets Expectations",IF(AA296&gt;=VLOOKUP(E296,'Input &amp; Settings'!$F$5:$K$10,6,FALSE),"Needs Improvement","Performance Improvement Required")))),""))</f>
        <v/>
      </c>
      <c r="AC296" s="38" t="str">
        <f t="shared" si="16"/>
        <v/>
      </c>
      <c r="AD296" s="39"/>
      <c r="AE296" s="40"/>
      <c r="AF296" s="41" t="str">
        <f t="shared" si="17"/>
        <v/>
      </c>
      <c r="AG296" s="42" t="str">
        <f t="shared" si="18"/>
        <v/>
      </c>
      <c r="AH296" s="42" t="str">
        <f t="shared" si="19"/>
        <v>Angel Perez Martinez|July</v>
      </c>
    </row>
    <row r="297" spans="1:34" hidden="1">
      <c r="A297" s="32">
        <v>2026</v>
      </c>
      <c r="B297" s="32" t="s">
        <v>93</v>
      </c>
      <c r="C297" s="32" t="s">
        <v>36</v>
      </c>
      <c r="D297" s="32" t="s">
        <v>37</v>
      </c>
      <c r="E297" s="33" t="s">
        <v>86</v>
      </c>
      <c r="F297" s="34" t="str">
        <f>IF(E297="","",IFERROR(VLOOKUP(E297,'Input &amp; Settings'!$F$5:$G$10,2,FALSE),""))</f>
        <v>High</v>
      </c>
      <c r="G297" s="33"/>
      <c r="H297" s="33"/>
      <c r="I297" s="35"/>
      <c r="J297" s="33"/>
      <c r="K297" s="36"/>
      <c r="L297" s="35"/>
      <c r="M297" s="33"/>
      <c r="N297" s="33"/>
      <c r="O297" s="33"/>
      <c r="P297" s="33"/>
      <c r="Q297" s="37" t="str">
        <f>IF(G297="","",IFERROR(MIN(100,G297/'Input &amp; Settings'!$B$5*100),""))</f>
        <v/>
      </c>
      <c r="R297" s="37" t="str">
        <f>IF(H297="","",IFERROR(MIN(100,H297/'Input &amp; Settings'!$B$6*100),""))</f>
        <v/>
      </c>
      <c r="S297" s="37" t="str">
        <f>IF(I297="","",IFERROR(MIN(100,I297/'Input &amp; Settings'!$B$7*100),""))</f>
        <v/>
      </c>
      <c r="T297" s="37" t="str">
        <f>IF(J297="","",IFERROR(MIN(100,J297/'Input &amp; Settings'!$B$8*100),""))</f>
        <v/>
      </c>
      <c r="U297" s="37" t="str">
        <f>IF(K297="","",IFERROR(MIN(100,K297/'Input &amp; Settings'!$B$9*100),""))</f>
        <v/>
      </c>
      <c r="V297" s="37" t="str">
        <f>IF(L297="","",IFERROR(MIN(100,L297/'Input &amp; Settings'!$B$10*100),""))</f>
        <v/>
      </c>
      <c r="W297" s="37" t="str">
        <f>IF(M297="","",IFERROR(IF(M297&lt;='Input &amp; Settings'!$B$11,100,MAX(0,100-(M297-'Input &amp; Settings'!$B$11)*20)),""))</f>
        <v/>
      </c>
      <c r="X297" s="37" t="str">
        <f>IF(N297="","",IFERROR(MIN(100,N297/'Input &amp; Settings'!$B$12*100),""))</f>
        <v/>
      </c>
      <c r="Y297" s="37" t="str">
        <f>IF(O297="","",IFERROR(MIN(100,O297/'Input &amp; Settings'!$B$13*100),""))</f>
        <v/>
      </c>
      <c r="Z297" s="37" t="str">
        <f>IF(P297="","",IFERROR(IF(P297&lt;='Input &amp; Settings'!$B$14,100,MAX(0,100-(P297-'Input &amp; Settings'!$B$14)*20)),""))</f>
        <v/>
      </c>
      <c r="AA297" s="37" t="str">
        <f>IF(COUNTA(G297:P297)=0,"",ROUND(Q297*'Input &amp; Settings'!$C$5+R297*'Input &amp; Settings'!$C$6+S297*'Input &amp; Settings'!$C$7+T297*'Input &amp; Settings'!$C$8+U297*'Input &amp; Settings'!$C$9+V297*'Input &amp; Settings'!$C$10+W297*'Input &amp; Settings'!$C$11+X297*'Input &amp; Settings'!$C$12+Y297*'Input &amp; Settings'!$C$13+Z297*'Input &amp; Settings'!$C$14,1))</f>
        <v/>
      </c>
      <c r="AB297" s="38" t="str">
        <f>IF(OR(AA297="",E297=""),"",IFERROR(IF(AA297&gt;=VLOOKUP(E297,'Input &amp; Settings'!$F$5:$K$10,3,FALSE),"Outstanding",IF(AA297&gt;=VLOOKUP(E297,'Input &amp; Settings'!$F$5:$K$10,4,FALSE),"Exceeds Expectations",IF(AA297&gt;=VLOOKUP(E297,'Input &amp; Settings'!$F$5:$K$10,5,FALSE),"Meets Expectations",IF(AA297&gt;=VLOOKUP(E297,'Input &amp; Settings'!$F$5:$K$10,6,FALSE),"Needs Improvement","Performance Improvement Required")))),""))</f>
        <v/>
      </c>
      <c r="AC297" s="38" t="str">
        <f t="shared" si="16"/>
        <v/>
      </c>
      <c r="AD297" s="39"/>
      <c r="AE297" s="40"/>
      <c r="AF297" s="41" t="str">
        <f t="shared" si="17"/>
        <v/>
      </c>
      <c r="AG297" s="42" t="str">
        <f t="shared" si="18"/>
        <v/>
      </c>
      <c r="AH297" s="42" t="str">
        <f t="shared" si="19"/>
        <v>Carly Huber|August</v>
      </c>
    </row>
    <row r="298" spans="1:34" hidden="1">
      <c r="A298" s="32">
        <v>2026</v>
      </c>
      <c r="B298" s="32" t="s">
        <v>93</v>
      </c>
      <c r="C298" s="32" t="s">
        <v>36</v>
      </c>
      <c r="D298" s="32" t="s">
        <v>38</v>
      </c>
      <c r="E298" s="33"/>
      <c r="F298" s="34" t="str">
        <f>IF(E298="","",IFERROR(VLOOKUP(E298,'Input &amp; Settings'!$F$5:$G$10,2,FALSE),""))</f>
        <v/>
      </c>
      <c r="G298" s="33"/>
      <c r="H298" s="33"/>
      <c r="I298" s="35"/>
      <c r="J298" s="33"/>
      <c r="K298" s="36"/>
      <c r="L298" s="35"/>
      <c r="M298" s="33"/>
      <c r="N298" s="33"/>
      <c r="O298" s="33"/>
      <c r="P298" s="33"/>
      <c r="Q298" s="37" t="str">
        <f>IF(G298="","",IFERROR(MIN(100,G298/'Input &amp; Settings'!$B$5*100),""))</f>
        <v/>
      </c>
      <c r="R298" s="37" t="str">
        <f>IF(H298="","",IFERROR(MIN(100,H298/'Input &amp; Settings'!$B$6*100),""))</f>
        <v/>
      </c>
      <c r="S298" s="37" t="str">
        <f>IF(I298="","",IFERROR(MIN(100,I298/'Input &amp; Settings'!$B$7*100),""))</f>
        <v/>
      </c>
      <c r="T298" s="37" t="str">
        <f>IF(J298="","",IFERROR(MIN(100,J298/'Input &amp; Settings'!$B$8*100),""))</f>
        <v/>
      </c>
      <c r="U298" s="37" t="str">
        <f>IF(K298="","",IFERROR(MIN(100,K298/'Input &amp; Settings'!$B$9*100),""))</f>
        <v/>
      </c>
      <c r="V298" s="37" t="str">
        <f>IF(L298="","",IFERROR(MIN(100,L298/'Input &amp; Settings'!$B$10*100),""))</f>
        <v/>
      </c>
      <c r="W298" s="37" t="str">
        <f>IF(M298="","",IFERROR(IF(M298&lt;='Input &amp; Settings'!$B$11,100,MAX(0,100-(M298-'Input &amp; Settings'!$B$11)*20)),""))</f>
        <v/>
      </c>
      <c r="X298" s="37" t="str">
        <f>IF(N298="","",IFERROR(MIN(100,N298/'Input &amp; Settings'!$B$12*100),""))</f>
        <v/>
      </c>
      <c r="Y298" s="37" t="str">
        <f>IF(O298="","",IFERROR(MIN(100,O298/'Input &amp; Settings'!$B$13*100),""))</f>
        <v/>
      </c>
      <c r="Z298" s="37" t="str">
        <f>IF(P298="","",IFERROR(IF(P298&lt;='Input &amp; Settings'!$B$14,100,MAX(0,100-(P298-'Input &amp; Settings'!$B$14)*20)),""))</f>
        <v/>
      </c>
      <c r="AA298" s="37" t="str">
        <f>IF(COUNTA(G298:P298)=0,"",ROUND(Q298*'Input &amp; Settings'!$C$5+R298*'Input &amp; Settings'!$C$6+S298*'Input &amp; Settings'!$C$7+T298*'Input &amp; Settings'!$C$8+U298*'Input &amp; Settings'!$C$9+V298*'Input &amp; Settings'!$C$10+W298*'Input &amp; Settings'!$C$11+X298*'Input &amp; Settings'!$C$12+Y298*'Input &amp; Settings'!$C$13+Z298*'Input &amp; Settings'!$C$14,1))</f>
        <v/>
      </c>
      <c r="AB298" s="38" t="str">
        <f>IF(OR(AA298="",E298=""),"",IFERROR(IF(AA298&gt;=VLOOKUP(E298,'Input &amp; Settings'!$F$5:$K$10,3,FALSE),"Outstanding",IF(AA298&gt;=VLOOKUP(E298,'Input &amp; Settings'!$F$5:$K$10,4,FALSE),"Exceeds Expectations",IF(AA298&gt;=VLOOKUP(E298,'Input &amp; Settings'!$F$5:$K$10,5,FALSE),"Meets Expectations",IF(AA298&gt;=VLOOKUP(E298,'Input &amp; Settings'!$F$5:$K$10,6,FALSE),"Needs Improvement","Performance Improvement Required")))),""))</f>
        <v/>
      </c>
      <c r="AC298" s="38" t="str">
        <f t="shared" si="16"/>
        <v/>
      </c>
      <c r="AD298" s="39"/>
      <c r="AE298" s="40"/>
      <c r="AF298" s="41" t="str">
        <f t="shared" si="17"/>
        <v/>
      </c>
      <c r="AG298" s="42" t="str">
        <f t="shared" si="18"/>
        <v/>
      </c>
      <c r="AH298" s="42" t="str">
        <f t="shared" si="19"/>
        <v>Julian Grier|August</v>
      </c>
    </row>
    <row r="299" spans="1:34" hidden="1">
      <c r="A299" s="32">
        <v>2026</v>
      </c>
      <c r="B299" s="32" t="s">
        <v>93</v>
      </c>
      <c r="C299" s="32" t="s">
        <v>36</v>
      </c>
      <c r="D299" s="32" t="s">
        <v>39</v>
      </c>
      <c r="E299" s="33"/>
      <c r="F299" s="34" t="str">
        <f>IF(E299="","",IFERROR(VLOOKUP(E299,'Input &amp; Settings'!$F$5:$G$10,2,FALSE),""))</f>
        <v/>
      </c>
      <c r="G299" s="33"/>
      <c r="H299" s="33"/>
      <c r="I299" s="35"/>
      <c r="J299" s="33"/>
      <c r="K299" s="36"/>
      <c r="L299" s="35"/>
      <c r="M299" s="33"/>
      <c r="N299" s="33"/>
      <c r="O299" s="33"/>
      <c r="P299" s="33"/>
      <c r="Q299" s="37" t="str">
        <f>IF(G299="","",IFERROR(MIN(100,G299/'Input &amp; Settings'!$B$5*100),""))</f>
        <v/>
      </c>
      <c r="R299" s="37" t="str">
        <f>IF(H299="","",IFERROR(MIN(100,H299/'Input &amp; Settings'!$B$6*100),""))</f>
        <v/>
      </c>
      <c r="S299" s="37" t="str">
        <f>IF(I299="","",IFERROR(MIN(100,I299/'Input &amp; Settings'!$B$7*100),""))</f>
        <v/>
      </c>
      <c r="T299" s="37" t="str">
        <f>IF(J299="","",IFERROR(MIN(100,J299/'Input &amp; Settings'!$B$8*100),""))</f>
        <v/>
      </c>
      <c r="U299" s="37" t="str">
        <f>IF(K299="","",IFERROR(MIN(100,K299/'Input &amp; Settings'!$B$9*100),""))</f>
        <v/>
      </c>
      <c r="V299" s="37" t="str">
        <f>IF(L299="","",IFERROR(MIN(100,L299/'Input &amp; Settings'!$B$10*100),""))</f>
        <v/>
      </c>
      <c r="W299" s="37" t="str">
        <f>IF(M299="","",IFERROR(IF(M299&lt;='Input &amp; Settings'!$B$11,100,MAX(0,100-(M299-'Input &amp; Settings'!$B$11)*20)),""))</f>
        <v/>
      </c>
      <c r="X299" s="37" t="str">
        <f>IF(N299="","",IFERROR(MIN(100,N299/'Input &amp; Settings'!$B$12*100),""))</f>
        <v/>
      </c>
      <c r="Y299" s="37" t="str">
        <f>IF(O299="","",IFERROR(MIN(100,O299/'Input &amp; Settings'!$B$13*100),""))</f>
        <v/>
      </c>
      <c r="Z299" s="37" t="str">
        <f>IF(P299="","",IFERROR(IF(P299&lt;='Input &amp; Settings'!$B$14,100,MAX(0,100-(P299-'Input &amp; Settings'!$B$14)*20)),""))</f>
        <v/>
      </c>
      <c r="AA299" s="37" t="str">
        <f>IF(COUNTA(G299:P299)=0,"",ROUND(Q299*'Input &amp; Settings'!$C$5+R299*'Input &amp; Settings'!$C$6+S299*'Input &amp; Settings'!$C$7+T299*'Input &amp; Settings'!$C$8+U299*'Input &amp; Settings'!$C$9+V299*'Input &amp; Settings'!$C$10+W299*'Input &amp; Settings'!$C$11+X299*'Input &amp; Settings'!$C$12+Y299*'Input &amp; Settings'!$C$13+Z299*'Input &amp; Settings'!$C$14,1))</f>
        <v/>
      </c>
      <c r="AB299" s="38" t="str">
        <f>IF(OR(AA299="",E299=""),"",IFERROR(IF(AA299&gt;=VLOOKUP(E299,'Input &amp; Settings'!$F$5:$K$10,3,FALSE),"Outstanding",IF(AA299&gt;=VLOOKUP(E299,'Input &amp; Settings'!$F$5:$K$10,4,FALSE),"Exceeds Expectations",IF(AA299&gt;=VLOOKUP(E299,'Input &amp; Settings'!$F$5:$K$10,5,FALSE),"Meets Expectations",IF(AA299&gt;=VLOOKUP(E299,'Input &amp; Settings'!$F$5:$K$10,6,FALSE),"Needs Improvement","Performance Improvement Required")))),""))</f>
        <v/>
      </c>
      <c r="AC299" s="38" t="str">
        <f t="shared" si="16"/>
        <v/>
      </c>
      <c r="AD299" s="39"/>
      <c r="AE299" s="40"/>
      <c r="AF299" s="41" t="str">
        <f t="shared" si="17"/>
        <v/>
      </c>
      <c r="AG299" s="42" t="str">
        <f t="shared" si="18"/>
        <v/>
      </c>
      <c r="AH299" s="42" t="str">
        <f t="shared" si="19"/>
        <v>Jorge Lopez|August</v>
      </c>
    </row>
    <row r="300" spans="1:34" hidden="1">
      <c r="A300" s="32">
        <v>2026</v>
      </c>
      <c r="B300" s="32" t="s">
        <v>93</v>
      </c>
      <c r="C300" s="32" t="s">
        <v>36</v>
      </c>
      <c r="D300" s="32" t="s">
        <v>40</v>
      </c>
      <c r="E300" s="33"/>
      <c r="F300" s="34" t="str">
        <f>IF(E300="","",IFERROR(VLOOKUP(E300,'Input &amp; Settings'!$F$5:$G$10,2,FALSE),""))</f>
        <v/>
      </c>
      <c r="G300" s="33"/>
      <c r="H300" s="33"/>
      <c r="I300" s="35"/>
      <c r="J300" s="33"/>
      <c r="K300" s="36"/>
      <c r="L300" s="35"/>
      <c r="M300" s="33"/>
      <c r="N300" s="33"/>
      <c r="O300" s="33"/>
      <c r="P300" s="33"/>
      <c r="Q300" s="37" t="str">
        <f>IF(G300="","",IFERROR(MIN(100,G300/'Input &amp; Settings'!$B$5*100),""))</f>
        <v/>
      </c>
      <c r="R300" s="37" t="str">
        <f>IF(H300="","",IFERROR(MIN(100,H300/'Input &amp; Settings'!$B$6*100),""))</f>
        <v/>
      </c>
      <c r="S300" s="37" t="str">
        <f>IF(I300="","",IFERROR(MIN(100,I300/'Input &amp; Settings'!$B$7*100),""))</f>
        <v/>
      </c>
      <c r="T300" s="37" t="str">
        <f>IF(J300="","",IFERROR(MIN(100,J300/'Input &amp; Settings'!$B$8*100),""))</f>
        <v/>
      </c>
      <c r="U300" s="37" t="str">
        <f>IF(K300="","",IFERROR(MIN(100,K300/'Input &amp; Settings'!$B$9*100),""))</f>
        <v/>
      </c>
      <c r="V300" s="37" t="str">
        <f>IF(L300="","",IFERROR(MIN(100,L300/'Input &amp; Settings'!$B$10*100),""))</f>
        <v/>
      </c>
      <c r="W300" s="37" t="str">
        <f>IF(M300="","",IFERROR(IF(M300&lt;='Input &amp; Settings'!$B$11,100,MAX(0,100-(M300-'Input &amp; Settings'!$B$11)*20)),""))</f>
        <v/>
      </c>
      <c r="X300" s="37" t="str">
        <f>IF(N300="","",IFERROR(MIN(100,N300/'Input &amp; Settings'!$B$12*100),""))</f>
        <v/>
      </c>
      <c r="Y300" s="37" t="str">
        <f>IF(O300="","",IFERROR(MIN(100,O300/'Input &amp; Settings'!$B$13*100),""))</f>
        <v/>
      </c>
      <c r="Z300" s="37" t="str">
        <f>IF(P300="","",IFERROR(IF(P300&lt;='Input &amp; Settings'!$B$14,100,MAX(0,100-(P300-'Input &amp; Settings'!$B$14)*20)),""))</f>
        <v/>
      </c>
      <c r="AA300" s="37" t="str">
        <f>IF(COUNTA(G300:P300)=0,"",ROUND(Q300*'Input &amp; Settings'!$C$5+R300*'Input &amp; Settings'!$C$6+S300*'Input &amp; Settings'!$C$7+T300*'Input &amp; Settings'!$C$8+U300*'Input &amp; Settings'!$C$9+V300*'Input &amp; Settings'!$C$10+W300*'Input &amp; Settings'!$C$11+X300*'Input &amp; Settings'!$C$12+Y300*'Input &amp; Settings'!$C$13+Z300*'Input &amp; Settings'!$C$14,1))</f>
        <v/>
      </c>
      <c r="AB300" s="38" t="str">
        <f>IF(OR(AA300="",E300=""),"",IFERROR(IF(AA300&gt;=VLOOKUP(E300,'Input &amp; Settings'!$F$5:$K$10,3,FALSE),"Outstanding",IF(AA300&gt;=VLOOKUP(E300,'Input &amp; Settings'!$F$5:$K$10,4,FALSE),"Exceeds Expectations",IF(AA300&gt;=VLOOKUP(E300,'Input &amp; Settings'!$F$5:$K$10,5,FALSE),"Meets Expectations",IF(AA300&gt;=VLOOKUP(E300,'Input &amp; Settings'!$F$5:$K$10,6,FALSE),"Needs Improvement","Performance Improvement Required")))),""))</f>
        <v/>
      </c>
      <c r="AC300" s="38" t="str">
        <f t="shared" si="16"/>
        <v/>
      </c>
      <c r="AD300" s="39"/>
      <c r="AE300" s="40"/>
      <c r="AF300" s="41" t="str">
        <f t="shared" si="17"/>
        <v/>
      </c>
      <c r="AG300" s="42" t="str">
        <f t="shared" si="18"/>
        <v/>
      </c>
      <c r="AH300" s="42" t="str">
        <f t="shared" si="19"/>
        <v>Juan Pablo Pique Buil (JP)|August</v>
      </c>
    </row>
    <row r="301" spans="1:34" hidden="1">
      <c r="A301" s="32">
        <v>2026</v>
      </c>
      <c r="B301" s="32" t="s">
        <v>93</v>
      </c>
      <c r="C301" s="32" t="s">
        <v>36</v>
      </c>
      <c r="D301" s="32" t="s">
        <v>41</v>
      </c>
      <c r="E301" s="33" t="s">
        <v>86</v>
      </c>
      <c r="F301" s="34" t="str">
        <f>IF(E301="","",IFERROR(VLOOKUP(E301,'Input &amp; Settings'!$F$5:$G$10,2,FALSE),""))</f>
        <v>High</v>
      </c>
      <c r="G301" s="33">
        <v>17</v>
      </c>
      <c r="H301" s="33">
        <v>11</v>
      </c>
      <c r="I301" s="35">
        <v>1</v>
      </c>
      <c r="J301" s="33">
        <v>14</v>
      </c>
      <c r="K301" s="36">
        <v>5</v>
      </c>
      <c r="L301" s="35">
        <v>1</v>
      </c>
      <c r="M301" s="33">
        <v>0</v>
      </c>
      <c r="N301" s="33">
        <v>0</v>
      </c>
      <c r="O301" s="33">
        <v>0</v>
      </c>
      <c r="P301" s="33">
        <v>4</v>
      </c>
      <c r="Q301" s="37">
        <f>IF(G301="","",IFERROR(MIN(100,G301/'Input &amp; Settings'!$B$5*100),""))</f>
        <v>22.666666666666664</v>
      </c>
      <c r="R301" s="37">
        <f>IF(H301="","",IFERROR(MIN(100,H301/'Input &amp; Settings'!$B$6*100),""))</f>
        <v>13.750000000000002</v>
      </c>
      <c r="S301" s="37">
        <f>IF(I301="","",IFERROR(MIN(100,I301/'Input &amp; Settings'!$B$7*100),""))</f>
        <v>100</v>
      </c>
      <c r="T301" s="37">
        <f>IF(J301="","",IFERROR(MIN(100,J301/'Input &amp; Settings'!$B$8*100),""))</f>
        <v>70</v>
      </c>
      <c r="U301" s="37">
        <f>IF(K301="","",IFERROR(MIN(100,K301/'Input &amp; Settings'!$B$9*100),""))</f>
        <v>100</v>
      </c>
      <c r="V301" s="37">
        <f>IF(L301="","",IFERROR(MIN(100,L301/'Input &amp; Settings'!$B$10*100),""))</f>
        <v>100</v>
      </c>
      <c r="W301" s="37">
        <f>IF(M301="","",IFERROR(IF(M301&lt;='Input &amp; Settings'!$B$11,100,MAX(0,100-(M301-'Input &amp; Settings'!$B$11)*20)),""))</f>
        <v>100</v>
      </c>
      <c r="X301" s="37">
        <f>IF(N301="","",IFERROR(MIN(100,N301/'Input &amp; Settings'!$B$12*100),""))</f>
        <v>0</v>
      </c>
      <c r="Y301" s="37">
        <f>IF(O301="","",IFERROR(MIN(100,O301/'Input &amp; Settings'!$B$13*100),""))</f>
        <v>0</v>
      </c>
      <c r="Z301" s="37">
        <f>IF(P301="","",IFERROR(IF(P301&lt;='Input &amp; Settings'!$B$14,100,MAX(0,100-(P301-'Input &amp; Settings'!$B$14)*20)),""))</f>
        <v>100</v>
      </c>
      <c r="AA301" s="37">
        <f>IF(COUNTA(G301:P301)=0,"",ROUND(Q301*'Input &amp; Settings'!$C$5+R301*'Input &amp; Settings'!$C$6+S301*'Input &amp; Settings'!$C$7+T301*'Input &amp; Settings'!$C$8+U301*'Input &amp; Settings'!$C$9+V301*'Input &amp; Settings'!$C$10+W301*'Input &amp; Settings'!$C$11+X301*'Input &amp; Settings'!$C$12+Y301*'Input &amp; Settings'!$C$13+Z301*'Input &amp; Settings'!$C$14,1))</f>
        <v>66.8</v>
      </c>
      <c r="AB301" s="38" t="str">
        <f>IF(OR(AA301="",E301=""),"",IFERROR(IF(AA301&gt;=VLOOKUP(E301,'Input &amp; Settings'!$F$5:$K$10,3,FALSE),"Outstanding",IF(AA301&gt;=VLOOKUP(E301,'Input &amp; Settings'!$F$5:$K$10,4,FALSE),"Exceeds Expectations",IF(AA301&gt;=VLOOKUP(E301,'Input &amp; Settings'!$F$5:$K$10,5,FALSE),"Meets Expectations",IF(AA301&gt;=VLOOKUP(E301,'Input &amp; Settings'!$F$5:$K$10,6,FALSE),"Needs Improvement","Performance Improvement Required")))),""))</f>
        <v>Meets Expectations</v>
      </c>
      <c r="AC301" s="38" t="str">
        <f t="shared" si="16"/>
        <v>Entered</v>
      </c>
      <c r="AD301" s="39"/>
      <c r="AE301" s="40"/>
      <c r="AF301" s="41">
        <f t="shared" si="17"/>
        <v>66.8</v>
      </c>
      <c r="AG301" s="42" t="str">
        <f t="shared" si="18"/>
        <v>Meets Expectations</v>
      </c>
      <c r="AH301" s="42" t="str">
        <f t="shared" si="19"/>
        <v>Peter Gonzalez|August</v>
      </c>
    </row>
    <row r="302" spans="1:34" hidden="1">
      <c r="A302" s="32">
        <v>2026</v>
      </c>
      <c r="B302" s="32" t="s">
        <v>93</v>
      </c>
      <c r="C302" s="32" t="s">
        <v>36</v>
      </c>
      <c r="D302" s="32" t="s">
        <v>42</v>
      </c>
      <c r="E302" s="33"/>
      <c r="F302" s="34" t="str">
        <f>IF(E302="","",IFERROR(VLOOKUP(E302,'Input &amp; Settings'!$F$5:$G$10,2,FALSE),""))</f>
        <v/>
      </c>
      <c r="G302" s="33"/>
      <c r="H302" s="33"/>
      <c r="I302" s="35"/>
      <c r="J302" s="33"/>
      <c r="K302" s="36"/>
      <c r="L302" s="35"/>
      <c r="M302" s="33"/>
      <c r="N302" s="33"/>
      <c r="O302" s="33"/>
      <c r="P302" s="33"/>
      <c r="Q302" s="37" t="str">
        <f>IF(G302="","",IFERROR(MIN(100,G302/'Input &amp; Settings'!$B$5*100),""))</f>
        <v/>
      </c>
      <c r="R302" s="37" t="str">
        <f>IF(H302="","",IFERROR(MIN(100,H302/'Input &amp; Settings'!$B$6*100),""))</f>
        <v/>
      </c>
      <c r="S302" s="37" t="str">
        <f>IF(I302="","",IFERROR(MIN(100,I302/'Input &amp; Settings'!$B$7*100),""))</f>
        <v/>
      </c>
      <c r="T302" s="37" t="str">
        <f>IF(J302="","",IFERROR(MIN(100,J302/'Input &amp; Settings'!$B$8*100),""))</f>
        <v/>
      </c>
      <c r="U302" s="37" t="str">
        <f>IF(K302="","",IFERROR(MIN(100,K302/'Input &amp; Settings'!$B$9*100),""))</f>
        <v/>
      </c>
      <c r="V302" s="37" t="str">
        <f>IF(L302="","",IFERROR(MIN(100,L302/'Input &amp; Settings'!$B$10*100),""))</f>
        <v/>
      </c>
      <c r="W302" s="37" t="str">
        <f>IF(M302="","",IFERROR(IF(M302&lt;='Input &amp; Settings'!$B$11,100,MAX(0,100-(M302-'Input &amp; Settings'!$B$11)*20)),""))</f>
        <v/>
      </c>
      <c r="X302" s="37" t="str">
        <f>IF(N302="","",IFERROR(MIN(100,N302/'Input &amp; Settings'!$B$12*100),""))</f>
        <v/>
      </c>
      <c r="Y302" s="37" t="str">
        <f>IF(O302="","",IFERROR(MIN(100,O302/'Input &amp; Settings'!$B$13*100),""))</f>
        <v/>
      </c>
      <c r="Z302" s="37" t="str">
        <f>IF(P302="","",IFERROR(IF(P302&lt;='Input &amp; Settings'!$B$14,100,MAX(0,100-(P302-'Input &amp; Settings'!$B$14)*20)),""))</f>
        <v/>
      </c>
      <c r="AA302" s="37" t="str">
        <f>IF(COUNTA(G302:P302)=0,"",ROUND(Q302*'Input &amp; Settings'!$C$5+R302*'Input &amp; Settings'!$C$6+S302*'Input &amp; Settings'!$C$7+T302*'Input &amp; Settings'!$C$8+U302*'Input &amp; Settings'!$C$9+V302*'Input &amp; Settings'!$C$10+W302*'Input &amp; Settings'!$C$11+X302*'Input &amp; Settings'!$C$12+Y302*'Input &amp; Settings'!$C$13+Z302*'Input &amp; Settings'!$C$14,1))</f>
        <v/>
      </c>
      <c r="AB302" s="38" t="str">
        <f>IF(OR(AA302="",E302=""),"",IFERROR(IF(AA302&gt;=VLOOKUP(E302,'Input &amp; Settings'!$F$5:$K$10,3,FALSE),"Outstanding",IF(AA302&gt;=VLOOKUP(E302,'Input &amp; Settings'!$F$5:$K$10,4,FALSE),"Exceeds Expectations",IF(AA302&gt;=VLOOKUP(E302,'Input &amp; Settings'!$F$5:$K$10,5,FALSE),"Meets Expectations",IF(AA302&gt;=VLOOKUP(E302,'Input &amp; Settings'!$F$5:$K$10,6,FALSE),"Needs Improvement","Performance Improvement Required")))),""))</f>
        <v/>
      </c>
      <c r="AC302" s="38" t="str">
        <f t="shared" si="16"/>
        <v/>
      </c>
      <c r="AD302" s="39"/>
      <c r="AE302" s="40"/>
      <c r="AF302" s="41" t="str">
        <f t="shared" si="17"/>
        <v/>
      </c>
      <c r="AG302" s="42" t="str">
        <f t="shared" si="18"/>
        <v/>
      </c>
      <c r="AH302" s="42" t="str">
        <f t="shared" si="19"/>
        <v>Dennis Hartling|August</v>
      </c>
    </row>
    <row r="303" spans="1:34" hidden="1">
      <c r="A303" s="32">
        <v>2026</v>
      </c>
      <c r="B303" s="32" t="s">
        <v>93</v>
      </c>
      <c r="C303" s="32" t="s">
        <v>36</v>
      </c>
      <c r="D303" s="32" t="s">
        <v>43</v>
      </c>
      <c r="E303" s="33"/>
      <c r="F303" s="34" t="str">
        <f>IF(E303="","",IFERROR(VLOOKUP(E303,'Input &amp; Settings'!$F$5:$G$10,2,FALSE),""))</f>
        <v/>
      </c>
      <c r="G303" s="33"/>
      <c r="H303" s="33"/>
      <c r="I303" s="35"/>
      <c r="J303" s="33"/>
      <c r="K303" s="36"/>
      <c r="L303" s="35"/>
      <c r="M303" s="33"/>
      <c r="N303" s="33"/>
      <c r="O303" s="33"/>
      <c r="P303" s="33"/>
      <c r="Q303" s="37" t="str">
        <f>IF(G303="","",IFERROR(MIN(100,G303/'Input &amp; Settings'!$B$5*100),""))</f>
        <v/>
      </c>
      <c r="R303" s="37" t="str">
        <f>IF(H303="","",IFERROR(MIN(100,H303/'Input &amp; Settings'!$B$6*100),""))</f>
        <v/>
      </c>
      <c r="S303" s="37" t="str">
        <f>IF(I303="","",IFERROR(MIN(100,I303/'Input &amp; Settings'!$B$7*100),""))</f>
        <v/>
      </c>
      <c r="T303" s="37" t="str">
        <f>IF(J303="","",IFERROR(MIN(100,J303/'Input &amp; Settings'!$B$8*100),""))</f>
        <v/>
      </c>
      <c r="U303" s="37" t="str">
        <f>IF(K303="","",IFERROR(MIN(100,K303/'Input &amp; Settings'!$B$9*100),""))</f>
        <v/>
      </c>
      <c r="V303" s="37" t="str">
        <f>IF(L303="","",IFERROR(MIN(100,L303/'Input &amp; Settings'!$B$10*100),""))</f>
        <v/>
      </c>
      <c r="W303" s="37" t="str">
        <f>IF(M303="","",IFERROR(IF(M303&lt;='Input &amp; Settings'!$B$11,100,MAX(0,100-(M303-'Input &amp; Settings'!$B$11)*20)),""))</f>
        <v/>
      </c>
      <c r="X303" s="37" t="str">
        <f>IF(N303="","",IFERROR(MIN(100,N303/'Input &amp; Settings'!$B$12*100),""))</f>
        <v/>
      </c>
      <c r="Y303" s="37" t="str">
        <f>IF(O303="","",IFERROR(MIN(100,O303/'Input &amp; Settings'!$B$13*100),""))</f>
        <v/>
      </c>
      <c r="Z303" s="37" t="str">
        <f>IF(P303="","",IFERROR(IF(P303&lt;='Input &amp; Settings'!$B$14,100,MAX(0,100-(P303-'Input &amp; Settings'!$B$14)*20)),""))</f>
        <v/>
      </c>
      <c r="AA303" s="37" t="str">
        <f>IF(COUNTA(G303:P303)=0,"",ROUND(Q303*'Input &amp; Settings'!$C$5+R303*'Input &amp; Settings'!$C$6+S303*'Input &amp; Settings'!$C$7+T303*'Input &amp; Settings'!$C$8+U303*'Input &amp; Settings'!$C$9+V303*'Input &amp; Settings'!$C$10+W303*'Input &amp; Settings'!$C$11+X303*'Input &amp; Settings'!$C$12+Y303*'Input &amp; Settings'!$C$13+Z303*'Input &amp; Settings'!$C$14,1))</f>
        <v/>
      </c>
      <c r="AB303" s="38" t="str">
        <f>IF(OR(AA303="",E303=""),"",IFERROR(IF(AA303&gt;=VLOOKUP(E303,'Input &amp; Settings'!$F$5:$K$10,3,FALSE),"Outstanding",IF(AA303&gt;=VLOOKUP(E303,'Input &amp; Settings'!$F$5:$K$10,4,FALSE),"Exceeds Expectations",IF(AA303&gt;=VLOOKUP(E303,'Input &amp; Settings'!$F$5:$K$10,5,FALSE),"Meets Expectations",IF(AA303&gt;=VLOOKUP(E303,'Input &amp; Settings'!$F$5:$K$10,6,FALSE),"Needs Improvement","Performance Improvement Required")))),""))</f>
        <v/>
      </c>
      <c r="AC303" s="38" t="str">
        <f t="shared" si="16"/>
        <v/>
      </c>
      <c r="AD303" s="39"/>
      <c r="AE303" s="40"/>
      <c r="AF303" s="41" t="str">
        <f t="shared" si="17"/>
        <v/>
      </c>
      <c r="AG303" s="42" t="str">
        <f t="shared" si="18"/>
        <v/>
      </c>
      <c r="AH303" s="42" t="str">
        <f t="shared" si="19"/>
        <v>Gilbert Eugene|August</v>
      </c>
    </row>
    <row r="304" spans="1:34" hidden="1">
      <c r="A304" s="32">
        <v>2026</v>
      </c>
      <c r="B304" s="32" t="s">
        <v>93</v>
      </c>
      <c r="C304" s="32" t="s">
        <v>36</v>
      </c>
      <c r="D304" s="32" t="s">
        <v>44</v>
      </c>
      <c r="E304" s="33"/>
      <c r="F304" s="34" t="str">
        <f>IF(E304="","",IFERROR(VLOOKUP(E304,'Input &amp; Settings'!$F$5:$G$10,2,FALSE),""))</f>
        <v/>
      </c>
      <c r="G304" s="33"/>
      <c r="H304" s="33"/>
      <c r="I304" s="35"/>
      <c r="J304" s="33"/>
      <c r="K304" s="36"/>
      <c r="L304" s="35"/>
      <c r="M304" s="33"/>
      <c r="N304" s="33"/>
      <c r="O304" s="33"/>
      <c r="P304" s="33"/>
      <c r="Q304" s="37" t="str">
        <f>IF(G304="","",IFERROR(MIN(100,G304/'Input &amp; Settings'!$B$5*100),""))</f>
        <v/>
      </c>
      <c r="R304" s="37" t="str">
        <f>IF(H304="","",IFERROR(MIN(100,H304/'Input &amp; Settings'!$B$6*100),""))</f>
        <v/>
      </c>
      <c r="S304" s="37" t="str">
        <f>IF(I304="","",IFERROR(MIN(100,I304/'Input &amp; Settings'!$B$7*100),""))</f>
        <v/>
      </c>
      <c r="T304" s="37" t="str">
        <f>IF(J304="","",IFERROR(MIN(100,J304/'Input &amp; Settings'!$B$8*100),""))</f>
        <v/>
      </c>
      <c r="U304" s="37" t="str">
        <f>IF(K304="","",IFERROR(MIN(100,K304/'Input &amp; Settings'!$B$9*100),""))</f>
        <v/>
      </c>
      <c r="V304" s="37" t="str">
        <f>IF(L304="","",IFERROR(MIN(100,L304/'Input &amp; Settings'!$B$10*100),""))</f>
        <v/>
      </c>
      <c r="W304" s="37" t="str">
        <f>IF(M304="","",IFERROR(IF(M304&lt;='Input &amp; Settings'!$B$11,100,MAX(0,100-(M304-'Input &amp; Settings'!$B$11)*20)),""))</f>
        <v/>
      </c>
      <c r="X304" s="37" t="str">
        <f>IF(N304="","",IFERROR(MIN(100,N304/'Input &amp; Settings'!$B$12*100),""))</f>
        <v/>
      </c>
      <c r="Y304" s="37" t="str">
        <f>IF(O304="","",IFERROR(MIN(100,O304/'Input &amp; Settings'!$B$13*100),""))</f>
        <v/>
      </c>
      <c r="Z304" s="37" t="str">
        <f>IF(P304="","",IFERROR(IF(P304&lt;='Input &amp; Settings'!$B$14,100,MAX(0,100-(P304-'Input &amp; Settings'!$B$14)*20)),""))</f>
        <v/>
      </c>
      <c r="AA304" s="37" t="str">
        <f>IF(COUNTA(G304:P304)=0,"",ROUND(Q304*'Input &amp; Settings'!$C$5+R304*'Input &amp; Settings'!$C$6+S304*'Input &amp; Settings'!$C$7+T304*'Input &amp; Settings'!$C$8+U304*'Input &amp; Settings'!$C$9+V304*'Input &amp; Settings'!$C$10+W304*'Input &amp; Settings'!$C$11+X304*'Input &amp; Settings'!$C$12+Y304*'Input &amp; Settings'!$C$13+Z304*'Input &amp; Settings'!$C$14,1))</f>
        <v/>
      </c>
      <c r="AB304" s="38" t="str">
        <f>IF(OR(AA304="",E304=""),"",IFERROR(IF(AA304&gt;=VLOOKUP(E304,'Input &amp; Settings'!$F$5:$K$10,3,FALSE),"Outstanding",IF(AA304&gt;=VLOOKUP(E304,'Input &amp; Settings'!$F$5:$K$10,4,FALSE),"Exceeds Expectations",IF(AA304&gt;=VLOOKUP(E304,'Input &amp; Settings'!$F$5:$K$10,5,FALSE),"Meets Expectations",IF(AA304&gt;=VLOOKUP(E304,'Input &amp; Settings'!$F$5:$K$10,6,FALSE),"Needs Improvement","Performance Improvement Required")))),""))</f>
        <v/>
      </c>
      <c r="AC304" s="38" t="str">
        <f t="shared" si="16"/>
        <v/>
      </c>
      <c r="AD304" s="39"/>
      <c r="AE304" s="40"/>
      <c r="AF304" s="41" t="str">
        <f t="shared" si="17"/>
        <v/>
      </c>
      <c r="AG304" s="42" t="str">
        <f t="shared" si="18"/>
        <v/>
      </c>
      <c r="AH304" s="42" t="str">
        <f t="shared" si="19"/>
        <v>Cory Colstock|August</v>
      </c>
    </row>
    <row r="305" spans="1:34" hidden="1">
      <c r="A305" s="32">
        <v>2026</v>
      </c>
      <c r="B305" s="32" t="s">
        <v>93</v>
      </c>
      <c r="C305" s="32" t="s">
        <v>36</v>
      </c>
      <c r="D305" s="32" t="s">
        <v>45</v>
      </c>
      <c r="E305" s="33"/>
      <c r="F305" s="34" t="str">
        <f>IF(E305="","",IFERROR(VLOOKUP(E305,'Input &amp; Settings'!$F$5:$G$10,2,FALSE),""))</f>
        <v/>
      </c>
      <c r="G305" s="33"/>
      <c r="H305" s="33"/>
      <c r="I305" s="35"/>
      <c r="J305" s="33"/>
      <c r="K305" s="36"/>
      <c r="L305" s="35"/>
      <c r="M305" s="33"/>
      <c r="N305" s="33"/>
      <c r="O305" s="33"/>
      <c r="P305" s="33"/>
      <c r="Q305" s="37" t="str">
        <f>IF(G305="","",IFERROR(MIN(100,G305/'Input &amp; Settings'!$B$5*100),""))</f>
        <v/>
      </c>
      <c r="R305" s="37" t="str">
        <f>IF(H305="","",IFERROR(MIN(100,H305/'Input &amp; Settings'!$B$6*100),""))</f>
        <v/>
      </c>
      <c r="S305" s="37" t="str">
        <f>IF(I305="","",IFERROR(MIN(100,I305/'Input &amp; Settings'!$B$7*100),""))</f>
        <v/>
      </c>
      <c r="T305" s="37" t="str">
        <f>IF(J305="","",IFERROR(MIN(100,J305/'Input &amp; Settings'!$B$8*100),""))</f>
        <v/>
      </c>
      <c r="U305" s="37" t="str">
        <f>IF(K305="","",IFERROR(MIN(100,K305/'Input &amp; Settings'!$B$9*100),""))</f>
        <v/>
      </c>
      <c r="V305" s="37" t="str">
        <f>IF(L305="","",IFERROR(MIN(100,L305/'Input &amp; Settings'!$B$10*100),""))</f>
        <v/>
      </c>
      <c r="W305" s="37" t="str">
        <f>IF(M305="","",IFERROR(IF(M305&lt;='Input &amp; Settings'!$B$11,100,MAX(0,100-(M305-'Input &amp; Settings'!$B$11)*20)),""))</f>
        <v/>
      </c>
      <c r="X305" s="37" t="str">
        <f>IF(N305="","",IFERROR(MIN(100,N305/'Input &amp; Settings'!$B$12*100),""))</f>
        <v/>
      </c>
      <c r="Y305" s="37" t="str">
        <f>IF(O305="","",IFERROR(MIN(100,O305/'Input &amp; Settings'!$B$13*100),""))</f>
        <v/>
      </c>
      <c r="Z305" s="37" t="str">
        <f>IF(P305="","",IFERROR(IF(P305&lt;='Input &amp; Settings'!$B$14,100,MAX(0,100-(P305-'Input &amp; Settings'!$B$14)*20)),""))</f>
        <v/>
      </c>
      <c r="AA305" s="37" t="str">
        <f>IF(COUNTA(G305:P305)=0,"",ROUND(Q305*'Input &amp; Settings'!$C$5+R305*'Input &amp; Settings'!$C$6+S305*'Input &amp; Settings'!$C$7+T305*'Input &amp; Settings'!$C$8+U305*'Input &amp; Settings'!$C$9+V305*'Input &amp; Settings'!$C$10+W305*'Input &amp; Settings'!$C$11+X305*'Input &amp; Settings'!$C$12+Y305*'Input &amp; Settings'!$C$13+Z305*'Input &amp; Settings'!$C$14,1))</f>
        <v/>
      </c>
      <c r="AB305" s="38" t="str">
        <f>IF(OR(AA305="",E305=""),"",IFERROR(IF(AA305&gt;=VLOOKUP(E305,'Input &amp; Settings'!$F$5:$K$10,3,FALSE),"Outstanding",IF(AA305&gt;=VLOOKUP(E305,'Input &amp; Settings'!$F$5:$K$10,4,FALSE),"Exceeds Expectations",IF(AA305&gt;=VLOOKUP(E305,'Input &amp; Settings'!$F$5:$K$10,5,FALSE),"Meets Expectations",IF(AA305&gt;=VLOOKUP(E305,'Input &amp; Settings'!$F$5:$K$10,6,FALSE),"Needs Improvement","Performance Improvement Required")))),""))</f>
        <v/>
      </c>
      <c r="AC305" s="38" t="str">
        <f t="shared" si="16"/>
        <v/>
      </c>
      <c r="AD305" s="39"/>
      <c r="AE305" s="40"/>
      <c r="AF305" s="41" t="str">
        <f t="shared" si="17"/>
        <v/>
      </c>
      <c r="AG305" s="42" t="str">
        <f t="shared" si="18"/>
        <v/>
      </c>
      <c r="AH305" s="42" t="str">
        <f t="shared" si="19"/>
        <v>Jerald Woodward (Jerry)|August</v>
      </c>
    </row>
    <row r="306" spans="1:34" hidden="1">
      <c r="A306" s="32">
        <v>2026</v>
      </c>
      <c r="B306" s="32" t="s">
        <v>93</v>
      </c>
      <c r="C306" s="32" t="s">
        <v>36</v>
      </c>
      <c r="D306" s="32" t="s">
        <v>46</v>
      </c>
      <c r="E306" s="33" t="s">
        <v>86</v>
      </c>
      <c r="F306" s="34" t="str">
        <f>IF(E306="","",IFERROR(VLOOKUP(E306,'Input &amp; Settings'!$F$5:$G$10,2,FALSE),""))</f>
        <v>High</v>
      </c>
      <c r="G306" s="33">
        <v>15</v>
      </c>
      <c r="H306" s="33">
        <v>17</v>
      </c>
      <c r="I306" s="35">
        <v>1</v>
      </c>
      <c r="J306" s="33">
        <v>2</v>
      </c>
      <c r="K306" s="36">
        <v>5</v>
      </c>
      <c r="L306" s="35">
        <v>1</v>
      </c>
      <c r="M306" s="33">
        <v>0</v>
      </c>
      <c r="N306" s="33">
        <v>0</v>
      </c>
      <c r="O306" s="33">
        <v>1</v>
      </c>
      <c r="P306" s="33">
        <v>1</v>
      </c>
      <c r="Q306" s="37">
        <f>IF(G306="","",IFERROR(MIN(100,G306/'Input &amp; Settings'!$B$5*100),""))</f>
        <v>20</v>
      </c>
      <c r="R306" s="37">
        <f>IF(H306="","",IFERROR(MIN(100,H306/'Input &amp; Settings'!$B$6*100),""))</f>
        <v>21.25</v>
      </c>
      <c r="S306" s="37">
        <f>IF(I306="","",IFERROR(MIN(100,I306/'Input &amp; Settings'!$B$7*100),""))</f>
        <v>100</v>
      </c>
      <c r="T306" s="37">
        <f>IF(J306="","",IFERROR(MIN(100,J306/'Input &amp; Settings'!$B$8*100),""))</f>
        <v>10</v>
      </c>
      <c r="U306" s="37">
        <f>IF(K306="","",IFERROR(MIN(100,K306/'Input &amp; Settings'!$B$9*100),""))</f>
        <v>100</v>
      </c>
      <c r="V306" s="37">
        <f>IF(L306="","",IFERROR(MIN(100,L306/'Input &amp; Settings'!$B$10*100),""))</f>
        <v>100</v>
      </c>
      <c r="W306" s="37">
        <f>IF(M306="","",IFERROR(IF(M306&lt;='Input &amp; Settings'!$B$11,100,MAX(0,100-(M306-'Input &amp; Settings'!$B$11)*20)),""))</f>
        <v>100</v>
      </c>
      <c r="X306" s="37">
        <f>IF(N306="","",IFERROR(MIN(100,N306/'Input &amp; Settings'!$B$12*100),""))</f>
        <v>0</v>
      </c>
      <c r="Y306" s="37">
        <f>IF(O306="","",IFERROR(MIN(100,O306/'Input &amp; Settings'!$B$13*100),""))</f>
        <v>50</v>
      </c>
      <c r="Z306" s="37">
        <f>IF(P306="","",IFERROR(IF(P306&lt;='Input &amp; Settings'!$B$14,100,MAX(0,100-(P306-'Input &amp; Settings'!$B$14)*20)),""))</f>
        <v>100</v>
      </c>
      <c r="AA306" s="37">
        <f>IF(COUNTA(G306:P306)=0,"",ROUND(Q306*'Input &amp; Settings'!$C$5+R306*'Input &amp; Settings'!$C$6+S306*'Input &amp; Settings'!$C$7+T306*'Input &amp; Settings'!$C$8+U306*'Input &amp; Settings'!$C$9+V306*'Input &amp; Settings'!$C$10+W306*'Input &amp; Settings'!$C$11+X306*'Input &amp; Settings'!$C$12+Y306*'Input &amp; Settings'!$C$13+Z306*'Input &amp; Settings'!$C$14,1))</f>
        <v>63.6</v>
      </c>
      <c r="AB306" s="38" t="str">
        <f>IF(OR(AA306="",E306=""),"",IFERROR(IF(AA306&gt;=VLOOKUP(E306,'Input &amp; Settings'!$F$5:$K$10,3,FALSE),"Outstanding",IF(AA306&gt;=VLOOKUP(E306,'Input &amp; Settings'!$F$5:$K$10,4,FALSE),"Exceeds Expectations",IF(AA306&gt;=VLOOKUP(E306,'Input &amp; Settings'!$F$5:$K$10,5,FALSE),"Meets Expectations",IF(AA306&gt;=VLOOKUP(E306,'Input &amp; Settings'!$F$5:$K$10,6,FALSE),"Needs Improvement","Performance Improvement Required")))),""))</f>
        <v>Meets Expectations</v>
      </c>
      <c r="AC306" s="38" t="str">
        <f t="shared" si="16"/>
        <v>Entered</v>
      </c>
      <c r="AD306" s="39"/>
      <c r="AE306" s="40"/>
      <c r="AF306" s="41">
        <f t="shared" si="17"/>
        <v>63.6</v>
      </c>
      <c r="AG306" s="42" t="str">
        <f t="shared" si="18"/>
        <v>Meets Expectations</v>
      </c>
      <c r="AH306" s="42" t="str">
        <f t="shared" si="19"/>
        <v>Alvaro Hernandez|August</v>
      </c>
    </row>
    <row r="307" spans="1:34" hidden="1">
      <c r="A307" s="32">
        <v>2026</v>
      </c>
      <c r="B307" s="32" t="s">
        <v>93</v>
      </c>
      <c r="C307" s="32" t="s">
        <v>36</v>
      </c>
      <c r="D307" s="32" t="s">
        <v>47</v>
      </c>
      <c r="E307" s="33"/>
      <c r="F307" s="34" t="str">
        <f>IF(E307="","",IFERROR(VLOOKUP(E307,'Input &amp; Settings'!$F$5:$G$10,2,FALSE),""))</f>
        <v/>
      </c>
      <c r="G307" s="33"/>
      <c r="H307" s="33"/>
      <c r="I307" s="35"/>
      <c r="J307" s="33"/>
      <c r="K307" s="36"/>
      <c r="L307" s="35"/>
      <c r="M307" s="33"/>
      <c r="N307" s="33"/>
      <c r="O307" s="33"/>
      <c r="P307" s="33"/>
      <c r="Q307" s="37" t="str">
        <f>IF(G307="","",IFERROR(MIN(100,G307/'Input &amp; Settings'!$B$5*100),""))</f>
        <v/>
      </c>
      <c r="R307" s="37" t="str">
        <f>IF(H307="","",IFERROR(MIN(100,H307/'Input &amp; Settings'!$B$6*100),""))</f>
        <v/>
      </c>
      <c r="S307" s="37" t="str">
        <f>IF(I307="","",IFERROR(MIN(100,I307/'Input &amp; Settings'!$B$7*100),""))</f>
        <v/>
      </c>
      <c r="T307" s="37" t="str">
        <f>IF(J307="","",IFERROR(MIN(100,J307/'Input &amp; Settings'!$B$8*100),""))</f>
        <v/>
      </c>
      <c r="U307" s="37" t="str">
        <f>IF(K307="","",IFERROR(MIN(100,K307/'Input &amp; Settings'!$B$9*100),""))</f>
        <v/>
      </c>
      <c r="V307" s="37" t="str">
        <f>IF(L307="","",IFERROR(MIN(100,L307/'Input &amp; Settings'!$B$10*100),""))</f>
        <v/>
      </c>
      <c r="W307" s="37" t="str">
        <f>IF(M307="","",IFERROR(IF(M307&lt;='Input &amp; Settings'!$B$11,100,MAX(0,100-(M307-'Input &amp; Settings'!$B$11)*20)),""))</f>
        <v/>
      </c>
      <c r="X307" s="37" t="str">
        <f>IF(N307="","",IFERROR(MIN(100,N307/'Input &amp; Settings'!$B$12*100),""))</f>
        <v/>
      </c>
      <c r="Y307" s="37" t="str">
        <f>IF(O307="","",IFERROR(MIN(100,O307/'Input &amp; Settings'!$B$13*100),""))</f>
        <v/>
      </c>
      <c r="Z307" s="37" t="str">
        <f>IF(P307="","",IFERROR(IF(P307&lt;='Input &amp; Settings'!$B$14,100,MAX(0,100-(P307-'Input &amp; Settings'!$B$14)*20)),""))</f>
        <v/>
      </c>
      <c r="AA307" s="37" t="str">
        <f>IF(COUNTA(G307:P307)=0,"",ROUND(Q307*'Input &amp; Settings'!$C$5+R307*'Input &amp; Settings'!$C$6+S307*'Input &amp; Settings'!$C$7+T307*'Input &amp; Settings'!$C$8+U307*'Input &amp; Settings'!$C$9+V307*'Input &amp; Settings'!$C$10+W307*'Input &amp; Settings'!$C$11+X307*'Input &amp; Settings'!$C$12+Y307*'Input &amp; Settings'!$C$13+Z307*'Input &amp; Settings'!$C$14,1))</f>
        <v/>
      </c>
      <c r="AB307" s="38" t="str">
        <f>IF(OR(AA307="",E307=""),"",IFERROR(IF(AA307&gt;=VLOOKUP(E307,'Input &amp; Settings'!$F$5:$K$10,3,FALSE),"Outstanding",IF(AA307&gt;=VLOOKUP(E307,'Input &amp; Settings'!$F$5:$K$10,4,FALSE),"Exceeds Expectations",IF(AA307&gt;=VLOOKUP(E307,'Input &amp; Settings'!$F$5:$K$10,5,FALSE),"Meets Expectations",IF(AA307&gt;=VLOOKUP(E307,'Input &amp; Settings'!$F$5:$K$10,6,FALSE),"Needs Improvement","Performance Improvement Required")))),""))</f>
        <v/>
      </c>
      <c r="AC307" s="38" t="str">
        <f t="shared" si="16"/>
        <v/>
      </c>
      <c r="AD307" s="39"/>
      <c r="AE307" s="40"/>
      <c r="AF307" s="41" t="str">
        <f t="shared" si="17"/>
        <v/>
      </c>
      <c r="AG307" s="42" t="str">
        <f t="shared" si="18"/>
        <v/>
      </c>
      <c r="AH307" s="42" t="str">
        <f t="shared" si="19"/>
        <v>Sarah Clervil|August</v>
      </c>
    </row>
    <row r="308" spans="1:34" hidden="1">
      <c r="A308" s="32">
        <v>2026</v>
      </c>
      <c r="B308" s="32" t="s">
        <v>93</v>
      </c>
      <c r="C308" s="32" t="s">
        <v>36</v>
      </c>
      <c r="D308" s="32" t="s">
        <v>48</v>
      </c>
      <c r="E308" s="33"/>
      <c r="F308" s="34" t="str">
        <f>IF(E308="","",IFERROR(VLOOKUP(E308,'Input &amp; Settings'!$F$5:$G$10,2,FALSE),""))</f>
        <v/>
      </c>
      <c r="G308" s="33"/>
      <c r="H308" s="33"/>
      <c r="I308" s="35"/>
      <c r="J308" s="33"/>
      <c r="K308" s="36"/>
      <c r="L308" s="35"/>
      <c r="M308" s="33"/>
      <c r="N308" s="33"/>
      <c r="O308" s="33"/>
      <c r="P308" s="33"/>
      <c r="Q308" s="37" t="str">
        <f>IF(G308="","",IFERROR(MIN(100,G308/'Input &amp; Settings'!$B$5*100),""))</f>
        <v/>
      </c>
      <c r="R308" s="37" t="str">
        <f>IF(H308="","",IFERROR(MIN(100,H308/'Input &amp; Settings'!$B$6*100),""))</f>
        <v/>
      </c>
      <c r="S308" s="37" t="str">
        <f>IF(I308="","",IFERROR(MIN(100,I308/'Input &amp; Settings'!$B$7*100),""))</f>
        <v/>
      </c>
      <c r="T308" s="37" t="str">
        <f>IF(J308="","",IFERROR(MIN(100,J308/'Input &amp; Settings'!$B$8*100),""))</f>
        <v/>
      </c>
      <c r="U308" s="37" t="str">
        <f>IF(K308="","",IFERROR(MIN(100,K308/'Input &amp; Settings'!$B$9*100),""))</f>
        <v/>
      </c>
      <c r="V308" s="37" t="str">
        <f>IF(L308="","",IFERROR(MIN(100,L308/'Input &amp; Settings'!$B$10*100),""))</f>
        <v/>
      </c>
      <c r="W308" s="37" t="str">
        <f>IF(M308="","",IFERROR(IF(M308&lt;='Input &amp; Settings'!$B$11,100,MAX(0,100-(M308-'Input &amp; Settings'!$B$11)*20)),""))</f>
        <v/>
      </c>
      <c r="X308" s="37" t="str">
        <f>IF(N308="","",IFERROR(MIN(100,N308/'Input &amp; Settings'!$B$12*100),""))</f>
        <v/>
      </c>
      <c r="Y308" s="37" t="str">
        <f>IF(O308="","",IFERROR(MIN(100,O308/'Input &amp; Settings'!$B$13*100),""))</f>
        <v/>
      </c>
      <c r="Z308" s="37" t="str">
        <f>IF(P308="","",IFERROR(IF(P308&lt;='Input &amp; Settings'!$B$14,100,MAX(0,100-(P308-'Input &amp; Settings'!$B$14)*20)),""))</f>
        <v/>
      </c>
      <c r="AA308" s="37" t="str">
        <f>IF(COUNTA(G308:P308)=0,"",ROUND(Q308*'Input &amp; Settings'!$C$5+R308*'Input &amp; Settings'!$C$6+S308*'Input &amp; Settings'!$C$7+T308*'Input &amp; Settings'!$C$8+U308*'Input &amp; Settings'!$C$9+V308*'Input &amp; Settings'!$C$10+W308*'Input &amp; Settings'!$C$11+X308*'Input &amp; Settings'!$C$12+Y308*'Input &amp; Settings'!$C$13+Z308*'Input &amp; Settings'!$C$14,1))</f>
        <v/>
      </c>
      <c r="AB308" s="38" t="str">
        <f>IF(OR(AA308="",E308=""),"",IFERROR(IF(AA308&gt;=VLOOKUP(E308,'Input &amp; Settings'!$F$5:$K$10,3,FALSE),"Outstanding",IF(AA308&gt;=VLOOKUP(E308,'Input &amp; Settings'!$F$5:$K$10,4,FALSE),"Exceeds Expectations",IF(AA308&gt;=VLOOKUP(E308,'Input &amp; Settings'!$F$5:$K$10,5,FALSE),"Meets Expectations",IF(AA308&gt;=VLOOKUP(E308,'Input &amp; Settings'!$F$5:$K$10,6,FALSE),"Needs Improvement","Performance Improvement Required")))),""))</f>
        <v/>
      </c>
      <c r="AC308" s="38" t="str">
        <f t="shared" si="16"/>
        <v/>
      </c>
      <c r="AD308" s="39"/>
      <c r="AE308" s="40"/>
      <c r="AF308" s="41" t="str">
        <f t="shared" si="17"/>
        <v/>
      </c>
      <c r="AG308" s="42" t="str">
        <f t="shared" si="18"/>
        <v/>
      </c>
      <c r="AH308" s="42" t="str">
        <f t="shared" si="19"/>
        <v>Christopher Ovid|August</v>
      </c>
    </row>
    <row r="309" spans="1:34" hidden="1">
      <c r="A309" s="32">
        <v>2026</v>
      </c>
      <c r="B309" s="32" t="s">
        <v>93</v>
      </c>
      <c r="C309" s="32" t="s">
        <v>36</v>
      </c>
      <c r="D309" s="32" t="s">
        <v>49</v>
      </c>
      <c r="E309" s="33" t="s">
        <v>86</v>
      </c>
      <c r="F309" s="34" t="str">
        <f>IF(E309="","",IFERROR(VLOOKUP(E309,'Input &amp; Settings'!$F$5:$G$10,2,FALSE),""))</f>
        <v>High</v>
      </c>
      <c r="G309" s="33"/>
      <c r="H309" s="33"/>
      <c r="I309" s="35"/>
      <c r="J309" s="33"/>
      <c r="K309" s="36"/>
      <c r="L309" s="35"/>
      <c r="M309" s="33"/>
      <c r="N309" s="33"/>
      <c r="O309" s="33"/>
      <c r="P309" s="33"/>
      <c r="Q309" s="37" t="str">
        <f>IF(G309="","",IFERROR(MIN(100,G309/'Input &amp; Settings'!$B$5*100),""))</f>
        <v/>
      </c>
      <c r="R309" s="37" t="str">
        <f>IF(H309="","",IFERROR(MIN(100,H309/'Input &amp; Settings'!$B$6*100),""))</f>
        <v/>
      </c>
      <c r="S309" s="37" t="str">
        <f>IF(I309="","",IFERROR(MIN(100,I309/'Input &amp; Settings'!$B$7*100),""))</f>
        <v/>
      </c>
      <c r="T309" s="37" t="str">
        <f>IF(J309="","",IFERROR(MIN(100,J309/'Input &amp; Settings'!$B$8*100),""))</f>
        <v/>
      </c>
      <c r="U309" s="37" t="str">
        <f>IF(K309="","",IFERROR(MIN(100,K309/'Input &amp; Settings'!$B$9*100),""))</f>
        <v/>
      </c>
      <c r="V309" s="37" t="str">
        <f>IF(L309="","",IFERROR(MIN(100,L309/'Input &amp; Settings'!$B$10*100),""))</f>
        <v/>
      </c>
      <c r="W309" s="37" t="str">
        <f>IF(M309="","",IFERROR(IF(M309&lt;='Input &amp; Settings'!$B$11,100,MAX(0,100-(M309-'Input &amp; Settings'!$B$11)*20)),""))</f>
        <v/>
      </c>
      <c r="X309" s="37" t="str">
        <f>IF(N309="","",IFERROR(MIN(100,N309/'Input &amp; Settings'!$B$12*100),""))</f>
        <v/>
      </c>
      <c r="Y309" s="37" t="str">
        <f>IF(O309="","",IFERROR(MIN(100,O309/'Input &amp; Settings'!$B$13*100),""))</f>
        <v/>
      </c>
      <c r="Z309" s="37" t="str">
        <f>IF(P309="","",IFERROR(IF(P309&lt;='Input &amp; Settings'!$B$14,100,MAX(0,100-(P309-'Input &amp; Settings'!$B$14)*20)),""))</f>
        <v/>
      </c>
      <c r="AA309" s="37" t="str">
        <f>IF(COUNTA(G309:P309)=0,"",ROUND(Q309*'Input &amp; Settings'!$C$5+R309*'Input &amp; Settings'!$C$6+S309*'Input &amp; Settings'!$C$7+T309*'Input &amp; Settings'!$C$8+U309*'Input &amp; Settings'!$C$9+V309*'Input &amp; Settings'!$C$10+W309*'Input &amp; Settings'!$C$11+X309*'Input &amp; Settings'!$C$12+Y309*'Input &amp; Settings'!$C$13+Z309*'Input &amp; Settings'!$C$14,1))</f>
        <v/>
      </c>
      <c r="AB309" s="38" t="str">
        <f>IF(OR(AA309="",E309=""),"",IFERROR(IF(AA309&gt;=VLOOKUP(E309,'Input &amp; Settings'!$F$5:$K$10,3,FALSE),"Outstanding",IF(AA309&gt;=VLOOKUP(E309,'Input &amp; Settings'!$F$5:$K$10,4,FALSE),"Exceeds Expectations",IF(AA309&gt;=VLOOKUP(E309,'Input &amp; Settings'!$F$5:$K$10,5,FALSE),"Meets Expectations",IF(AA309&gt;=VLOOKUP(E309,'Input &amp; Settings'!$F$5:$K$10,6,FALSE),"Needs Improvement","Performance Improvement Required")))),""))</f>
        <v/>
      </c>
      <c r="AC309" s="38" t="str">
        <f t="shared" si="16"/>
        <v/>
      </c>
      <c r="AD309" s="39"/>
      <c r="AE309" s="40"/>
      <c r="AF309" s="41" t="str">
        <f t="shared" si="17"/>
        <v/>
      </c>
      <c r="AG309" s="42" t="str">
        <f t="shared" si="18"/>
        <v/>
      </c>
      <c r="AH309" s="42" t="str">
        <f t="shared" si="19"/>
        <v>Rafael Godinez|August</v>
      </c>
    </row>
    <row r="310" spans="1:34" hidden="1">
      <c r="A310" s="32">
        <v>2026</v>
      </c>
      <c r="B310" s="32" t="s">
        <v>93</v>
      </c>
      <c r="C310" s="32" t="s">
        <v>36</v>
      </c>
      <c r="D310" s="32" t="s">
        <v>50</v>
      </c>
      <c r="E310" s="33" t="s">
        <v>87</v>
      </c>
      <c r="F310" s="34" t="str">
        <f>IF(E310="","",IFERROR(VLOOKUP(E310,'Input &amp; Settings'!$F$5:$G$10,2,FALSE),""))</f>
        <v>Normal</v>
      </c>
      <c r="G310" s="33">
        <v>35</v>
      </c>
      <c r="H310" s="33">
        <v>7</v>
      </c>
      <c r="I310" s="35">
        <v>1</v>
      </c>
      <c r="J310" s="33">
        <v>0</v>
      </c>
      <c r="K310" s="36">
        <v>5</v>
      </c>
      <c r="L310" s="35">
        <v>1</v>
      </c>
      <c r="M310" s="33">
        <v>1</v>
      </c>
      <c r="N310" s="33">
        <v>0</v>
      </c>
      <c r="O310" s="33">
        <v>1</v>
      </c>
      <c r="P310" s="33">
        <v>0</v>
      </c>
      <c r="Q310" s="37">
        <f>IF(G310="","",IFERROR(MIN(100,G310/'Input &amp; Settings'!$B$5*100),""))</f>
        <v>46.666666666666664</v>
      </c>
      <c r="R310" s="37">
        <f>IF(H310="","",IFERROR(MIN(100,H310/'Input &amp; Settings'!$B$6*100),""))</f>
        <v>8.75</v>
      </c>
      <c r="S310" s="37">
        <f>IF(I310="","",IFERROR(MIN(100,I310/'Input &amp; Settings'!$B$7*100),""))</f>
        <v>100</v>
      </c>
      <c r="T310" s="37">
        <f>IF(J310="","",IFERROR(MIN(100,J310/'Input &amp; Settings'!$B$8*100),""))</f>
        <v>0</v>
      </c>
      <c r="U310" s="37">
        <f>IF(K310="","",IFERROR(MIN(100,K310/'Input &amp; Settings'!$B$9*100),""))</f>
        <v>100</v>
      </c>
      <c r="V310" s="37">
        <f>IF(L310="","",IFERROR(MIN(100,L310/'Input &amp; Settings'!$B$10*100),""))</f>
        <v>100</v>
      </c>
      <c r="W310" s="37">
        <f>IF(M310="","",IFERROR(IF(M310&lt;='Input &amp; Settings'!$B$11,100,MAX(0,100-(M310-'Input &amp; Settings'!$B$11)*20)),""))</f>
        <v>100</v>
      </c>
      <c r="X310" s="37">
        <f>IF(N310="","",IFERROR(MIN(100,N310/'Input &amp; Settings'!$B$12*100),""))</f>
        <v>0</v>
      </c>
      <c r="Y310" s="37">
        <f>IF(O310="","",IFERROR(MIN(100,O310/'Input &amp; Settings'!$B$13*100),""))</f>
        <v>50</v>
      </c>
      <c r="Z310" s="37">
        <f>IF(P310="","",IFERROR(IF(P310&lt;='Input &amp; Settings'!$B$14,100,MAX(0,100-(P310-'Input &amp; Settings'!$B$14)*20)),""))</f>
        <v>100</v>
      </c>
      <c r="AA310" s="37">
        <f>IF(COUNTA(G310:P310)=0,"",ROUND(Q310*'Input &amp; Settings'!$C$5+R310*'Input &amp; Settings'!$C$6+S310*'Input &amp; Settings'!$C$7+T310*'Input &amp; Settings'!$C$8+U310*'Input &amp; Settings'!$C$9+V310*'Input &amp; Settings'!$C$10+W310*'Input &amp; Settings'!$C$11+X310*'Input &amp; Settings'!$C$12+Y310*'Input &amp; Settings'!$C$13+Z310*'Input &amp; Settings'!$C$14,1))</f>
        <v>65.400000000000006</v>
      </c>
      <c r="AB310" s="38" t="str">
        <f>IF(OR(AA310="",E310=""),"",IFERROR(IF(AA310&gt;=VLOOKUP(E310,'Input &amp; Settings'!$F$5:$K$10,3,FALSE),"Outstanding",IF(AA310&gt;=VLOOKUP(E310,'Input &amp; Settings'!$F$5:$K$10,4,FALSE),"Exceeds Expectations",IF(AA310&gt;=VLOOKUP(E310,'Input &amp; Settings'!$F$5:$K$10,5,FALSE),"Meets Expectations",IF(AA310&gt;=VLOOKUP(E310,'Input &amp; Settings'!$F$5:$K$10,6,FALSE),"Needs Improvement","Performance Improvement Required")))),""))</f>
        <v>Exceeds Expectations</v>
      </c>
      <c r="AC310" s="38" t="str">
        <f t="shared" si="16"/>
        <v>Entered</v>
      </c>
      <c r="AD310" s="39"/>
      <c r="AE310" s="40"/>
      <c r="AF310" s="41">
        <f t="shared" si="17"/>
        <v>65.400000000000006</v>
      </c>
      <c r="AG310" s="42" t="str">
        <f t="shared" si="18"/>
        <v>Exceeds Expectations</v>
      </c>
      <c r="AH310" s="42" t="str">
        <f t="shared" si="19"/>
        <v>Dennis Mayorga|August</v>
      </c>
    </row>
    <row r="311" spans="1:34" hidden="1">
      <c r="A311" s="32">
        <v>2026</v>
      </c>
      <c r="B311" s="32" t="s">
        <v>93</v>
      </c>
      <c r="C311" s="32" t="s">
        <v>36</v>
      </c>
      <c r="D311" s="32" t="s">
        <v>51</v>
      </c>
      <c r="E311" s="33" t="s">
        <v>88</v>
      </c>
      <c r="F311" s="34" t="str">
        <f>IF(E311="","",IFERROR(VLOOKUP(E311,'Input &amp; Settings'!$F$5:$G$10,2,FALSE),""))</f>
        <v>Normal</v>
      </c>
      <c r="G311" s="33"/>
      <c r="H311" s="33"/>
      <c r="I311" s="35"/>
      <c r="J311" s="33"/>
      <c r="K311" s="36"/>
      <c r="L311" s="35"/>
      <c r="M311" s="33"/>
      <c r="N311" s="33"/>
      <c r="O311" s="33"/>
      <c r="P311" s="33"/>
      <c r="Q311" s="37" t="str">
        <f>IF(G311="","",IFERROR(MIN(100,G311/'Input &amp; Settings'!$B$5*100),""))</f>
        <v/>
      </c>
      <c r="R311" s="37" t="str">
        <f>IF(H311="","",IFERROR(MIN(100,H311/'Input &amp; Settings'!$B$6*100),""))</f>
        <v/>
      </c>
      <c r="S311" s="37" t="str">
        <f>IF(I311="","",IFERROR(MIN(100,I311/'Input &amp; Settings'!$B$7*100),""))</f>
        <v/>
      </c>
      <c r="T311" s="37" t="str">
        <f>IF(J311="","",IFERROR(MIN(100,J311/'Input &amp; Settings'!$B$8*100),""))</f>
        <v/>
      </c>
      <c r="U311" s="37" t="str">
        <f>IF(K311="","",IFERROR(MIN(100,K311/'Input &amp; Settings'!$B$9*100),""))</f>
        <v/>
      </c>
      <c r="V311" s="37" t="str">
        <f>IF(L311="","",IFERROR(MIN(100,L311/'Input &amp; Settings'!$B$10*100),""))</f>
        <v/>
      </c>
      <c r="W311" s="37" t="str">
        <f>IF(M311="","",IFERROR(IF(M311&lt;='Input &amp; Settings'!$B$11,100,MAX(0,100-(M311-'Input &amp; Settings'!$B$11)*20)),""))</f>
        <v/>
      </c>
      <c r="X311" s="37" t="str">
        <f>IF(N311="","",IFERROR(MIN(100,N311/'Input &amp; Settings'!$B$12*100),""))</f>
        <v/>
      </c>
      <c r="Y311" s="37" t="str">
        <f>IF(O311="","",IFERROR(MIN(100,O311/'Input &amp; Settings'!$B$13*100),""))</f>
        <v/>
      </c>
      <c r="Z311" s="37" t="str">
        <f>IF(P311="","",IFERROR(IF(P311&lt;='Input &amp; Settings'!$B$14,100,MAX(0,100-(P311-'Input &amp; Settings'!$B$14)*20)),""))</f>
        <v/>
      </c>
      <c r="AA311" s="37" t="str">
        <f>IF(COUNTA(G311:P311)=0,"",ROUND(Q311*'Input &amp; Settings'!$C$5+R311*'Input &amp; Settings'!$C$6+S311*'Input &amp; Settings'!$C$7+T311*'Input &amp; Settings'!$C$8+U311*'Input &amp; Settings'!$C$9+V311*'Input &amp; Settings'!$C$10+W311*'Input &amp; Settings'!$C$11+X311*'Input &amp; Settings'!$C$12+Y311*'Input &amp; Settings'!$C$13+Z311*'Input &amp; Settings'!$C$14,1))</f>
        <v/>
      </c>
      <c r="AB311" s="38" t="str">
        <f>IF(OR(AA311="",E311=""),"",IFERROR(IF(AA311&gt;=VLOOKUP(E311,'Input &amp; Settings'!$F$5:$K$10,3,FALSE),"Outstanding",IF(AA311&gt;=VLOOKUP(E311,'Input &amp; Settings'!$F$5:$K$10,4,FALSE),"Exceeds Expectations",IF(AA311&gt;=VLOOKUP(E311,'Input &amp; Settings'!$F$5:$K$10,5,FALSE),"Meets Expectations",IF(AA311&gt;=VLOOKUP(E311,'Input &amp; Settings'!$F$5:$K$10,6,FALSE),"Needs Improvement","Performance Improvement Required")))),""))</f>
        <v/>
      </c>
      <c r="AC311" s="38" t="str">
        <f t="shared" si="16"/>
        <v/>
      </c>
      <c r="AD311" s="39"/>
      <c r="AE311" s="40"/>
      <c r="AF311" s="41" t="str">
        <f t="shared" si="17"/>
        <v/>
      </c>
      <c r="AG311" s="42" t="str">
        <f t="shared" si="18"/>
        <v/>
      </c>
      <c r="AH311" s="42" t="str">
        <f t="shared" si="19"/>
        <v>Jose Reyes-Navolskyi (Ivan)|August</v>
      </c>
    </row>
    <row r="312" spans="1:34" hidden="1">
      <c r="A312" s="32">
        <v>2026</v>
      </c>
      <c r="B312" s="32" t="s">
        <v>93</v>
      </c>
      <c r="C312" s="32" t="s">
        <v>36</v>
      </c>
      <c r="D312" s="32" t="s">
        <v>52</v>
      </c>
      <c r="E312" s="33"/>
      <c r="F312" s="34" t="str">
        <f>IF(E312="","",IFERROR(VLOOKUP(E312,'Input &amp; Settings'!$F$5:$G$10,2,FALSE),""))</f>
        <v/>
      </c>
      <c r="G312" s="33"/>
      <c r="H312" s="33"/>
      <c r="I312" s="35"/>
      <c r="J312" s="33"/>
      <c r="K312" s="36"/>
      <c r="L312" s="35"/>
      <c r="M312" s="33"/>
      <c r="N312" s="33"/>
      <c r="O312" s="33"/>
      <c r="P312" s="33"/>
      <c r="Q312" s="37" t="str">
        <f>IF(G312="","",IFERROR(MIN(100,G312/'Input &amp; Settings'!$B$5*100),""))</f>
        <v/>
      </c>
      <c r="R312" s="37" t="str">
        <f>IF(H312="","",IFERROR(MIN(100,H312/'Input &amp; Settings'!$B$6*100),""))</f>
        <v/>
      </c>
      <c r="S312" s="37" t="str">
        <f>IF(I312="","",IFERROR(MIN(100,I312/'Input &amp; Settings'!$B$7*100),""))</f>
        <v/>
      </c>
      <c r="T312" s="37" t="str">
        <f>IF(J312="","",IFERROR(MIN(100,J312/'Input &amp; Settings'!$B$8*100),""))</f>
        <v/>
      </c>
      <c r="U312" s="37" t="str">
        <f>IF(K312="","",IFERROR(MIN(100,K312/'Input &amp; Settings'!$B$9*100),""))</f>
        <v/>
      </c>
      <c r="V312" s="37" t="str">
        <f>IF(L312="","",IFERROR(MIN(100,L312/'Input &amp; Settings'!$B$10*100),""))</f>
        <v/>
      </c>
      <c r="W312" s="37" t="str">
        <f>IF(M312="","",IFERROR(IF(M312&lt;='Input &amp; Settings'!$B$11,100,MAX(0,100-(M312-'Input &amp; Settings'!$B$11)*20)),""))</f>
        <v/>
      </c>
      <c r="X312" s="37" t="str">
        <f>IF(N312="","",IFERROR(MIN(100,N312/'Input &amp; Settings'!$B$12*100),""))</f>
        <v/>
      </c>
      <c r="Y312" s="37" t="str">
        <f>IF(O312="","",IFERROR(MIN(100,O312/'Input &amp; Settings'!$B$13*100),""))</f>
        <v/>
      </c>
      <c r="Z312" s="37" t="str">
        <f>IF(P312="","",IFERROR(IF(P312&lt;='Input &amp; Settings'!$B$14,100,MAX(0,100-(P312-'Input &amp; Settings'!$B$14)*20)),""))</f>
        <v/>
      </c>
      <c r="AA312" s="37" t="str">
        <f>IF(COUNTA(G312:P312)=0,"",ROUND(Q312*'Input &amp; Settings'!$C$5+R312*'Input &amp; Settings'!$C$6+S312*'Input &amp; Settings'!$C$7+T312*'Input &amp; Settings'!$C$8+U312*'Input &amp; Settings'!$C$9+V312*'Input &amp; Settings'!$C$10+W312*'Input &amp; Settings'!$C$11+X312*'Input &amp; Settings'!$C$12+Y312*'Input &amp; Settings'!$C$13+Z312*'Input &amp; Settings'!$C$14,1))</f>
        <v/>
      </c>
      <c r="AB312" s="38" t="str">
        <f>IF(OR(AA312="",E312=""),"",IFERROR(IF(AA312&gt;=VLOOKUP(E312,'Input &amp; Settings'!$F$5:$K$10,3,FALSE),"Outstanding",IF(AA312&gt;=VLOOKUP(E312,'Input &amp; Settings'!$F$5:$K$10,4,FALSE),"Exceeds Expectations",IF(AA312&gt;=VLOOKUP(E312,'Input &amp; Settings'!$F$5:$K$10,5,FALSE),"Meets Expectations",IF(AA312&gt;=VLOOKUP(E312,'Input &amp; Settings'!$F$5:$K$10,6,FALSE),"Needs Improvement","Performance Improvement Required")))),""))</f>
        <v/>
      </c>
      <c r="AC312" s="38" t="str">
        <f t="shared" si="16"/>
        <v/>
      </c>
      <c r="AD312" s="39"/>
      <c r="AE312" s="40"/>
      <c r="AF312" s="41" t="str">
        <f t="shared" si="17"/>
        <v/>
      </c>
      <c r="AG312" s="42" t="str">
        <f t="shared" si="18"/>
        <v/>
      </c>
      <c r="AH312" s="42" t="str">
        <f t="shared" si="19"/>
        <v>Jonathan Davila|August</v>
      </c>
    </row>
    <row r="313" spans="1:34" hidden="1">
      <c r="A313" s="32">
        <v>2026</v>
      </c>
      <c r="B313" s="32" t="s">
        <v>93</v>
      </c>
      <c r="C313" s="32" t="s">
        <v>53</v>
      </c>
      <c r="D313" s="32" t="s">
        <v>54</v>
      </c>
      <c r="E313" s="33"/>
      <c r="F313" s="34" t="str">
        <f>IF(E313="","",IFERROR(VLOOKUP(E313,'Input &amp; Settings'!$F$5:$G$10,2,FALSE),""))</f>
        <v/>
      </c>
      <c r="G313" s="33"/>
      <c r="H313" s="33"/>
      <c r="I313" s="35"/>
      <c r="J313" s="33"/>
      <c r="K313" s="36"/>
      <c r="L313" s="35"/>
      <c r="M313" s="33"/>
      <c r="N313" s="33"/>
      <c r="O313" s="33"/>
      <c r="P313" s="33"/>
      <c r="Q313" s="37" t="str">
        <f>IF(G313="","",IFERROR(MIN(100,G313/'Input &amp; Settings'!$B$5*100),""))</f>
        <v/>
      </c>
      <c r="R313" s="37" t="str">
        <f>IF(H313="","",IFERROR(MIN(100,H313/'Input &amp; Settings'!$B$6*100),""))</f>
        <v/>
      </c>
      <c r="S313" s="37" t="str">
        <f>IF(I313="","",IFERROR(MIN(100,I313/'Input &amp; Settings'!$B$7*100),""))</f>
        <v/>
      </c>
      <c r="T313" s="37" t="str">
        <f>IF(J313="","",IFERROR(MIN(100,J313/'Input &amp; Settings'!$B$8*100),""))</f>
        <v/>
      </c>
      <c r="U313" s="37" t="str">
        <f>IF(K313="","",IFERROR(MIN(100,K313/'Input &amp; Settings'!$B$9*100),""))</f>
        <v/>
      </c>
      <c r="V313" s="37" t="str">
        <f>IF(L313="","",IFERROR(MIN(100,L313/'Input &amp; Settings'!$B$10*100),""))</f>
        <v/>
      </c>
      <c r="W313" s="37" t="str">
        <f>IF(M313="","",IFERROR(IF(M313&lt;='Input &amp; Settings'!$B$11,100,MAX(0,100-(M313-'Input &amp; Settings'!$B$11)*20)),""))</f>
        <v/>
      </c>
      <c r="X313" s="37" t="str">
        <f>IF(N313="","",IFERROR(MIN(100,N313/'Input &amp; Settings'!$B$12*100),""))</f>
        <v/>
      </c>
      <c r="Y313" s="37" t="str">
        <f>IF(O313="","",IFERROR(MIN(100,O313/'Input &amp; Settings'!$B$13*100),""))</f>
        <v/>
      </c>
      <c r="Z313" s="37" t="str">
        <f>IF(P313="","",IFERROR(IF(P313&lt;='Input &amp; Settings'!$B$14,100,MAX(0,100-(P313-'Input &amp; Settings'!$B$14)*20)),""))</f>
        <v/>
      </c>
      <c r="AA313" s="37" t="str">
        <f>IF(COUNTA(G313:P313)=0,"",ROUND(Q313*'Input &amp; Settings'!$C$5+R313*'Input &amp; Settings'!$C$6+S313*'Input &amp; Settings'!$C$7+T313*'Input &amp; Settings'!$C$8+U313*'Input &amp; Settings'!$C$9+V313*'Input &amp; Settings'!$C$10+W313*'Input &amp; Settings'!$C$11+X313*'Input &amp; Settings'!$C$12+Y313*'Input &amp; Settings'!$C$13+Z313*'Input &amp; Settings'!$C$14,1))</f>
        <v/>
      </c>
      <c r="AB313" s="38" t="str">
        <f>IF(OR(AA313="",E313=""),"",IFERROR(IF(AA313&gt;=VLOOKUP(E313,'Input &amp; Settings'!$F$5:$K$10,3,FALSE),"Outstanding",IF(AA313&gt;=VLOOKUP(E313,'Input &amp; Settings'!$F$5:$K$10,4,FALSE),"Exceeds Expectations",IF(AA313&gt;=VLOOKUP(E313,'Input &amp; Settings'!$F$5:$K$10,5,FALSE),"Meets Expectations",IF(AA313&gt;=VLOOKUP(E313,'Input &amp; Settings'!$F$5:$K$10,6,FALSE),"Needs Improvement","Performance Improvement Required")))),""))</f>
        <v/>
      </c>
      <c r="AC313" s="38" t="str">
        <f t="shared" si="16"/>
        <v/>
      </c>
      <c r="AD313" s="39"/>
      <c r="AE313" s="40"/>
      <c r="AF313" s="41" t="str">
        <f t="shared" si="17"/>
        <v/>
      </c>
      <c r="AG313" s="42" t="str">
        <f t="shared" si="18"/>
        <v/>
      </c>
      <c r="AH313" s="42" t="str">
        <f t="shared" si="19"/>
        <v>Kevin Luburd|August</v>
      </c>
    </row>
    <row r="314" spans="1:34" hidden="1">
      <c r="A314" s="32">
        <v>2026</v>
      </c>
      <c r="B314" s="32" t="s">
        <v>93</v>
      </c>
      <c r="C314" s="32" t="s">
        <v>53</v>
      </c>
      <c r="D314" s="32" t="s">
        <v>55</v>
      </c>
      <c r="E314" s="33"/>
      <c r="F314" s="34" t="str">
        <f>IF(E314="","",IFERROR(VLOOKUP(E314,'Input &amp; Settings'!$F$5:$G$10,2,FALSE),""))</f>
        <v/>
      </c>
      <c r="G314" s="33"/>
      <c r="H314" s="33"/>
      <c r="I314" s="35"/>
      <c r="J314" s="33"/>
      <c r="K314" s="36"/>
      <c r="L314" s="35"/>
      <c r="M314" s="33"/>
      <c r="N314" s="33"/>
      <c r="O314" s="33"/>
      <c r="P314" s="33"/>
      <c r="Q314" s="37" t="str">
        <f>IF(G314="","",IFERROR(MIN(100,G314/'Input &amp; Settings'!$B$5*100),""))</f>
        <v/>
      </c>
      <c r="R314" s="37" t="str">
        <f>IF(H314="","",IFERROR(MIN(100,H314/'Input &amp; Settings'!$B$6*100),""))</f>
        <v/>
      </c>
      <c r="S314" s="37" t="str">
        <f>IF(I314="","",IFERROR(MIN(100,I314/'Input &amp; Settings'!$B$7*100),""))</f>
        <v/>
      </c>
      <c r="T314" s="37" t="str">
        <f>IF(J314="","",IFERROR(MIN(100,J314/'Input &amp; Settings'!$B$8*100),""))</f>
        <v/>
      </c>
      <c r="U314" s="37" t="str">
        <f>IF(K314="","",IFERROR(MIN(100,K314/'Input &amp; Settings'!$B$9*100),""))</f>
        <v/>
      </c>
      <c r="V314" s="37" t="str">
        <f>IF(L314="","",IFERROR(MIN(100,L314/'Input &amp; Settings'!$B$10*100),""))</f>
        <v/>
      </c>
      <c r="W314" s="37" t="str">
        <f>IF(M314="","",IFERROR(IF(M314&lt;='Input &amp; Settings'!$B$11,100,MAX(0,100-(M314-'Input &amp; Settings'!$B$11)*20)),""))</f>
        <v/>
      </c>
      <c r="X314" s="37" t="str">
        <f>IF(N314="","",IFERROR(MIN(100,N314/'Input &amp; Settings'!$B$12*100),""))</f>
        <v/>
      </c>
      <c r="Y314" s="37" t="str">
        <f>IF(O314="","",IFERROR(MIN(100,O314/'Input &amp; Settings'!$B$13*100),""))</f>
        <v/>
      </c>
      <c r="Z314" s="37" t="str">
        <f>IF(P314="","",IFERROR(IF(P314&lt;='Input &amp; Settings'!$B$14,100,MAX(0,100-(P314-'Input &amp; Settings'!$B$14)*20)),""))</f>
        <v/>
      </c>
      <c r="AA314" s="37" t="str">
        <f>IF(COUNTA(G314:P314)=0,"",ROUND(Q314*'Input &amp; Settings'!$C$5+R314*'Input &amp; Settings'!$C$6+S314*'Input &amp; Settings'!$C$7+T314*'Input &amp; Settings'!$C$8+U314*'Input &amp; Settings'!$C$9+V314*'Input &amp; Settings'!$C$10+W314*'Input &amp; Settings'!$C$11+X314*'Input &amp; Settings'!$C$12+Y314*'Input &amp; Settings'!$C$13+Z314*'Input &amp; Settings'!$C$14,1))</f>
        <v/>
      </c>
      <c r="AB314" s="38" t="str">
        <f>IF(OR(AA314="",E314=""),"",IFERROR(IF(AA314&gt;=VLOOKUP(E314,'Input &amp; Settings'!$F$5:$K$10,3,FALSE),"Outstanding",IF(AA314&gt;=VLOOKUP(E314,'Input &amp; Settings'!$F$5:$K$10,4,FALSE),"Exceeds Expectations",IF(AA314&gt;=VLOOKUP(E314,'Input &amp; Settings'!$F$5:$K$10,5,FALSE),"Meets Expectations",IF(AA314&gt;=VLOOKUP(E314,'Input &amp; Settings'!$F$5:$K$10,6,FALSE),"Needs Improvement","Performance Improvement Required")))),""))</f>
        <v/>
      </c>
      <c r="AC314" s="38" t="str">
        <f t="shared" si="16"/>
        <v/>
      </c>
      <c r="AD314" s="39"/>
      <c r="AE314" s="40"/>
      <c r="AF314" s="41" t="str">
        <f t="shared" si="17"/>
        <v/>
      </c>
      <c r="AG314" s="42" t="str">
        <f t="shared" si="18"/>
        <v/>
      </c>
      <c r="AH314" s="42" t="str">
        <f t="shared" si="19"/>
        <v>Anthony Thompson|August</v>
      </c>
    </row>
    <row r="315" spans="1:34" hidden="1">
      <c r="A315" s="32">
        <v>2026</v>
      </c>
      <c r="B315" s="32" t="s">
        <v>93</v>
      </c>
      <c r="C315" s="32" t="s">
        <v>53</v>
      </c>
      <c r="D315" s="32" t="s">
        <v>56</v>
      </c>
      <c r="E315" s="33"/>
      <c r="F315" s="34" t="str">
        <f>IF(E315="","",IFERROR(VLOOKUP(E315,'Input &amp; Settings'!$F$5:$G$10,2,FALSE),""))</f>
        <v/>
      </c>
      <c r="G315" s="33"/>
      <c r="H315" s="33"/>
      <c r="I315" s="35"/>
      <c r="J315" s="33"/>
      <c r="K315" s="36"/>
      <c r="L315" s="35"/>
      <c r="M315" s="33"/>
      <c r="N315" s="33"/>
      <c r="O315" s="33"/>
      <c r="P315" s="33"/>
      <c r="Q315" s="37" t="str">
        <f>IF(G315="","",IFERROR(MIN(100,G315/'Input &amp; Settings'!$B$5*100),""))</f>
        <v/>
      </c>
      <c r="R315" s="37" t="str">
        <f>IF(H315="","",IFERROR(MIN(100,H315/'Input &amp; Settings'!$B$6*100),""))</f>
        <v/>
      </c>
      <c r="S315" s="37" t="str">
        <f>IF(I315="","",IFERROR(MIN(100,I315/'Input &amp; Settings'!$B$7*100),""))</f>
        <v/>
      </c>
      <c r="T315" s="37" t="str">
        <f>IF(J315="","",IFERROR(MIN(100,J315/'Input &amp; Settings'!$B$8*100),""))</f>
        <v/>
      </c>
      <c r="U315" s="37" t="str">
        <f>IF(K315="","",IFERROR(MIN(100,K315/'Input &amp; Settings'!$B$9*100),""))</f>
        <v/>
      </c>
      <c r="V315" s="37" t="str">
        <f>IF(L315="","",IFERROR(MIN(100,L315/'Input &amp; Settings'!$B$10*100),""))</f>
        <v/>
      </c>
      <c r="W315" s="37" t="str">
        <f>IF(M315="","",IFERROR(IF(M315&lt;='Input &amp; Settings'!$B$11,100,MAX(0,100-(M315-'Input &amp; Settings'!$B$11)*20)),""))</f>
        <v/>
      </c>
      <c r="X315" s="37" t="str">
        <f>IF(N315="","",IFERROR(MIN(100,N315/'Input &amp; Settings'!$B$12*100),""))</f>
        <v/>
      </c>
      <c r="Y315" s="37" t="str">
        <f>IF(O315="","",IFERROR(MIN(100,O315/'Input &amp; Settings'!$B$13*100),""))</f>
        <v/>
      </c>
      <c r="Z315" s="37" t="str">
        <f>IF(P315="","",IFERROR(IF(P315&lt;='Input &amp; Settings'!$B$14,100,MAX(0,100-(P315-'Input &amp; Settings'!$B$14)*20)),""))</f>
        <v/>
      </c>
      <c r="AA315" s="37" t="str">
        <f>IF(COUNTA(G315:P315)=0,"",ROUND(Q315*'Input &amp; Settings'!$C$5+R315*'Input &amp; Settings'!$C$6+S315*'Input &amp; Settings'!$C$7+T315*'Input &amp; Settings'!$C$8+U315*'Input &amp; Settings'!$C$9+V315*'Input &amp; Settings'!$C$10+W315*'Input &amp; Settings'!$C$11+X315*'Input &amp; Settings'!$C$12+Y315*'Input &amp; Settings'!$C$13+Z315*'Input &amp; Settings'!$C$14,1))</f>
        <v/>
      </c>
      <c r="AB315" s="38" t="str">
        <f>IF(OR(AA315="",E315=""),"",IFERROR(IF(AA315&gt;=VLOOKUP(E315,'Input &amp; Settings'!$F$5:$K$10,3,FALSE),"Outstanding",IF(AA315&gt;=VLOOKUP(E315,'Input &amp; Settings'!$F$5:$K$10,4,FALSE),"Exceeds Expectations",IF(AA315&gt;=VLOOKUP(E315,'Input &amp; Settings'!$F$5:$K$10,5,FALSE),"Meets Expectations",IF(AA315&gt;=VLOOKUP(E315,'Input &amp; Settings'!$F$5:$K$10,6,FALSE),"Needs Improvement","Performance Improvement Required")))),""))</f>
        <v/>
      </c>
      <c r="AC315" s="38" t="str">
        <f t="shared" si="16"/>
        <v/>
      </c>
      <c r="AD315" s="39"/>
      <c r="AE315" s="40"/>
      <c r="AF315" s="41" t="str">
        <f t="shared" si="17"/>
        <v/>
      </c>
      <c r="AG315" s="42" t="str">
        <f t="shared" si="18"/>
        <v/>
      </c>
      <c r="AH315" s="42" t="str">
        <f t="shared" si="19"/>
        <v>Shamar Modeste|August</v>
      </c>
    </row>
    <row r="316" spans="1:34" hidden="1">
      <c r="A316" s="32">
        <v>2026</v>
      </c>
      <c r="B316" s="32" t="s">
        <v>93</v>
      </c>
      <c r="C316" s="32" t="s">
        <v>53</v>
      </c>
      <c r="D316" s="32" t="s">
        <v>57</v>
      </c>
      <c r="E316" s="33"/>
      <c r="F316" s="34" t="str">
        <f>IF(E316="","",IFERROR(VLOOKUP(E316,'Input &amp; Settings'!$F$5:$G$10,2,FALSE),""))</f>
        <v/>
      </c>
      <c r="G316" s="33"/>
      <c r="H316" s="33"/>
      <c r="I316" s="35"/>
      <c r="J316" s="33"/>
      <c r="K316" s="36"/>
      <c r="L316" s="35"/>
      <c r="M316" s="33"/>
      <c r="N316" s="33"/>
      <c r="O316" s="33"/>
      <c r="P316" s="33"/>
      <c r="Q316" s="37" t="str">
        <f>IF(G316="","",IFERROR(MIN(100,G316/'Input &amp; Settings'!$B$5*100),""))</f>
        <v/>
      </c>
      <c r="R316" s="37" t="str">
        <f>IF(H316="","",IFERROR(MIN(100,H316/'Input &amp; Settings'!$B$6*100),""))</f>
        <v/>
      </c>
      <c r="S316" s="37" t="str">
        <f>IF(I316="","",IFERROR(MIN(100,I316/'Input &amp; Settings'!$B$7*100),""))</f>
        <v/>
      </c>
      <c r="T316" s="37" t="str">
        <f>IF(J316="","",IFERROR(MIN(100,J316/'Input &amp; Settings'!$B$8*100),""))</f>
        <v/>
      </c>
      <c r="U316" s="37" t="str">
        <f>IF(K316="","",IFERROR(MIN(100,K316/'Input &amp; Settings'!$B$9*100),""))</f>
        <v/>
      </c>
      <c r="V316" s="37" t="str">
        <f>IF(L316="","",IFERROR(MIN(100,L316/'Input &amp; Settings'!$B$10*100),""))</f>
        <v/>
      </c>
      <c r="W316" s="37" t="str">
        <f>IF(M316="","",IFERROR(IF(M316&lt;='Input &amp; Settings'!$B$11,100,MAX(0,100-(M316-'Input &amp; Settings'!$B$11)*20)),""))</f>
        <v/>
      </c>
      <c r="X316" s="37" t="str">
        <f>IF(N316="","",IFERROR(MIN(100,N316/'Input &amp; Settings'!$B$12*100),""))</f>
        <v/>
      </c>
      <c r="Y316" s="37" t="str">
        <f>IF(O316="","",IFERROR(MIN(100,O316/'Input &amp; Settings'!$B$13*100),""))</f>
        <v/>
      </c>
      <c r="Z316" s="37" t="str">
        <f>IF(P316="","",IFERROR(IF(P316&lt;='Input &amp; Settings'!$B$14,100,MAX(0,100-(P316-'Input &amp; Settings'!$B$14)*20)),""))</f>
        <v/>
      </c>
      <c r="AA316" s="37" t="str">
        <f>IF(COUNTA(G316:P316)=0,"",ROUND(Q316*'Input &amp; Settings'!$C$5+R316*'Input &amp; Settings'!$C$6+S316*'Input &amp; Settings'!$C$7+T316*'Input &amp; Settings'!$C$8+U316*'Input &amp; Settings'!$C$9+V316*'Input &amp; Settings'!$C$10+W316*'Input &amp; Settings'!$C$11+X316*'Input &amp; Settings'!$C$12+Y316*'Input &amp; Settings'!$C$13+Z316*'Input &amp; Settings'!$C$14,1))</f>
        <v/>
      </c>
      <c r="AB316" s="38" t="str">
        <f>IF(OR(AA316="",E316=""),"",IFERROR(IF(AA316&gt;=VLOOKUP(E316,'Input &amp; Settings'!$F$5:$K$10,3,FALSE),"Outstanding",IF(AA316&gt;=VLOOKUP(E316,'Input &amp; Settings'!$F$5:$K$10,4,FALSE),"Exceeds Expectations",IF(AA316&gt;=VLOOKUP(E316,'Input &amp; Settings'!$F$5:$K$10,5,FALSE),"Meets Expectations",IF(AA316&gt;=VLOOKUP(E316,'Input &amp; Settings'!$F$5:$K$10,6,FALSE),"Needs Improvement","Performance Improvement Required")))),""))</f>
        <v/>
      </c>
      <c r="AC316" s="38" t="str">
        <f t="shared" si="16"/>
        <v/>
      </c>
      <c r="AD316" s="39"/>
      <c r="AE316" s="40"/>
      <c r="AF316" s="41" t="str">
        <f t="shared" si="17"/>
        <v/>
      </c>
      <c r="AG316" s="42" t="str">
        <f t="shared" si="18"/>
        <v/>
      </c>
      <c r="AH316" s="42" t="str">
        <f t="shared" si="19"/>
        <v>Steven Morejon|August</v>
      </c>
    </row>
    <row r="317" spans="1:34" hidden="1">
      <c r="A317" s="32">
        <v>2026</v>
      </c>
      <c r="B317" s="32" t="s">
        <v>93</v>
      </c>
      <c r="C317" s="32" t="s">
        <v>53</v>
      </c>
      <c r="D317" s="32" t="s">
        <v>58</v>
      </c>
      <c r="E317" s="33" t="s">
        <v>87</v>
      </c>
      <c r="F317" s="34" t="str">
        <f>IF(E317="","",IFERROR(VLOOKUP(E317,'Input &amp; Settings'!$F$5:$G$10,2,FALSE),""))</f>
        <v>Normal</v>
      </c>
      <c r="G317" s="33"/>
      <c r="H317" s="33"/>
      <c r="I317" s="35"/>
      <c r="J317" s="33"/>
      <c r="K317" s="36"/>
      <c r="L317" s="35"/>
      <c r="M317" s="33"/>
      <c r="N317" s="33"/>
      <c r="O317" s="33"/>
      <c r="P317" s="33"/>
      <c r="Q317" s="37" t="str">
        <f>IF(G317="","",IFERROR(MIN(100,G317/'Input &amp; Settings'!$B$5*100),""))</f>
        <v/>
      </c>
      <c r="R317" s="37" t="str">
        <f>IF(H317="","",IFERROR(MIN(100,H317/'Input &amp; Settings'!$B$6*100),""))</f>
        <v/>
      </c>
      <c r="S317" s="37" t="str">
        <f>IF(I317="","",IFERROR(MIN(100,I317/'Input &amp; Settings'!$B$7*100),""))</f>
        <v/>
      </c>
      <c r="T317" s="37" t="str">
        <f>IF(J317="","",IFERROR(MIN(100,J317/'Input &amp; Settings'!$B$8*100),""))</f>
        <v/>
      </c>
      <c r="U317" s="37" t="str">
        <f>IF(K317="","",IFERROR(MIN(100,K317/'Input &amp; Settings'!$B$9*100),""))</f>
        <v/>
      </c>
      <c r="V317" s="37" t="str">
        <f>IF(L317="","",IFERROR(MIN(100,L317/'Input &amp; Settings'!$B$10*100),""))</f>
        <v/>
      </c>
      <c r="W317" s="37" t="str">
        <f>IF(M317="","",IFERROR(IF(M317&lt;='Input &amp; Settings'!$B$11,100,MAX(0,100-(M317-'Input &amp; Settings'!$B$11)*20)),""))</f>
        <v/>
      </c>
      <c r="X317" s="37" t="str">
        <f>IF(N317="","",IFERROR(MIN(100,N317/'Input &amp; Settings'!$B$12*100),""))</f>
        <v/>
      </c>
      <c r="Y317" s="37" t="str">
        <f>IF(O317="","",IFERROR(MIN(100,O317/'Input &amp; Settings'!$B$13*100),""))</f>
        <v/>
      </c>
      <c r="Z317" s="37" t="str">
        <f>IF(P317="","",IFERROR(IF(P317&lt;='Input &amp; Settings'!$B$14,100,MAX(0,100-(P317-'Input &amp; Settings'!$B$14)*20)),""))</f>
        <v/>
      </c>
      <c r="AA317" s="37" t="str">
        <f>IF(COUNTA(G317:P317)=0,"",ROUND(Q317*'Input &amp; Settings'!$C$5+R317*'Input &amp; Settings'!$C$6+S317*'Input &amp; Settings'!$C$7+T317*'Input &amp; Settings'!$C$8+U317*'Input &amp; Settings'!$C$9+V317*'Input &amp; Settings'!$C$10+W317*'Input &amp; Settings'!$C$11+X317*'Input &amp; Settings'!$C$12+Y317*'Input &amp; Settings'!$C$13+Z317*'Input &amp; Settings'!$C$14,1))</f>
        <v/>
      </c>
      <c r="AB317" s="38" t="str">
        <f>IF(OR(AA317="",E317=""),"",IFERROR(IF(AA317&gt;=VLOOKUP(E317,'Input &amp; Settings'!$F$5:$K$10,3,FALSE),"Outstanding",IF(AA317&gt;=VLOOKUP(E317,'Input &amp; Settings'!$F$5:$K$10,4,FALSE),"Exceeds Expectations",IF(AA317&gt;=VLOOKUP(E317,'Input &amp; Settings'!$F$5:$K$10,5,FALSE),"Meets Expectations",IF(AA317&gt;=VLOOKUP(E317,'Input &amp; Settings'!$F$5:$K$10,6,FALSE),"Needs Improvement","Performance Improvement Required")))),""))</f>
        <v/>
      </c>
      <c r="AC317" s="38" t="str">
        <f t="shared" si="16"/>
        <v/>
      </c>
      <c r="AD317" s="39"/>
      <c r="AE317" s="40"/>
      <c r="AF317" s="41" t="str">
        <f t="shared" si="17"/>
        <v/>
      </c>
      <c r="AG317" s="42" t="str">
        <f t="shared" si="18"/>
        <v/>
      </c>
      <c r="AH317" s="42" t="str">
        <f t="shared" si="19"/>
        <v>Nicolas Abello|August</v>
      </c>
    </row>
    <row r="318" spans="1:34" hidden="1">
      <c r="A318" s="32">
        <v>2026</v>
      </c>
      <c r="B318" s="32" t="s">
        <v>93</v>
      </c>
      <c r="C318" s="32" t="s">
        <v>53</v>
      </c>
      <c r="D318" s="32" t="s">
        <v>59</v>
      </c>
      <c r="E318" s="33"/>
      <c r="F318" s="34" t="str">
        <f>IF(E318="","",IFERROR(VLOOKUP(E318,'Input &amp; Settings'!$F$5:$G$10,2,FALSE),""))</f>
        <v/>
      </c>
      <c r="G318" s="33"/>
      <c r="H318" s="33"/>
      <c r="I318" s="35"/>
      <c r="J318" s="33"/>
      <c r="K318" s="36"/>
      <c r="L318" s="35"/>
      <c r="M318" s="33"/>
      <c r="N318" s="33"/>
      <c r="O318" s="33"/>
      <c r="P318" s="33"/>
      <c r="Q318" s="37" t="str">
        <f>IF(G318="","",IFERROR(MIN(100,G318/'Input &amp; Settings'!$B$5*100),""))</f>
        <v/>
      </c>
      <c r="R318" s="37" t="str">
        <f>IF(H318="","",IFERROR(MIN(100,H318/'Input &amp; Settings'!$B$6*100),""))</f>
        <v/>
      </c>
      <c r="S318" s="37" t="str">
        <f>IF(I318="","",IFERROR(MIN(100,I318/'Input &amp; Settings'!$B$7*100),""))</f>
        <v/>
      </c>
      <c r="T318" s="37" t="str">
        <f>IF(J318="","",IFERROR(MIN(100,J318/'Input &amp; Settings'!$B$8*100),""))</f>
        <v/>
      </c>
      <c r="U318" s="37" t="str">
        <f>IF(K318="","",IFERROR(MIN(100,K318/'Input &amp; Settings'!$B$9*100),""))</f>
        <v/>
      </c>
      <c r="V318" s="37" t="str">
        <f>IF(L318="","",IFERROR(MIN(100,L318/'Input &amp; Settings'!$B$10*100),""))</f>
        <v/>
      </c>
      <c r="W318" s="37" t="str">
        <f>IF(M318="","",IFERROR(IF(M318&lt;='Input &amp; Settings'!$B$11,100,MAX(0,100-(M318-'Input &amp; Settings'!$B$11)*20)),""))</f>
        <v/>
      </c>
      <c r="X318" s="37" t="str">
        <f>IF(N318="","",IFERROR(MIN(100,N318/'Input &amp; Settings'!$B$12*100),""))</f>
        <v/>
      </c>
      <c r="Y318" s="37" t="str">
        <f>IF(O318="","",IFERROR(MIN(100,O318/'Input &amp; Settings'!$B$13*100),""))</f>
        <v/>
      </c>
      <c r="Z318" s="37" t="str">
        <f>IF(P318="","",IFERROR(IF(P318&lt;='Input &amp; Settings'!$B$14,100,MAX(0,100-(P318-'Input &amp; Settings'!$B$14)*20)),""))</f>
        <v/>
      </c>
      <c r="AA318" s="37" t="str">
        <f>IF(COUNTA(G318:P318)=0,"",ROUND(Q318*'Input &amp; Settings'!$C$5+R318*'Input &amp; Settings'!$C$6+S318*'Input &amp; Settings'!$C$7+T318*'Input &amp; Settings'!$C$8+U318*'Input &amp; Settings'!$C$9+V318*'Input &amp; Settings'!$C$10+W318*'Input &amp; Settings'!$C$11+X318*'Input &amp; Settings'!$C$12+Y318*'Input &amp; Settings'!$C$13+Z318*'Input &amp; Settings'!$C$14,1))</f>
        <v/>
      </c>
      <c r="AB318" s="38" t="str">
        <f>IF(OR(AA318="",E318=""),"",IFERROR(IF(AA318&gt;=VLOOKUP(E318,'Input &amp; Settings'!$F$5:$K$10,3,FALSE),"Outstanding",IF(AA318&gt;=VLOOKUP(E318,'Input &amp; Settings'!$F$5:$K$10,4,FALSE),"Exceeds Expectations",IF(AA318&gt;=VLOOKUP(E318,'Input &amp; Settings'!$F$5:$K$10,5,FALSE),"Meets Expectations",IF(AA318&gt;=VLOOKUP(E318,'Input &amp; Settings'!$F$5:$K$10,6,FALSE),"Needs Improvement","Performance Improvement Required")))),""))</f>
        <v/>
      </c>
      <c r="AC318" s="38" t="str">
        <f t="shared" si="16"/>
        <v/>
      </c>
      <c r="AD318" s="39"/>
      <c r="AE318" s="40"/>
      <c r="AF318" s="41" t="str">
        <f t="shared" si="17"/>
        <v/>
      </c>
      <c r="AG318" s="42" t="str">
        <f t="shared" si="18"/>
        <v/>
      </c>
      <c r="AH318" s="42" t="str">
        <f t="shared" si="19"/>
        <v>Carlos Espinosa|August</v>
      </c>
    </row>
    <row r="319" spans="1:34" hidden="1">
      <c r="A319" s="32">
        <v>2026</v>
      </c>
      <c r="B319" s="32" t="s">
        <v>93</v>
      </c>
      <c r="C319" s="32" t="s">
        <v>53</v>
      </c>
      <c r="D319" s="32" t="s">
        <v>60</v>
      </c>
      <c r="E319" s="33"/>
      <c r="F319" s="34" t="str">
        <f>IF(E319="","",IFERROR(VLOOKUP(E319,'Input &amp; Settings'!$F$5:$G$10,2,FALSE),""))</f>
        <v/>
      </c>
      <c r="G319" s="33"/>
      <c r="H319" s="33"/>
      <c r="I319" s="35"/>
      <c r="J319" s="33"/>
      <c r="K319" s="36"/>
      <c r="L319" s="35"/>
      <c r="M319" s="33"/>
      <c r="N319" s="33"/>
      <c r="O319" s="33"/>
      <c r="P319" s="33"/>
      <c r="Q319" s="37" t="str">
        <f>IF(G319="","",IFERROR(MIN(100,G319/'Input &amp; Settings'!$B$5*100),""))</f>
        <v/>
      </c>
      <c r="R319" s="37" t="str">
        <f>IF(H319="","",IFERROR(MIN(100,H319/'Input &amp; Settings'!$B$6*100),""))</f>
        <v/>
      </c>
      <c r="S319" s="37" t="str">
        <f>IF(I319="","",IFERROR(MIN(100,I319/'Input &amp; Settings'!$B$7*100),""))</f>
        <v/>
      </c>
      <c r="T319" s="37" t="str">
        <f>IF(J319="","",IFERROR(MIN(100,J319/'Input &amp; Settings'!$B$8*100),""))</f>
        <v/>
      </c>
      <c r="U319" s="37" t="str">
        <f>IF(K319="","",IFERROR(MIN(100,K319/'Input &amp; Settings'!$B$9*100),""))</f>
        <v/>
      </c>
      <c r="V319" s="37" t="str">
        <f>IF(L319="","",IFERROR(MIN(100,L319/'Input &amp; Settings'!$B$10*100),""))</f>
        <v/>
      </c>
      <c r="W319" s="37" t="str">
        <f>IF(M319="","",IFERROR(IF(M319&lt;='Input &amp; Settings'!$B$11,100,MAX(0,100-(M319-'Input &amp; Settings'!$B$11)*20)),""))</f>
        <v/>
      </c>
      <c r="X319" s="37" t="str">
        <f>IF(N319="","",IFERROR(MIN(100,N319/'Input &amp; Settings'!$B$12*100),""))</f>
        <v/>
      </c>
      <c r="Y319" s="37" t="str">
        <f>IF(O319="","",IFERROR(MIN(100,O319/'Input &amp; Settings'!$B$13*100),""))</f>
        <v/>
      </c>
      <c r="Z319" s="37" t="str">
        <f>IF(P319="","",IFERROR(IF(P319&lt;='Input &amp; Settings'!$B$14,100,MAX(0,100-(P319-'Input &amp; Settings'!$B$14)*20)),""))</f>
        <v/>
      </c>
      <c r="AA319" s="37" t="str">
        <f>IF(COUNTA(G319:P319)=0,"",ROUND(Q319*'Input &amp; Settings'!$C$5+R319*'Input &amp; Settings'!$C$6+S319*'Input &amp; Settings'!$C$7+T319*'Input &amp; Settings'!$C$8+U319*'Input &amp; Settings'!$C$9+V319*'Input &amp; Settings'!$C$10+W319*'Input &amp; Settings'!$C$11+X319*'Input &amp; Settings'!$C$12+Y319*'Input &amp; Settings'!$C$13+Z319*'Input &amp; Settings'!$C$14,1))</f>
        <v/>
      </c>
      <c r="AB319" s="38" t="str">
        <f>IF(OR(AA319="",E319=""),"",IFERROR(IF(AA319&gt;=VLOOKUP(E319,'Input &amp; Settings'!$F$5:$K$10,3,FALSE),"Outstanding",IF(AA319&gt;=VLOOKUP(E319,'Input &amp; Settings'!$F$5:$K$10,4,FALSE),"Exceeds Expectations",IF(AA319&gt;=VLOOKUP(E319,'Input &amp; Settings'!$F$5:$K$10,5,FALSE),"Meets Expectations",IF(AA319&gt;=VLOOKUP(E319,'Input &amp; Settings'!$F$5:$K$10,6,FALSE),"Needs Improvement","Performance Improvement Required")))),""))</f>
        <v/>
      </c>
      <c r="AC319" s="38" t="str">
        <f t="shared" si="16"/>
        <v/>
      </c>
      <c r="AD319" s="39"/>
      <c r="AE319" s="40"/>
      <c r="AF319" s="41" t="str">
        <f t="shared" si="17"/>
        <v/>
      </c>
      <c r="AG319" s="42" t="str">
        <f t="shared" si="18"/>
        <v/>
      </c>
      <c r="AH319" s="42" t="str">
        <f t="shared" si="19"/>
        <v>Fernando Barbera - Boyer|August</v>
      </c>
    </row>
    <row r="320" spans="1:34" hidden="1">
      <c r="A320" s="32">
        <v>2026</v>
      </c>
      <c r="B320" s="32" t="s">
        <v>93</v>
      </c>
      <c r="C320" s="32" t="s">
        <v>53</v>
      </c>
      <c r="D320" s="32" t="s">
        <v>61</v>
      </c>
      <c r="E320" s="33"/>
      <c r="F320" s="34" t="str">
        <f>IF(E320="","",IFERROR(VLOOKUP(E320,'Input &amp; Settings'!$F$5:$G$10,2,FALSE),""))</f>
        <v/>
      </c>
      <c r="G320" s="33"/>
      <c r="H320" s="33"/>
      <c r="I320" s="35"/>
      <c r="J320" s="33"/>
      <c r="K320" s="36"/>
      <c r="L320" s="35"/>
      <c r="M320" s="33"/>
      <c r="N320" s="33"/>
      <c r="O320" s="33"/>
      <c r="P320" s="33"/>
      <c r="Q320" s="37" t="str">
        <f>IF(G320="","",IFERROR(MIN(100,G320/'Input &amp; Settings'!$B$5*100),""))</f>
        <v/>
      </c>
      <c r="R320" s="37" t="str">
        <f>IF(H320="","",IFERROR(MIN(100,H320/'Input &amp; Settings'!$B$6*100),""))</f>
        <v/>
      </c>
      <c r="S320" s="37" t="str">
        <f>IF(I320="","",IFERROR(MIN(100,I320/'Input &amp; Settings'!$B$7*100),""))</f>
        <v/>
      </c>
      <c r="T320" s="37" t="str">
        <f>IF(J320="","",IFERROR(MIN(100,J320/'Input &amp; Settings'!$B$8*100),""))</f>
        <v/>
      </c>
      <c r="U320" s="37" t="str">
        <f>IF(K320="","",IFERROR(MIN(100,K320/'Input &amp; Settings'!$B$9*100),""))</f>
        <v/>
      </c>
      <c r="V320" s="37" t="str">
        <f>IF(L320="","",IFERROR(MIN(100,L320/'Input &amp; Settings'!$B$10*100),""))</f>
        <v/>
      </c>
      <c r="W320" s="37" t="str">
        <f>IF(M320="","",IFERROR(IF(M320&lt;='Input &amp; Settings'!$B$11,100,MAX(0,100-(M320-'Input &amp; Settings'!$B$11)*20)),""))</f>
        <v/>
      </c>
      <c r="X320" s="37" t="str">
        <f>IF(N320="","",IFERROR(MIN(100,N320/'Input &amp; Settings'!$B$12*100),""))</f>
        <v/>
      </c>
      <c r="Y320" s="37" t="str">
        <f>IF(O320="","",IFERROR(MIN(100,O320/'Input &amp; Settings'!$B$13*100),""))</f>
        <v/>
      </c>
      <c r="Z320" s="37" t="str">
        <f>IF(P320="","",IFERROR(IF(P320&lt;='Input &amp; Settings'!$B$14,100,MAX(0,100-(P320-'Input &amp; Settings'!$B$14)*20)),""))</f>
        <v/>
      </c>
      <c r="AA320" s="37" t="str">
        <f>IF(COUNTA(G320:P320)=0,"",ROUND(Q320*'Input &amp; Settings'!$C$5+R320*'Input &amp; Settings'!$C$6+S320*'Input &amp; Settings'!$C$7+T320*'Input &amp; Settings'!$C$8+U320*'Input &amp; Settings'!$C$9+V320*'Input &amp; Settings'!$C$10+W320*'Input &amp; Settings'!$C$11+X320*'Input &amp; Settings'!$C$12+Y320*'Input &amp; Settings'!$C$13+Z320*'Input &amp; Settings'!$C$14,1))</f>
        <v/>
      </c>
      <c r="AB320" s="38" t="str">
        <f>IF(OR(AA320="",E320=""),"",IFERROR(IF(AA320&gt;=VLOOKUP(E320,'Input &amp; Settings'!$F$5:$K$10,3,FALSE),"Outstanding",IF(AA320&gt;=VLOOKUP(E320,'Input &amp; Settings'!$F$5:$K$10,4,FALSE),"Exceeds Expectations",IF(AA320&gt;=VLOOKUP(E320,'Input &amp; Settings'!$F$5:$K$10,5,FALSE),"Meets Expectations",IF(AA320&gt;=VLOOKUP(E320,'Input &amp; Settings'!$F$5:$K$10,6,FALSE),"Needs Improvement","Performance Improvement Required")))),""))</f>
        <v/>
      </c>
      <c r="AC320" s="38" t="str">
        <f t="shared" si="16"/>
        <v/>
      </c>
      <c r="AD320" s="39"/>
      <c r="AE320" s="40"/>
      <c r="AF320" s="41" t="str">
        <f t="shared" si="17"/>
        <v/>
      </c>
      <c r="AG320" s="42" t="str">
        <f t="shared" si="18"/>
        <v/>
      </c>
      <c r="AH320" s="42" t="str">
        <f t="shared" si="19"/>
        <v>Miquelle Cordova|August</v>
      </c>
    </row>
    <row r="321" spans="1:34" hidden="1">
      <c r="A321" s="32">
        <v>2026</v>
      </c>
      <c r="B321" s="32" t="s">
        <v>93</v>
      </c>
      <c r="C321" s="32" t="s">
        <v>53</v>
      </c>
      <c r="D321" s="32" t="s">
        <v>62</v>
      </c>
      <c r="E321" s="33"/>
      <c r="F321" s="34" t="str">
        <f>IF(E321="","",IFERROR(VLOOKUP(E321,'Input &amp; Settings'!$F$5:$G$10,2,FALSE),""))</f>
        <v/>
      </c>
      <c r="G321" s="33"/>
      <c r="H321" s="33"/>
      <c r="I321" s="35"/>
      <c r="J321" s="33"/>
      <c r="K321" s="36"/>
      <c r="L321" s="35"/>
      <c r="M321" s="33"/>
      <c r="N321" s="33"/>
      <c r="O321" s="33"/>
      <c r="P321" s="33"/>
      <c r="Q321" s="37" t="str">
        <f>IF(G321="","",IFERROR(MIN(100,G321/'Input &amp; Settings'!$B$5*100),""))</f>
        <v/>
      </c>
      <c r="R321" s="37" t="str">
        <f>IF(H321="","",IFERROR(MIN(100,H321/'Input &amp; Settings'!$B$6*100),""))</f>
        <v/>
      </c>
      <c r="S321" s="37" t="str">
        <f>IF(I321="","",IFERROR(MIN(100,I321/'Input &amp; Settings'!$B$7*100),""))</f>
        <v/>
      </c>
      <c r="T321" s="37" t="str">
        <f>IF(J321="","",IFERROR(MIN(100,J321/'Input &amp; Settings'!$B$8*100),""))</f>
        <v/>
      </c>
      <c r="U321" s="37" t="str">
        <f>IF(K321="","",IFERROR(MIN(100,K321/'Input &amp; Settings'!$B$9*100),""))</f>
        <v/>
      </c>
      <c r="V321" s="37" t="str">
        <f>IF(L321="","",IFERROR(MIN(100,L321/'Input &amp; Settings'!$B$10*100),""))</f>
        <v/>
      </c>
      <c r="W321" s="37" t="str">
        <f>IF(M321="","",IFERROR(IF(M321&lt;='Input &amp; Settings'!$B$11,100,MAX(0,100-(M321-'Input &amp; Settings'!$B$11)*20)),""))</f>
        <v/>
      </c>
      <c r="X321" s="37" t="str">
        <f>IF(N321="","",IFERROR(MIN(100,N321/'Input &amp; Settings'!$B$12*100),""))</f>
        <v/>
      </c>
      <c r="Y321" s="37" t="str">
        <f>IF(O321="","",IFERROR(MIN(100,O321/'Input &amp; Settings'!$B$13*100),""))</f>
        <v/>
      </c>
      <c r="Z321" s="37" t="str">
        <f>IF(P321="","",IFERROR(IF(P321&lt;='Input &amp; Settings'!$B$14,100,MAX(0,100-(P321-'Input &amp; Settings'!$B$14)*20)),""))</f>
        <v/>
      </c>
      <c r="AA321" s="37" t="str">
        <f>IF(COUNTA(G321:P321)=0,"",ROUND(Q321*'Input &amp; Settings'!$C$5+R321*'Input &amp; Settings'!$C$6+S321*'Input &amp; Settings'!$C$7+T321*'Input &amp; Settings'!$C$8+U321*'Input &amp; Settings'!$C$9+V321*'Input &amp; Settings'!$C$10+W321*'Input &amp; Settings'!$C$11+X321*'Input &amp; Settings'!$C$12+Y321*'Input &amp; Settings'!$C$13+Z321*'Input &amp; Settings'!$C$14,1))</f>
        <v/>
      </c>
      <c r="AB321" s="38" t="str">
        <f>IF(OR(AA321="",E321=""),"",IFERROR(IF(AA321&gt;=VLOOKUP(E321,'Input &amp; Settings'!$F$5:$K$10,3,FALSE),"Outstanding",IF(AA321&gt;=VLOOKUP(E321,'Input &amp; Settings'!$F$5:$K$10,4,FALSE),"Exceeds Expectations",IF(AA321&gt;=VLOOKUP(E321,'Input &amp; Settings'!$F$5:$K$10,5,FALSE),"Meets Expectations",IF(AA321&gt;=VLOOKUP(E321,'Input &amp; Settings'!$F$5:$K$10,6,FALSE),"Needs Improvement","Performance Improvement Required")))),""))</f>
        <v/>
      </c>
      <c r="AC321" s="38" t="str">
        <f t="shared" si="16"/>
        <v/>
      </c>
      <c r="AD321" s="39"/>
      <c r="AE321" s="40"/>
      <c r="AF321" s="41" t="str">
        <f t="shared" si="17"/>
        <v/>
      </c>
      <c r="AG321" s="42" t="str">
        <f t="shared" si="18"/>
        <v/>
      </c>
      <c r="AH321" s="42" t="str">
        <f t="shared" si="19"/>
        <v>Daniel Sanchez|August</v>
      </c>
    </row>
    <row r="322" spans="1:34" hidden="1">
      <c r="A322" s="32">
        <v>2026</v>
      </c>
      <c r="B322" s="32" t="s">
        <v>93</v>
      </c>
      <c r="C322" s="32" t="s">
        <v>53</v>
      </c>
      <c r="D322" s="32" t="s">
        <v>63</v>
      </c>
      <c r="E322" s="33"/>
      <c r="F322" s="34" t="str">
        <f>IF(E322="","",IFERROR(VLOOKUP(E322,'Input &amp; Settings'!$F$5:$G$10,2,FALSE),""))</f>
        <v/>
      </c>
      <c r="G322" s="33"/>
      <c r="H322" s="33"/>
      <c r="I322" s="35"/>
      <c r="J322" s="33"/>
      <c r="K322" s="36"/>
      <c r="L322" s="35"/>
      <c r="M322" s="33"/>
      <c r="N322" s="33"/>
      <c r="O322" s="33"/>
      <c r="P322" s="33"/>
      <c r="Q322" s="37" t="str">
        <f>IF(G322="","",IFERROR(MIN(100,G322/'Input &amp; Settings'!$B$5*100),""))</f>
        <v/>
      </c>
      <c r="R322" s="37" t="str">
        <f>IF(H322="","",IFERROR(MIN(100,H322/'Input &amp; Settings'!$B$6*100),""))</f>
        <v/>
      </c>
      <c r="S322" s="37" t="str">
        <f>IF(I322="","",IFERROR(MIN(100,I322/'Input &amp; Settings'!$B$7*100),""))</f>
        <v/>
      </c>
      <c r="T322" s="37" t="str">
        <f>IF(J322="","",IFERROR(MIN(100,J322/'Input &amp; Settings'!$B$8*100),""))</f>
        <v/>
      </c>
      <c r="U322" s="37" t="str">
        <f>IF(K322="","",IFERROR(MIN(100,K322/'Input &amp; Settings'!$B$9*100),""))</f>
        <v/>
      </c>
      <c r="V322" s="37" t="str">
        <f>IF(L322="","",IFERROR(MIN(100,L322/'Input &amp; Settings'!$B$10*100),""))</f>
        <v/>
      </c>
      <c r="W322" s="37" t="str">
        <f>IF(M322="","",IFERROR(IF(M322&lt;='Input &amp; Settings'!$B$11,100,MAX(0,100-(M322-'Input &amp; Settings'!$B$11)*20)),""))</f>
        <v/>
      </c>
      <c r="X322" s="37" t="str">
        <f>IF(N322="","",IFERROR(MIN(100,N322/'Input &amp; Settings'!$B$12*100),""))</f>
        <v/>
      </c>
      <c r="Y322" s="37" t="str">
        <f>IF(O322="","",IFERROR(MIN(100,O322/'Input &amp; Settings'!$B$13*100),""))</f>
        <v/>
      </c>
      <c r="Z322" s="37" t="str">
        <f>IF(P322="","",IFERROR(IF(P322&lt;='Input &amp; Settings'!$B$14,100,MAX(0,100-(P322-'Input &amp; Settings'!$B$14)*20)),""))</f>
        <v/>
      </c>
      <c r="AA322" s="37" t="str">
        <f>IF(COUNTA(G322:P322)=0,"",ROUND(Q322*'Input &amp; Settings'!$C$5+R322*'Input &amp; Settings'!$C$6+S322*'Input &amp; Settings'!$C$7+T322*'Input &amp; Settings'!$C$8+U322*'Input &amp; Settings'!$C$9+V322*'Input &amp; Settings'!$C$10+W322*'Input &amp; Settings'!$C$11+X322*'Input &amp; Settings'!$C$12+Y322*'Input &amp; Settings'!$C$13+Z322*'Input &amp; Settings'!$C$14,1))</f>
        <v/>
      </c>
      <c r="AB322" s="38" t="str">
        <f>IF(OR(AA322="",E322=""),"",IFERROR(IF(AA322&gt;=VLOOKUP(E322,'Input &amp; Settings'!$F$5:$K$10,3,FALSE),"Outstanding",IF(AA322&gt;=VLOOKUP(E322,'Input &amp; Settings'!$F$5:$K$10,4,FALSE),"Exceeds Expectations",IF(AA322&gt;=VLOOKUP(E322,'Input &amp; Settings'!$F$5:$K$10,5,FALSE),"Meets Expectations",IF(AA322&gt;=VLOOKUP(E322,'Input &amp; Settings'!$F$5:$K$10,6,FALSE),"Needs Improvement","Performance Improvement Required")))),""))</f>
        <v/>
      </c>
      <c r="AC322" s="38" t="str">
        <f t="shared" si="16"/>
        <v/>
      </c>
      <c r="AD322" s="39"/>
      <c r="AE322" s="40"/>
      <c r="AF322" s="41" t="str">
        <f t="shared" si="17"/>
        <v/>
      </c>
      <c r="AG322" s="42" t="str">
        <f t="shared" si="18"/>
        <v/>
      </c>
      <c r="AH322" s="42" t="str">
        <f t="shared" si="19"/>
        <v>Braynon Edwards|August</v>
      </c>
    </row>
    <row r="323" spans="1:34" hidden="1">
      <c r="A323" s="32">
        <v>2026</v>
      </c>
      <c r="B323" s="32" t="s">
        <v>93</v>
      </c>
      <c r="C323" s="32" t="s">
        <v>53</v>
      </c>
      <c r="D323" s="32" t="s">
        <v>64</v>
      </c>
      <c r="E323" s="33"/>
      <c r="F323" s="34" t="str">
        <f>IF(E323="","",IFERROR(VLOOKUP(E323,'Input &amp; Settings'!$F$5:$G$10,2,FALSE),""))</f>
        <v/>
      </c>
      <c r="G323" s="33"/>
      <c r="H323" s="33"/>
      <c r="I323" s="35"/>
      <c r="J323" s="33"/>
      <c r="K323" s="36"/>
      <c r="L323" s="35"/>
      <c r="M323" s="33"/>
      <c r="N323" s="33"/>
      <c r="O323" s="33"/>
      <c r="P323" s="33"/>
      <c r="Q323" s="37" t="str">
        <f>IF(G323="","",IFERROR(MIN(100,G323/'Input &amp; Settings'!$B$5*100),""))</f>
        <v/>
      </c>
      <c r="R323" s="37" t="str">
        <f>IF(H323="","",IFERROR(MIN(100,H323/'Input &amp; Settings'!$B$6*100),""))</f>
        <v/>
      </c>
      <c r="S323" s="37" t="str">
        <f>IF(I323="","",IFERROR(MIN(100,I323/'Input &amp; Settings'!$B$7*100),""))</f>
        <v/>
      </c>
      <c r="T323" s="37" t="str">
        <f>IF(J323="","",IFERROR(MIN(100,J323/'Input &amp; Settings'!$B$8*100),""))</f>
        <v/>
      </c>
      <c r="U323" s="37" t="str">
        <f>IF(K323="","",IFERROR(MIN(100,K323/'Input &amp; Settings'!$B$9*100),""))</f>
        <v/>
      </c>
      <c r="V323" s="37" t="str">
        <f>IF(L323="","",IFERROR(MIN(100,L323/'Input &amp; Settings'!$B$10*100),""))</f>
        <v/>
      </c>
      <c r="W323" s="37" t="str">
        <f>IF(M323="","",IFERROR(IF(M323&lt;='Input &amp; Settings'!$B$11,100,MAX(0,100-(M323-'Input &amp; Settings'!$B$11)*20)),""))</f>
        <v/>
      </c>
      <c r="X323" s="37" t="str">
        <f>IF(N323="","",IFERROR(MIN(100,N323/'Input &amp; Settings'!$B$12*100),""))</f>
        <v/>
      </c>
      <c r="Y323" s="37" t="str">
        <f>IF(O323="","",IFERROR(MIN(100,O323/'Input &amp; Settings'!$B$13*100),""))</f>
        <v/>
      </c>
      <c r="Z323" s="37" t="str">
        <f>IF(P323="","",IFERROR(IF(P323&lt;='Input &amp; Settings'!$B$14,100,MAX(0,100-(P323-'Input &amp; Settings'!$B$14)*20)),""))</f>
        <v/>
      </c>
      <c r="AA323" s="37" t="str">
        <f>IF(COUNTA(G323:P323)=0,"",ROUND(Q323*'Input &amp; Settings'!$C$5+R323*'Input &amp; Settings'!$C$6+S323*'Input &amp; Settings'!$C$7+T323*'Input &amp; Settings'!$C$8+U323*'Input &amp; Settings'!$C$9+V323*'Input &amp; Settings'!$C$10+W323*'Input &amp; Settings'!$C$11+X323*'Input &amp; Settings'!$C$12+Y323*'Input &amp; Settings'!$C$13+Z323*'Input &amp; Settings'!$C$14,1))</f>
        <v/>
      </c>
      <c r="AB323" s="38" t="str">
        <f>IF(OR(AA323="",E323=""),"",IFERROR(IF(AA323&gt;=VLOOKUP(E323,'Input &amp; Settings'!$F$5:$K$10,3,FALSE),"Outstanding",IF(AA323&gt;=VLOOKUP(E323,'Input &amp; Settings'!$F$5:$K$10,4,FALSE),"Exceeds Expectations",IF(AA323&gt;=VLOOKUP(E323,'Input &amp; Settings'!$F$5:$K$10,5,FALSE),"Meets Expectations",IF(AA323&gt;=VLOOKUP(E323,'Input &amp; Settings'!$F$5:$K$10,6,FALSE),"Needs Improvement","Performance Improvement Required")))),""))</f>
        <v/>
      </c>
      <c r="AC323" s="38" t="str">
        <f t="shared" ref="AC323:AC386" si="20">IF(COUNTA(G323:P323)+COUNTA(AD323:AE323)&gt;0,"Entered","")</f>
        <v/>
      </c>
      <c r="AD323" s="39"/>
      <c r="AE323" s="40"/>
      <c r="AF323" s="41" t="str">
        <f t="shared" ref="AF323:AF386" si="21">IF(AD323&lt;&gt;"",AD323,AA323)</f>
        <v/>
      </c>
      <c r="AG323" s="42" t="str">
        <f t="shared" ref="AG323:AG386" si="22">IF(AE323&lt;&gt;"",AE323,AB323)</f>
        <v/>
      </c>
      <c r="AH323" s="42" t="str">
        <f t="shared" ref="AH323:AH386" si="23">D323&amp;"|"&amp;B323</f>
        <v>Sebastian Lopez|August</v>
      </c>
    </row>
    <row r="324" spans="1:34" hidden="1">
      <c r="A324" s="32">
        <v>2026</v>
      </c>
      <c r="B324" s="32" t="s">
        <v>93</v>
      </c>
      <c r="C324" s="32" t="s">
        <v>53</v>
      </c>
      <c r="D324" s="32" t="s">
        <v>65</v>
      </c>
      <c r="E324" s="33"/>
      <c r="F324" s="34" t="str">
        <f>IF(E324="","",IFERROR(VLOOKUP(E324,'Input &amp; Settings'!$F$5:$G$10,2,FALSE),""))</f>
        <v/>
      </c>
      <c r="G324" s="33"/>
      <c r="H324" s="33"/>
      <c r="I324" s="35"/>
      <c r="J324" s="33"/>
      <c r="K324" s="36"/>
      <c r="L324" s="35"/>
      <c r="M324" s="33"/>
      <c r="N324" s="33"/>
      <c r="O324" s="33"/>
      <c r="P324" s="33"/>
      <c r="Q324" s="37" t="str">
        <f>IF(G324="","",IFERROR(MIN(100,G324/'Input &amp; Settings'!$B$5*100),""))</f>
        <v/>
      </c>
      <c r="R324" s="37" t="str">
        <f>IF(H324="","",IFERROR(MIN(100,H324/'Input &amp; Settings'!$B$6*100),""))</f>
        <v/>
      </c>
      <c r="S324" s="37" t="str">
        <f>IF(I324="","",IFERROR(MIN(100,I324/'Input &amp; Settings'!$B$7*100),""))</f>
        <v/>
      </c>
      <c r="T324" s="37" t="str">
        <f>IF(J324="","",IFERROR(MIN(100,J324/'Input &amp; Settings'!$B$8*100),""))</f>
        <v/>
      </c>
      <c r="U324" s="37" t="str">
        <f>IF(K324="","",IFERROR(MIN(100,K324/'Input &amp; Settings'!$B$9*100),""))</f>
        <v/>
      </c>
      <c r="V324" s="37" t="str">
        <f>IF(L324="","",IFERROR(MIN(100,L324/'Input &amp; Settings'!$B$10*100),""))</f>
        <v/>
      </c>
      <c r="W324" s="37" t="str">
        <f>IF(M324="","",IFERROR(IF(M324&lt;='Input &amp; Settings'!$B$11,100,MAX(0,100-(M324-'Input &amp; Settings'!$B$11)*20)),""))</f>
        <v/>
      </c>
      <c r="X324" s="37" t="str">
        <f>IF(N324="","",IFERROR(MIN(100,N324/'Input &amp; Settings'!$B$12*100),""))</f>
        <v/>
      </c>
      <c r="Y324" s="37" t="str">
        <f>IF(O324="","",IFERROR(MIN(100,O324/'Input &amp; Settings'!$B$13*100),""))</f>
        <v/>
      </c>
      <c r="Z324" s="37" t="str">
        <f>IF(P324="","",IFERROR(IF(P324&lt;='Input &amp; Settings'!$B$14,100,MAX(0,100-(P324-'Input &amp; Settings'!$B$14)*20)),""))</f>
        <v/>
      </c>
      <c r="AA324" s="37" t="str">
        <f>IF(COUNTA(G324:P324)=0,"",ROUND(Q324*'Input &amp; Settings'!$C$5+R324*'Input &amp; Settings'!$C$6+S324*'Input &amp; Settings'!$C$7+T324*'Input &amp; Settings'!$C$8+U324*'Input &amp; Settings'!$C$9+V324*'Input &amp; Settings'!$C$10+W324*'Input &amp; Settings'!$C$11+X324*'Input &amp; Settings'!$C$12+Y324*'Input &amp; Settings'!$C$13+Z324*'Input &amp; Settings'!$C$14,1))</f>
        <v/>
      </c>
      <c r="AB324" s="38" t="str">
        <f>IF(OR(AA324="",E324=""),"",IFERROR(IF(AA324&gt;=VLOOKUP(E324,'Input &amp; Settings'!$F$5:$K$10,3,FALSE),"Outstanding",IF(AA324&gt;=VLOOKUP(E324,'Input &amp; Settings'!$F$5:$K$10,4,FALSE),"Exceeds Expectations",IF(AA324&gt;=VLOOKUP(E324,'Input &amp; Settings'!$F$5:$K$10,5,FALSE),"Meets Expectations",IF(AA324&gt;=VLOOKUP(E324,'Input &amp; Settings'!$F$5:$K$10,6,FALSE),"Needs Improvement","Performance Improvement Required")))),""))</f>
        <v/>
      </c>
      <c r="AC324" s="38" t="str">
        <f t="shared" si="20"/>
        <v/>
      </c>
      <c r="AD324" s="39"/>
      <c r="AE324" s="40"/>
      <c r="AF324" s="41" t="str">
        <f t="shared" si="21"/>
        <v/>
      </c>
      <c r="AG324" s="42" t="str">
        <f t="shared" si="22"/>
        <v/>
      </c>
      <c r="AH324" s="42" t="str">
        <f t="shared" si="23"/>
        <v>Lucas Degomme|August</v>
      </c>
    </row>
    <row r="325" spans="1:34" hidden="1">
      <c r="A325" s="32">
        <v>2026</v>
      </c>
      <c r="B325" s="32" t="s">
        <v>93</v>
      </c>
      <c r="C325" s="32" t="s">
        <v>53</v>
      </c>
      <c r="D325" s="32" t="s">
        <v>66</v>
      </c>
      <c r="E325" s="33"/>
      <c r="F325" s="34" t="str">
        <f>IF(E325="","",IFERROR(VLOOKUP(E325,'Input &amp; Settings'!$F$5:$G$10,2,FALSE),""))</f>
        <v/>
      </c>
      <c r="G325" s="33"/>
      <c r="H325" s="33"/>
      <c r="I325" s="35"/>
      <c r="J325" s="33"/>
      <c r="K325" s="36"/>
      <c r="L325" s="35"/>
      <c r="M325" s="33"/>
      <c r="N325" s="33"/>
      <c r="O325" s="33"/>
      <c r="P325" s="33"/>
      <c r="Q325" s="37" t="str">
        <f>IF(G325="","",IFERROR(MIN(100,G325/'Input &amp; Settings'!$B$5*100),""))</f>
        <v/>
      </c>
      <c r="R325" s="37" t="str">
        <f>IF(H325="","",IFERROR(MIN(100,H325/'Input &amp; Settings'!$B$6*100),""))</f>
        <v/>
      </c>
      <c r="S325" s="37" t="str">
        <f>IF(I325="","",IFERROR(MIN(100,I325/'Input &amp; Settings'!$B$7*100),""))</f>
        <v/>
      </c>
      <c r="T325" s="37" t="str">
        <f>IF(J325="","",IFERROR(MIN(100,J325/'Input &amp; Settings'!$B$8*100),""))</f>
        <v/>
      </c>
      <c r="U325" s="37" t="str">
        <f>IF(K325="","",IFERROR(MIN(100,K325/'Input &amp; Settings'!$B$9*100),""))</f>
        <v/>
      </c>
      <c r="V325" s="37" t="str">
        <f>IF(L325="","",IFERROR(MIN(100,L325/'Input &amp; Settings'!$B$10*100),""))</f>
        <v/>
      </c>
      <c r="W325" s="37" t="str">
        <f>IF(M325="","",IFERROR(IF(M325&lt;='Input &amp; Settings'!$B$11,100,MAX(0,100-(M325-'Input &amp; Settings'!$B$11)*20)),""))</f>
        <v/>
      </c>
      <c r="X325" s="37" t="str">
        <f>IF(N325="","",IFERROR(MIN(100,N325/'Input &amp; Settings'!$B$12*100),""))</f>
        <v/>
      </c>
      <c r="Y325" s="37" t="str">
        <f>IF(O325="","",IFERROR(MIN(100,O325/'Input &amp; Settings'!$B$13*100),""))</f>
        <v/>
      </c>
      <c r="Z325" s="37" t="str">
        <f>IF(P325="","",IFERROR(IF(P325&lt;='Input &amp; Settings'!$B$14,100,MAX(0,100-(P325-'Input &amp; Settings'!$B$14)*20)),""))</f>
        <v/>
      </c>
      <c r="AA325" s="37" t="str">
        <f>IF(COUNTA(G325:P325)=0,"",ROUND(Q325*'Input &amp; Settings'!$C$5+R325*'Input &amp; Settings'!$C$6+S325*'Input &amp; Settings'!$C$7+T325*'Input &amp; Settings'!$C$8+U325*'Input &amp; Settings'!$C$9+V325*'Input &amp; Settings'!$C$10+W325*'Input &amp; Settings'!$C$11+X325*'Input &amp; Settings'!$C$12+Y325*'Input &amp; Settings'!$C$13+Z325*'Input &amp; Settings'!$C$14,1))</f>
        <v/>
      </c>
      <c r="AB325" s="38" t="str">
        <f>IF(OR(AA325="",E325=""),"",IFERROR(IF(AA325&gt;=VLOOKUP(E325,'Input &amp; Settings'!$F$5:$K$10,3,FALSE),"Outstanding",IF(AA325&gt;=VLOOKUP(E325,'Input &amp; Settings'!$F$5:$K$10,4,FALSE),"Exceeds Expectations",IF(AA325&gt;=VLOOKUP(E325,'Input &amp; Settings'!$F$5:$K$10,5,FALSE),"Meets Expectations",IF(AA325&gt;=VLOOKUP(E325,'Input &amp; Settings'!$F$5:$K$10,6,FALSE),"Needs Improvement","Performance Improvement Required")))),""))</f>
        <v/>
      </c>
      <c r="AC325" s="38" t="str">
        <f t="shared" si="20"/>
        <v/>
      </c>
      <c r="AD325" s="39"/>
      <c r="AE325" s="40"/>
      <c r="AF325" s="41" t="str">
        <f t="shared" si="21"/>
        <v/>
      </c>
      <c r="AG325" s="42" t="str">
        <f t="shared" si="22"/>
        <v/>
      </c>
      <c r="AH325" s="42" t="str">
        <f t="shared" si="23"/>
        <v>Alexander Chinea|August</v>
      </c>
    </row>
    <row r="326" spans="1:34" hidden="1">
      <c r="A326" s="32">
        <v>2026</v>
      </c>
      <c r="B326" s="32" t="s">
        <v>93</v>
      </c>
      <c r="C326" s="32" t="s">
        <v>53</v>
      </c>
      <c r="D326" s="32" t="s">
        <v>67</v>
      </c>
      <c r="E326" s="33"/>
      <c r="F326" s="34" t="str">
        <f>IF(E326="","",IFERROR(VLOOKUP(E326,'Input &amp; Settings'!$F$5:$G$10,2,FALSE),""))</f>
        <v/>
      </c>
      <c r="G326" s="33"/>
      <c r="H326" s="33"/>
      <c r="I326" s="35"/>
      <c r="J326" s="33"/>
      <c r="K326" s="36"/>
      <c r="L326" s="35"/>
      <c r="M326" s="33"/>
      <c r="N326" s="33"/>
      <c r="O326" s="33"/>
      <c r="P326" s="33"/>
      <c r="Q326" s="37" t="str">
        <f>IF(G326="","",IFERROR(MIN(100,G326/'Input &amp; Settings'!$B$5*100),""))</f>
        <v/>
      </c>
      <c r="R326" s="37" t="str">
        <f>IF(H326="","",IFERROR(MIN(100,H326/'Input &amp; Settings'!$B$6*100),""))</f>
        <v/>
      </c>
      <c r="S326" s="37" t="str">
        <f>IF(I326="","",IFERROR(MIN(100,I326/'Input &amp; Settings'!$B$7*100),""))</f>
        <v/>
      </c>
      <c r="T326" s="37" t="str">
        <f>IF(J326="","",IFERROR(MIN(100,J326/'Input &amp; Settings'!$B$8*100),""))</f>
        <v/>
      </c>
      <c r="U326" s="37" t="str">
        <f>IF(K326="","",IFERROR(MIN(100,K326/'Input &amp; Settings'!$B$9*100),""))</f>
        <v/>
      </c>
      <c r="V326" s="37" t="str">
        <f>IF(L326="","",IFERROR(MIN(100,L326/'Input &amp; Settings'!$B$10*100),""))</f>
        <v/>
      </c>
      <c r="W326" s="37" t="str">
        <f>IF(M326="","",IFERROR(IF(M326&lt;='Input &amp; Settings'!$B$11,100,MAX(0,100-(M326-'Input &amp; Settings'!$B$11)*20)),""))</f>
        <v/>
      </c>
      <c r="X326" s="37" t="str">
        <f>IF(N326="","",IFERROR(MIN(100,N326/'Input &amp; Settings'!$B$12*100),""))</f>
        <v/>
      </c>
      <c r="Y326" s="37" t="str">
        <f>IF(O326="","",IFERROR(MIN(100,O326/'Input &amp; Settings'!$B$13*100),""))</f>
        <v/>
      </c>
      <c r="Z326" s="37" t="str">
        <f>IF(P326="","",IFERROR(IF(P326&lt;='Input &amp; Settings'!$B$14,100,MAX(0,100-(P326-'Input &amp; Settings'!$B$14)*20)),""))</f>
        <v/>
      </c>
      <c r="AA326" s="37" t="str">
        <f>IF(COUNTA(G326:P326)=0,"",ROUND(Q326*'Input &amp; Settings'!$C$5+R326*'Input &amp; Settings'!$C$6+S326*'Input &amp; Settings'!$C$7+T326*'Input &amp; Settings'!$C$8+U326*'Input &amp; Settings'!$C$9+V326*'Input &amp; Settings'!$C$10+W326*'Input &amp; Settings'!$C$11+X326*'Input &amp; Settings'!$C$12+Y326*'Input &amp; Settings'!$C$13+Z326*'Input &amp; Settings'!$C$14,1))</f>
        <v/>
      </c>
      <c r="AB326" s="38" t="str">
        <f>IF(OR(AA326="",E326=""),"",IFERROR(IF(AA326&gt;=VLOOKUP(E326,'Input &amp; Settings'!$F$5:$K$10,3,FALSE),"Outstanding",IF(AA326&gt;=VLOOKUP(E326,'Input &amp; Settings'!$F$5:$K$10,4,FALSE),"Exceeds Expectations",IF(AA326&gt;=VLOOKUP(E326,'Input &amp; Settings'!$F$5:$K$10,5,FALSE),"Meets Expectations",IF(AA326&gt;=VLOOKUP(E326,'Input &amp; Settings'!$F$5:$K$10,6,FALSE),"Needs Improvement","Performance Improvement Required")))),""))</f>
        <v/>
      </c>
      <c r="AC326" s="38" t="str">
        <f t="shared" si="20"/>
        <v/>
      </c>
      <c r="AD326" s="39"/>
      <c r="AE326" s="40"/>
      <c r="AF326" s="41" t="str">
        <f t="shared" si="21"/>
        <v/>
      </c>
      <c r="AG326" s="42" t="str">
        <f t="shared" si="22"/>
        <v/>
      </c>
      <c r="AH326" s="42" t="str">
        <f t="shared" si="23"/>
        <v>Carlos Martinez Monzon|August</v>
      </c>
    </row>
    <row r="327" spans="1:34" hidden="1">
      <c r="A327" s="32">
        <v>2026</v>
      </c>
      <c r="B327" s="32" t="s">
        <v>93</v>
      </c>
      <c r="C327" s="32" t="s">
        <v>53</v>
      </c>
      <c r="D327" s="32" t="s">
        <v>68</v>
      </c>
      <c r="E327" s="33"/>
      <c r="F327" s="34" t="str">
        <f>IF(E327="","",IFERROR(VLOOKUP(E327,'Input &amp; Settings'!$F$5:$G$10,2,FALSE),""))</f>
        <v/>
      </c>
      <c r="G327" s="33"/>
      <c r="H327" s="33"/>
      <c r="I327" s="35"/>
      <c r="J327" s="33"/>
      <c r="K327" s="36"/>
      <c r="L327" s="35"/>
      <c r="M327" s="33"/>
      <c r="N327" s="33"/>
      <c r="O327" s="33"/>
      <c r="P327" s="33"/>
      <c r="Q327" s="37" t="str">
        <f>IF(G327="","",IFERROR(MIN(100,G327/'Input &amp; Settings'!$B$5*100),""))</f>
        <v/>
      </c>
      <c r="R327" s="37" t="str">
        <f>IF(H327="","",IFERROR(MIN(100,H327/'Input &amp; Settings'!$B$6*100),""))</f>
        <v/>
      </c>
      <c r="S327" s="37" t="str">
        <f>IF(I327="","",IFERROR(MIN(100,I327/'Input &amp; Settings'!$B$7*100),""))</f>
        <v/>
      </c>
      <c r="T327" s="37" t="str">
        <f>IF(J327="","",IFERROR(MIN(100,J327/'Input &amp; Settings'!$B$8*100),""))</f>
        <v/>
      </c>
      <c r="U327" s="37" t="str">
        <f>IF(K327="","",IFERROR(MIN(100,K327/'Input &amp; Settings'!$B$9*100),""))</f>
        <v/>
      </c>
      <c r="V327" s="37" t="str">
        <f>IF(L327="","",IFERROR(MIN(100,L327/'Input &amp; Settings'!$B$10*100),""))</f>
        <v/>
      </c>
      <c r="W327" s="37" t="str">
        <f>IF(M327="","",IFERROR(IF(M327&lt;='Input &amp; Settings'!$B$11,100,MAX(0,100-(M327-'Input &amp; Settings'!$B$11)*20)),""))</f>
        <v/>
      </c>
      <c r="X327" s="37" t="str">
        <f>IF(N327="","",IFERROR(MIN(100,N327/'Input &amp; Settings'!$B$12*100),""))</f>
        <v/>
      </c>
      <c r="Y327" s="37" t="str">
        <f>IF(O327="","",IFERROR(MIN(100,O327/'Input &amp; Settings'!$B$13*100),""))</f>
        <v/>
      </c>
      <c r="Z327" s="37" t="str">
        <f>IF(P327="","",IFERROR(IF(P327&lt;='Input &amp; Settings'!$B$14,100,MAX(0,100-(P327-'Input &amp; Settings'!$B$14)*20)),""))</f>
        <v/>
      </c>
      <c r="AA327" s="37" t="str">
        <f>IF(COUNTA(G327:P327)=0,"",ROUND(Q327*'Input &amp; Settings'!$C$5+R327*'Input &amp; Settings'!$C$6+S327*'Input &amp; Settings'!$C$7+T327*'Input &amp; Settings'!$C$8+U327*'Input &amp; Settings'!$C$9+V327*'Input &amp; Settings'!$C$10+W327*'Input &amp; Settings'!$C$11+X327*'Input &amp; Settings'!$C$12+Y327*'Input &amp; Settings'!$C$13+Z327*'Input &amp; Settings'!$C$14,1))</f>
        <v/>
      </c>
      <c r="AB327" s="38" t="str">
        <f>IF(OR(AA327="",E327=""),"",IFERROR(IF(AA327&gt;=VLOOKUP(E327,'Input &amp; Settings'!$F$5:$K$10,3,FALSE),"Outstanding",IF(AA327&gt;=VLOOKUP(E327,'Input &amp; Settings'!$F$5:$K$10,4,FALSE),"Exceeds Expectations",IF(AA327&gt;=VLOOKUP(E327,'Input &amp; Settings'!$F$5:$K$10,5,FALSE),"Meets Expectations",IF(AA327&gt;=VLOOKUP(E327,'Input &amp; Settings'!$F$5:$K$10,6,FALSE),"Needs Improvement","Performance Improvement Required")))),""))</f>
        <v/>
      </c>
      <c r="AC327" s="38" t="str">
        <f t="shared" si="20"/>
        <v/>
      </c>
      <c r="AD327" s="39"/>
      <c r="AE327" s="40"/>
      <c r="AF327" s="41" t="str">
        <f t="shared" si="21"/>
        <v/>
      </c>
      <c r="AG327" s="42" t="str">
        <f t="shared" si="22"/>
        <v/>
      </c>
      <c r="AH327" s="42" t="str">
        <f t="shared" si="23"/>
        <v>Carlos Sanabria|August</v>
      </c>
    </row>
    <row r="328" spans="1:34" hidden="1">
      <c r="A328" s="32">
        <v>2026</v>
      </c>
      <c r="B328" s="32" t="s">
        <v>93</v>
      </c>
      <c r="C328" s="32" t="s">
        <v>53</v>
      </c>
      <c r="D328" s="32" t="s">
        <v>69</v>
      </c>
      <c r="E328" s="33"/>
      <c r="F328" s="34" t="str">
        <f>IF(E328="","",IFERROR(VLOOKUP(E328,'Input &amp; Settings'!$F$5:$G$10,2,FALSE),""))</f>
        <v/>
      </c>
      <c r="G328" s="33"/>
      <c r="H328" s="33"/>
      <c r="I328" s="35"/>
      <c r="J328" s="33"/>
      <c r="K328" s="36"/>
      <c r="L328" s="35"/>
      <c r="M328" s="33"/>
      <c r="N328" s="33"/>
      <c r="O328" s="33"/>
      <c r="P328" s="33"/>
      <c r="Q328" s="37" t="str">
        <f>IF(G328="","",IFERROR(MIN(100,G328/'Input &amp; Settings'!$B$5*100),""))</f>
        <v/>
      </c>
      <c r="R328" s="37" t="str">
        <f>IF(H328="","",IFERROR(MIN(100,H328/'Input &amp; Settings'!$B$6*100),""))</f>
        <v/>
      </c>
      <c r="S328" s="37" t="str">
        <f>IF(I328="","",IFERROR(MIN(100,I328/'Input &amp; Settings'!$B$7*100),""))</f>
        <v/>
      </c>
      <c r="T328" s="37" t="str">
        <f>IF(J328="","",IFERROR(MIN(100,J328/'Input &amp; Settings'!$B$8*100),""))</f>
        <v/>
      </c>
      <c r="U328" s="37" t="str">
        <f>IF(K328="","",IFERROR(MIN(100,K328/'Input &amp; Settings'!$B$9*100),""))</f>
        <v/>
      </c>
      <c r="V328" s="37" t="str">
        <f>IF(L328="","",IFERROR(MIN(100,L328/'Input &amp; Settings'!$B$10*100),""))</f>
        <v/>
      </c>
      <c r="W328" s="37" t="str">
        <f>IF(M328="","",IFERROR(IF(M328&lt;='Input &amp; Settings'!$B$11,100,MAX(0,100-(M328-'Input &amp; Settings'!$B$11)*20)),""))</f>
        <v/>
      </c>
      <c r="X328" s="37" t="str">
        <f>IF(N328="","",IFERROR(MIN(100,N328/'Input &amp; Settings'!$B$12*100),""))</f>
        <v/>
      </c>
      <c r="Y328" s="37" t="str">
        <f>IF(O328="","",IFERROR(MIN(100,O328/'Input &amp; Settings'!$B$13*100),""))</f>
        <v/>
      </c>
      <c r="Z328" s="37" t="str">
        <f>IF(P328="","",IFERROR(IF(P328&lt;='Input &amp; Settings'!$B$14,100,MAX(0,100-(P328-'Input &amp; Settings'!$B$14)*20)),""))</f>
        <v/>
      </c>
      <c r="AA328" s="37" t="str">
        <f>IF(COUNTA(G328:P328)=0,"",ROUND(Q328*'Input &amp; Settings'!$C$5+R328*'Input &amp; Settings'!$C$6+S328*'Input &amp; Settings'!$C$7+T328*'Input &amp; Settings'!$C$8+U328*'Input &amp; Settings'!$C$9+V328*'Input &amp; Settings'!$C$10+W328*'Input &amp; Settings'!$C$11+X328*'Input &amp; Settings'!$C$12+Y328*'Input &amp; Settings'!$C$13+Z328*'Input &amp; Settings'!$C$14,1))</f>
        <v/>
      </c>
      <c r="AB328" s="38" t="str">
        <f>IF(OR(AA328="",E328=""),"",IFERROR(IF(AA328&gt;=VLOOKUP(E328,'Input &amp; Settings'!$F$5:$K$10,3,FALSE),"Outstanding",IF(AA328&gt;=VLOOKUP(E328,'Input &amp; Settings'!$F$5:$K$10,4,FALSE),"Exceeds Expectations",IF(AA328&gt;=VLOOKUP(E328,'Input &amp; Settings'!$F$5:$K$10,5,FALSE),"Meets Expectations",IF(AA328&gt;=VLOOKUP(E328,'Input &amp; Settings'!$F$5:$K$10,6,FALSE),"Needs Improvement","Performance Improvement Required")))),""))</f>
        <v/>
      </c>
      <c r="AC328" s="38" t="str">
        <f t="shared" si="20"/>
        <v/>
      </c>
      <c r="AD328" s="39"/>
      <c r="AE328" s="40"/>
      <c r="AF328" s="41" t="str">
        <f t="shared" si="21"/>
        <v/>
      </c>
      <c r="AG328" s="42" t="str">
        <f t="shared" si="22"/>
        <v/>
      </c>
      <c r="AH328" s="42" t="str">
        <f t="shared" si="23"/>
        <v>Alex Gomes|August</v>
      </c>
    </row>
    <row r="329" spans="1:34" hidden="1">
      <c r="A329" s="32">
        <v>2026</v>
      </c>
      <c r="B329" s="32" t="s">
        <v>93</v>
      </c>
      <c r="C329" s="32" t="s">
        <v>53</v>
      </c>
      <c r="D329" s="32" t="s">
        <v>70</v>
      </c>
      <c r="E329" s="33"/>
      <c r="F329" s="34" t="str">
        <f>IF(E329="","",IFERROR(VLOOKUP(E329,'Input &amp; Settings'!$F$5:$G$10,2,FALSE),""))</f>
        <v/>
      </c>
      <c r="G329" s="33"/>
      <c r="H329" s="33"/>
      <c r="I329" s="35"/>
      <c r="J329" s="33"/>
      <c r="K329" s="36"/>
      <c r="L329" s="35"/>
      <c r="M329" s="33"/>
      <c r="N329" s="33"/>
      <c r="O329" s="33"/>
      <c r="P329" s="33"/>
      <c r="Q329" s="37" t="str">
        <f>IF(G329="","",IFERROR(MIN(100,G329/'Input &amp; Settings'!$B$5*100),""))</f>
        <v/>
      </c>
      <c r="R329" s="37" t="str">
        <f>IF(H329="","",IFERROR(MIN(100,H329/'Input &amp; Settings'!$B$6*100),""))</f>
        <v/>
      </c>
      <c r="S329" s="37" t="str">
        <f>IF(I329="","",IFERROR(MIN(100,I329/'Input &amp; Settings'!$B$7*100),""))</f>
        <v/>
      </c>
      <c r="T329" s="37" t="str">
        <f>IF(J329="","",IFERROR(MIN(100,J329/'Input &amp; Settings'!$B$8*100),""))</f>
        <v/>
      </c>
      <c r="U329" s="37" t="str">
        <f>IF(K329="","",IFERROR(MIN(100,K329/'Input &amp; Settings'!$B$9*100),""))</f>
        <v/>
      </c>
      <c r="V329" s="37" t="str">
        <f>IF(L329="","",IFERROR(MIN(100,L329/'Input &amp; Settings'!$B$10*100),""))</f>
        <v/>
      </c>
      <c r="W329" s="37" t="str">
        <f>IF(M329="","",IFERROR(IF(M329&lt;='Input &amp; Settings'!$B$11,100,MAX(0,100-(M329-'Input &amp; Settings'!$B$11)*20)),""))</f>
        <v/>
      </c>
      <c r="X329" s="37" t="str">
        <f>IF(N329="","",IFERROR(MIN(100,N329/'Input &amp; Settings'!$B$12*100),""))</f>
        <v/>
      </c>
      <c r="Y329" s="37" t="str">
        <f>IF(O329="","",IFERROR(MIN(100,O329/'Input &amp; Settings'!$B$13*100),""))</f>
        <v/>
      </c>
      <c r="Z329" s="37" t="str">
        <f>IF(P329="","",IFERROR(IF(P329&lt;='Input &amp; Settings'!$B$14,100,MAX(0,100-(P329-'Input &amp; Settings'!$B$14)*20)),""))</f>
        <v/>
      </c>
      <c r="AA329" s="37" t="str">
        <f>IF(COUNTA(G329:P329)=0,"",ROUND(Q329*'Input &amp; Settings'!$C$5+R329*'Input &amp; Settings'!$C$6+S329*'Input &amp; Settings'!$C$7+T329*'Input &amp; Settings'!$C$8+U329*'Input &amp; Settings'!$C$9+V329*'Input &amp; Settings'!$C$10+W329*'Input &amp; Settings'!$C$11+X329*'Input &amp; Settings'!$C$12+Y329*'Input &amp; Settings'!$C$13+Z329*'Input &amp; Settings'!$C$14,1))</f>
        <v/>
      </c>
      <c r="AB329" s="38" t="str">
        <f>IF(OR(AA329="",E329=""),"",IFERROR(IF(AA329&gt;=VLOOKUP(E329,'Input &amp; Settings'!$F$5:$K$10,3,FALSE),"Outstanding",IF(AA329&gt;=VLOOKUP(E329,'Input &amp; Settings'!$F$5:$K$10,4,FALSE),"Exceeds Expectations",IF(AA329&gt;=VLOOKUP(E329,'Input &amp; Settings'!$F$5:$K$10,5,FALSE),"Meets Expectations",IF(AA329&gt;=VLOOKUP(E329,'Input &amp; Settings'!$F$5:$K$10,6,FALSE),"Needs Improvement","Performance Improvement Required")))),""))</f>
        <v/>
      </c>
      <c r="AC329" s="38" t="str">
        <f t="shared" si="20"/>
        <v/>
      </c>
      <c r="AD329" s="39"/>
      <c r="AE329" s="40"/>
      <c r="AF329" s="41" t="str">
        <f t="shared" si="21"/>
        <v/>
      </c>
      <c r="AG329" s="42" t="str">
        <f t="shared" si="22"/>
        <v/>
      </c>
      <c r="AH329" s="42" t="str">
        <f t="shared" si="23"/>
        <v>Teddy Joseph|August</v>
      </c>
    </row>
    <row r="330" spans="1:34" hidden="1">
      <c r="A330" s="32">
        <v>2026</v>
      </c>
      <c r="B330" s="32" t="s">
        <v>93</v>
      </c>
      <c r="C330" s="32" t="s">
        <v>53</v>
      </c>
      <c r="D330" s="32" t="s">
        <v>71</v>
      </c>
      <c r="E330" s="33"/>
      <c r="F330" s="34" t="str">
        <f>IF(E330="","",IFERROR(VLOOKUP(E330,'Input &amp; Settings'!$F$5:$G$10,2,FALSE),""))</f>
        <v/>
      </c>
      <c r="G330" s="33"/>
      <c r="H330" s="33"/>
      <c r="I330" s="35"/>
      <c r="J330" s="33"/>
      <c r="K330" s="36"/>
      <c r="L330" s="35"/>
      <c r="M330" s="33"/>
      <c r="N330" s="33"/>
      <c r="O330" s="33"/>
      <c r="P330" s="33"/>
      <c r="Q330" s="37" t="str">
        <f>IF(G330="","",IFERROR(MIN(100,G330/'Input &amp; Settings'!$B$5*100),""))</f>
        <v/>
      </c>
      <c r="R330" s="37" t="str">
        <f>IF(H330="","",IFERROR(MIN(100,H330/'Input &amp; Settings'!$B$6*100),""))</f>
        <v/>
      </c>
      <c r="S330" s="37" t="str">
        <f>IF(I330="","",IFERROR(MIN(100,I330/'Input &amp; Settings'!$B$7*100),""))</f>
        <v/>
      </c>
      <c r="T330" s="37" t="str">
        <f>IF(J330="","",IFERROR(MIN(100,J330/'Input &amp; Settings'!$B$8*100),""))</f>
        <v/>
      </c>
      <c r="U330" s="37" t="str">
        <f>IF(K330="","",IFERROR(MIN(100,K330/'Input &amp; Settings'!$B$9*100),""))</f>
        <v/>
      </c>
      <c r="V330" s="37" t="str">
        <f>IF(L330="","",IFERROR(MIN(100,L330/'Input &amp; Settings'!$B$10*100),""))</f>
        <v/>
      </c>
      <c r="W330" s="37" t="str">
        <f>IF(M330="","",IFERROR(IF(M330&lt;='Input &amp; Settings'!$B$11,100,MAX(0,100-(M330-'Input &amp; Settings'!$B$11)*20)),""))</f>
        <v/>
      </c>
      <c r="X330" s="37" t="str">
        <f>IF(N330="","",IFERROR(MIN(100,N330/'Input &amp; Settings'!$B$12*100),""))</f>
        <v/>
      </c>
      <c r="Y330" s="37" t="str">
        <f>IF(O330="","",IFERROR(MIN(100,O330/'Input &amp; Settings'!$B$13*100),""))</f>
        <v/>
      </c>
      <c r="Z330" s="37" t="str">
        <f>IF(P330="","",IFERROR(IF(P330&lt;='Input &amp; Settings'!$B$14,100,MAX(0,100-(P330-'Input &amp; Settings'!$B$14)*20)),""))</f>
        <v/>
      </c>
      <c r="AA330" s="37" t="str">
        <f>IF(COUNTA(G330:P330)=0,"",ROUND(Q330*'Input &amp; Settings'!$C$5+R330*'Input &amp; Settings'!$C$6+S330*'Input &amp; Settings'!$C$7+T330*'Input &amp; Settings'!$C$8+U330*'Input &amp; Settings'!$C$9+V330*'Input &amp; Settings'!$C$10+W330*'Input &amp; Settings'!$C$11+X330*'Input &amp; Settings'!$C$12+Y330*'Input &amp; Settings'!$C$13+Z330*'Input &amp; Settings'!$C$14,1))</f>
        <v/>
      </c>
      <c r="AB330" s="38" t="str">
        <f>IF(OR(AA330="",E330=""),"",IFERROR(IF(AA330&gt;=VLOOKUP(E330,'Input &amp; Settings'!$F$5:$K$10,3,FALSE),"Outstanding",IF(AA330&gt;=VLOOKUP(E330,'Input &amp; Settings'!$F$5:$K$10,4,FALSE),"Exceeds Expectations",IF(AA330&gt;=VLOOKUP(E330,'Input &amp; Settings'!$F$5:$K$10,5,FALSE),"Meets Expectations",IF(AA330&gt;=VLOOKUP(E330,'Input &amp; Settings'!$F$5:$K$10,6,FALSE),"Needs Improvement","Performance Improvement Required")))),""))</f>
        <v/>
      </c>
      <c r="AC330" s="38" t="str">
        <f t="shared" si="20"/>
        <v/>
      </c>
      <c r="AD330" s="39"/>
      <c r="AE330" s="40"/>
      <c r="AF330" s="41" t="str">
        <f t="shared" si="21"/>
        <v/>
      </c>
      <c r="AG330" s="42" t="str">
        <f t="shared" si="22"/>
        <v/>
      </c>
      <c r="AH330" s="42" t="str">
        <f t="shared" si="23"/>
        <v>Andrew Montgomery|August</v>
      </c>
    </row>
    <row r="331" spans="1:34" hidden="1">
      <c r="A331" s="32">
        <v>2026</v>
      </c>
      <c r="B331" s="32" t="s">
        <v>93</v>
      </c>
      <c r="C331" s="32" t="s">
        <v>53</v>
      </c>
      <c r="D331" s="32" t="s">
        <v>72</v>
      </c>
      <c r="E331" s="33"/>
      <c r="F331" s="34" t="str">
        <f>IF(E331="","",IFERROR(VLOOKUP(E331,'Input &amp; Settings'!$F$5:$G$10,2,FALSE),""))</f>
        <v/>
      </c>
      <c r="G331" s="33"/>
      <c r="H331" s="33"/>
      <c r="I331" s="35"/>
      <c r="J331" s="33"/>
      <c r="K331" s="36"/>
      <c r="L331" s="35"/>
      <c r="M331" s="33"/>
      <c r="N331" s="33"/>
      <c r="O331" s="33"/>
      <c r="P331" s="33"/>
      <c r="Q331" s="37" t="str">
        <f>IF(G331="","",IFERROR(MIN(100,G331/'Input &amp; Settings'!$B$5*100),""))</f>
        <v/>
      </c>
      <c r="R331" s="37" t="str">
        <f>IF(H331="","",IFERROR(MIN(100,H331/'Input &amp; Settings'!$B$6*100),""))</f>
        <v/>
      </c>
      <c r="S331" s="37" t="str">
        <f>IF(I331="","",IFERROR(MIN(100,I331/'Input &amp; Settings'!$B$7*100),""))</f>
        <v/>
      </c>
      <c r="T331" s="37" t="str">
        <f>IF(J331="","",IFERROR(MIN(100,J331/'Input &amp; Settings'!$B$8*100),""))</f>
        <v/>
      </c>
      <c r="U331" s="37" t="str">
        <f>IF(K331="","",IFERROR(MIN(100,K331/'Input &amp; Settings'!$B$9*100),""))</f>
        <v/>
      </c>
      <c r="V331" s="37" t="str">
        <f>IF(L331="","",IFERROR(MIN(100,L331/'Input &amp; Settings'!$B$10*100),""))</f>
        <v/>
      </c>
      <c r="W331" s="37" t="str">
        <f>IF(M331="","",IFERROR(IF(M331&lt;='Input &amp; Settings'!$B$11,100,MAX(0,100-(M331-'Input &amp; Settings'!$B$11)*20)),""))</f>
        <v/>
      </c>
      <c r="X331" s="37" t="str">
        <f>IF(N331="","",IFERROR(MIN(100,N331/'Input &amp; Settings'!$B$12*100),""))</f>
        <v/>
      </c>
      <c r="Y331" s="37" t="str">
        <f>IF(O331="","",IFERROR(MIN(100,O331/'Input &amp; Settings'!$B$13*100),""))</f>
        <v/>
      </c>
      <c r="Z331" s="37" t="str">
        <f>IF(P331="","",IFERROR(IF(P331&lt;='Input &amp; Settings'!$B$14,100,MAX(0,100-(P331-'Input &amp; Settings'!$B$14)*20)),""))</f>
        <v/>
      </c>
      <c r="AA331" s="37" t="str">
        <f>IF(COUNTA(G331:P331)=0,"",ROUND(Q331*'Input &amp; Settings'!$C$5+R331*'Input &amp; Settings'!$C$6+S331*'Input &amp; Settings'!$C$7+T331*'Input &amp; Settings'!$C$8+U331*'Input &amp; Settings'!$C$9+V331*'Input &amp; Settings'!$C$10+W331*'Input &amp; Settings'!$C$11+X331*'Input &amp; Settings'!$C$12+Y331*'Input &amp; Settings'!$C$13+Z331*'Input &amp; Settings'!$C$14,1))</f>
        <v/>
      </c>
      <c r="AB331" s="38" t="str">
        <f>IF(OR(AA331="",E331=""),"",IFERROR(IF(AA331&gt;=VLOOKUP(E331,'Input &amp; Settings'!$F$5:$K$10,3,FALSE),"Outstanding",IF(AA331&gt;=VLOOKUP(E331,'Input &amp; Settings'!$F$5:$K$10,4,FALSE),"Exceeds Expectations",IF(AA331&gt;=VLOOKUP(E331,'Input &amp; Settings'!$F$5:$K$10,5,FALSE),"Meets Expectations",IF(AA331&gt;=VLOOKUP(E331,'Input &amp; Settings'!$F$5:$K$10,6,FALSE),"Needs Improvement","Performance Improvement Required")))),""))</f>
        <v/>
      </c>
      <c r="AC331" s="38" t="str">
        <f t="shared" si="20"/>
        <v/>
      </c>
      <c r="AD331" s="39"/>
      <c r="AE331" s="40"/>
      <c r="AF331" s="41" t="str">
        <f t="shared" si="21"/>
        <v/>
      </c>
      <c r="AG331" s="42" t="str">
        <f t="shared" si="22"/>
        <v/>
      </c>
      <c r="AH331" s="42" t="str">
        <f t="shared" si="23"/>
        <v>Amanda Rodriguez|August</v>
      </c>
    </row>
    <row r="332" spans="1:34" hidden="1">
      <c r="A332" s="32">
        <v>2026</v>
      </c>
      <c r="B332" s="32" t="s">
        <v>93</v>
      </c>
      <c r="C332" s="32" t="s">
        <v>53</v>
      </c>
      <c r="D332" s="32" t="s">
        <v>73</v>
      </c>
      <c r="E332" s="33"/>
      <c r="F332" s="34" t="str">
        <f>IF(E332="","",IFERROR(VLOOKUP(E332,'Input &amp; Settings'!$F$5:$G$10,2,FALSE),""))</f>
        <v/>
      </c>
      <c r="G332" s="33"/>
      <c r="H332" s="33"/>
      <c r="I332" s="35"/>
      <c r="J332" s="33"/>
      <c r="K332" s="36"/>
      <c r="L332" s="35"/>
      <c r="M332" s="33"/>
      <c r="N332" s="33"/>
      <c r="O332" s="33"/>
      <c r="P332" s="33"/>
      <c r="Q332" s="37" t="str">
        <f>IF(G332="","",IFERROR(MIN(100,G332/'Input &amp; Settings'!$B$5*100),""))</f>
        <v/>
      </c>
      <c r="R332" s="37" t="str">
        <f>IF(H332="","",IFERROR(MIN(100,H332/'Input &amp; Settings'!$B$6*100),""))</f>
        <v/>
      </c>
      <c r="S332" s="37" t="str">
        <f>IF(I332="","",IFERROR(MIN(100,I332/'Input &amp; Settings'!$B$7*100),""))</f>
        <v/>
      </c>
      <c r="T332" s="37" t="str">
        <f>IF(J332="","",IFERROR(MIN(100,J332/'Input &amp; Settings'!$B$8*100),""))</f>
        <v/>
      </c>
      <c r="U332" s="37" t="str">
        <f>IF(K332="","",IFERROR(MIN(100,K332/'Input &amp; Settings'!$B$9*100),""))</f>
        <v/>
      </c>
      <c r="V332" s="37" t="str">
        <f>IF(L332="","",IFERROR(MIN(100,L332/'Input &amp; Settings'!$B$10*100),""))</f>
        <v/>
      </c>
      <c r="W332" s="37" t="str">
        <f>IF(M332="","",IFERROR(IF(M332&lt;='Input &amp; Settings'!$B$11,100,MAX(0,100-(M332-'Input &amp; Settings'!$B$11)*20)),""))</f>
        <v/>
      </c>
      <c r="X332" s="37" t="str">
        <f>IF(N332="","",IFERROR(MIN(100,N332/'Input &amp; Settings'!$B$12*100),""))</f>
        <v/>
      </c>
      <c r="Y332" s="37" t="str">
        <f>IF(O332="","",IFERROR(MIN(100,O332/'Input &amp; Settings'!$B$13*100),""))</f>
        <v/>
      </c>
      <c r="Z332" s="37" t="str">
        <f>IF(P332="","",IFERROR(IF(P332&lt;='Input &amp; Settings'!$B$14,100,MAX(0,100-(P332-'Input &amp; Settings'!$B$14)*20)),""))</f>
        <v/>
      </c>
      <c r="AA332" s="37" t="str">
        <f>IF(COUNTA(G332:P332)=0,"",ROUND(Q332*'Input &amp; Settings'!$C$5+R332*'Input &amp; Settings'!$C$6+S332*'Input &amp; Settings'!$C$7+T332*'Input &amp; Settings'!$C$8+U332*'Input &amp; Settings'!$C$9+V332*'Input &amp; Settings'!$C$10+W332*'Input &amp; Settings'!$C$11+X332*'Input &amp; Settings'!$C$12+Y332*'Input &amp; Settings'!$C$13+Z332*'Input &amp; Settings'!$C$14,1))</f>
        <v/>
      </c>
      <c r="AB332" s="38" t="str">
        <f>IF(OR(AA332="",E332=""),"",IFERROR(IF(AA332&gt;=VLOOKUP(E332,'Input &amp; Settings'!$F$5:$K$10,3,FALSE),"Outstanding",IF(AA332&gt;=VLOOKUP(E332,'Input &amp; Settings'!$F$5:$K$10,4,FALSE),"Exceeds Expectations",IF(AA332&gt;=VLOOKUP(E332,'Input &amp; Settings'!$F$5:$K$10,5,FALSE),"Meets Expectations",IF(AA332&gt;=VLOOKUP(E332,'Input &amp; Settings'!$F$5:$K$10,6,FALSE),"Needs Improvement","Performance Improvement Required")))),""))</f>
        <v/>
      </c>
      <c r="AC332" s="38" t="str">
        <f t="shared" si="20"/>
        <v/>
      </c>
      <c r="AD332" s="39"/>
      <c r="AE332" s="40"/>
      <c r="AF332" s="41" t="str">
        <f t="shared" si="21"/>
        <v/>
      </c>
      <c r="AG332" s="42" t="str">
        <f t="shared" si="22"/>
        <v/>
      </c>
      <c r="AH332" s="42" t="str">
        <f t="shared" si="23"/>
        <v>Erick Mojica|August</v>
      </c>
    </row>
    <row r="333" spans="1:34" hidden="1">
      <c r="A333" s="32">
        <v>2026</v>
      </c>
      <c r="B333" s="32" t="s">
        <v>93</v>
      </c>
      <c r="C333" s="32" t="s">
        <v>74</v>
      </c>
      <c r="D333" s="32" t="s">
        <v>75</v>
      </c>
      <c r="E333" s="33"/>
      <c r="F333" s="34" t="str">
        <f>IF(E333="","",IFERROR(VLOOKUP(E333,'Input &amp; Settings'!$F$5:$G$10,2,FALSE),""))</f>
        <v/>
      </c>
      <c r="G333" s="33"/>
      <c r="H333" s="33"/>
      <c r="I333" s="35"/>
      <c r="J333" s="33"/>
      <c r="K333" s="36"/>
      <c r="L333" s="35"/>
      <c r="M333" s="33"/>
      <c r="N333" s="33"/>
      <c r="O333" s="33"/>
      <c r="P333" s="33"/>
      <c r="Q333" s="37" t="str">
        <f>IF(G333="","",IFERROR(MIN(100,G333/'Input &amp; Settings'!$B$5*100),""))</f>
        <v/>
      </c>
      <c r="R333" s="37" t="str">
        <f>IF(H333="","",IFERROR(MIN(100,H333/'Input &amp; Settings'!$B$6*100),""))</f>
        <v/>
      </c>
      <c r="S333" s="37" t="str">
        <f>IF(I333="","",IFERROR(MIN(100,I333/'Input &amp; Settings'!$B$7*100),""))</f>
        <v/>
      </c>
      <c r="T333" s="37" t="str">
        <f>IF(J333="","",IFERROR(MIN(100,J333/'Input &amp; Settings'!$B$8*100),""))</f>
        <v/>
      </c>
      <c r="U333" s="37" t="str">
        <f>IF(K333="","",IFERROR(MIN(100,K333/'Input &amp; Settings'!$B$9*100),""))</f>
        <v/>
      </c>
      <c r="V333" s="37" t="str">
        <f>IF(L333="","",IFERROR(MIN(100,L333/'Input &amp; Settings'!$B$10*100),""))</f>
        <v/>
      </c>
      <c r="W333" s="37" t="str">
        <f>IF(M333="","",IFERROR(IF(M333&lt;='Input &amp; Settings'!$B$11,100,MAX(0,100-(M333-'Input &amp; Settings'!$B$11)*20)),""))</f>
        <v/>
      </c>
      <c r="X333" s="37" t="str">
        <f>IF(N333="","",IFERROR(MIN(100,N333/'Input &amp; Settings'!$B$12*100),""))</f>
        <v/>
      </c>
      <c r="Y333" s="37" t="str">
        <f>IF(O333="","",IFERROR(MIN(100,O333/'Input &amp; Settings'!$B$13*100),""))</f>
        <v/>
      </c>
      <c r="Z333" s="37" t="str">
        <f>IF(P333="","",IFERROR(IF(P333&lt;='Input &amp; Settings'!$B$14,100,MAX(0,100-(P333-'Input &amp; Settings'!$B$14)*20)),""))</f>
        <v/>
      </c>
      <c r="AA333" s="37" t="str">
        <f>IF(COUNTA(G333:P333)=0,"",ROUND(Q333*'Input &amp; Settings'!$C$5+R333*'Input &amp; Settings'!$C$6+S333*'Input &amp; Settings'!$C$7+T333*'Input &amp; Settings'!$C$8+U333*'Input &amp; Settings'!$C$9+V333*'Input &amp; Settings'!$C$10+W333*'Input &amp; Settings'!$C$11+X333*'Input &amp; Settings'!$C$12+Y333*'Input &amp; Settings'!$C$13+Z333*'Input &amp; Settings'!$C$14,1))</f>
        <v/>
      </c>
      <c r="AB333" s="38" t="str">
        <f>IF(OR(AA333="",E333=""),"",IFERROR(IF(AA333&gt;=VLOOKUP(E333,'Input &amp; Settings'!$F$5:$K$10,3,FALSE),"Outstanding",IF(AA333&gt;=VLOOKUP(E333,'Input &amp; Settings'!$F$5:$K$10,4,FALSE),"Exceeds Expectations",IF(AA333&gt;=VLOOKUP(E333,'Input &amp; Settings'!$F$5:$K$10,5,FALSE),"Meets Expectations",IF(AA333&gt;=VLOOKUP(E333,'Input &amp; Settings'!$F$5:$K$10,6,FALSE),"Needs Improvement","Performance Improvement Required")))),""))</f>
        <v/>
      </c>
      <c r="AC333" s="38" t="str">
        <f t="shared" si="20"/>
        <v/>
      </c>
      <c r="AD333" s="39"/>
      <c r="AE333" s="40"/>
      <c r="AF333" s="41" t="str">
        <f t="shared" si="21"/>
        <v/>
      </c>
      <c r="AG333" s="42" t="str">
        <f t="shared" si="22"/>
        <v/>
      </c>
      <c r="AH333" s="42" t="str">
        <f t="shared" si="23"/>
        <v>Raul Rama|August</v>
      </c>
    </row>
    <row r="334" spans="1:34" hidden="1">
      <c r="A334" s="32">
        <v>2026</v>
      </c>
      <c r="B334" s="32" t="s">
        <v>93</v>
      </c>
      <c r="C334" s="32" t="s">
        <v>74</v>
      </c>
      <c r="D334" s="32" t="s">
        <v>76</v>
      </c>
      <c r="E334" s="33"/>
      <c r="F334" s="34" t="str">
        <f>IF(E334="","",IFERROR(VLOOKUP(E334,'Input &amp; Settings'!$F$5:$G$10,2,FALSE),""))</f>
        <v/>
      </c>
      <c r="G334" s="33"/>
      <c r="H334" s="33"/>
      <c r="I334" s="35"/>
      <c r="J334" s="33"/>
      <c r="K334" s="36"/>
      <c r="L334" s="35"/>
      <c r="M334" s="33"/>
      <c r="N334" s="33"/>
      <c r="O334" s="33"/>
      <c r="P334" s="33"/>
      <c r="Q334" s="37" t="str">
        <f>IF(G334="","",IFERROR(MIN(100,G334/'Input &amp; Settings'!$B$5*100),""))</f>
        <v/>
      </c>
      <c r="R334" s="37" t="str">
        <f>IF(H334="","",IFERROR(MIN(100,H334/'Input &amp; Settings'!$B$6*100),""))</f>
        <v/>
      </c>
      <c r="S334" s="37" t="str">
        <f>IF(I334="","",IFERROR(MIN(100,I334/'Input &amp; Settings'!$B$7*100),""))</f>
        <v/>
      </c>
      <c r="T334" s="37" t="str">
        <f>IF(J334="","",IFERROR(MIN(100,J334/'Input &amp; Settings'!$B$8*100),""))</f>
        <v/>
      </c>
      <c r="U334" s="37" t="str">
        <f>IF(K334="","",IFERROR(MIN(100,K334/'Input &amp; Settings'!$B$9*100),""))</f>
        <v/>
      </c>
      <c r="V334" s="37" t="str">
        <f>IF(L334="","",IFERROR(MIN(100,L334/'Input &amp; Settings'!$B$10*100),""))</f>
        <v/>
      </c>
      <c r="W334" s="37" t="str">
        <f>IF(M334="","",IFERROR(IF(M334&lt;='Input &amp; Settings'!$B$11,100,MAX(0,100-(M334-'Input &amp; Settings'!$B$11)*20)),""))</f>
        <v/>
      </c>
      <c r="X334" s="37" t="str">
        <f>IF(N334="","",IFERROR(MIN(100,N334/'Input &amp; Settings'!$B$12*100),""))</f>
        <v/>
      </c>
      <c r="Y334" s="37" t="str">
        <f>IF(O334="","",IFERROR(MIN(100,O334/'Input &amp; Settings'!$B$13*100),""))</f>
        <v/>
      </c>
      <c r="Z334" s="37" t="str">
        <f>IF(P334="","",IFERROR(IF(P334&lt;='Input &amp; Settings'!$B$14,100,MAX(0,100-(P334-'Input &amp; Settings'!$B$14)*20)),""))</f>
        <v/>
      </c>
      <c r="AA334" s="37" t="str">
        <f>IF(COUNTA(G334:P334)=0,"",ROUND(Q334*'Input &amp; Settings'!$C$5+R334*'Input &amp; Settings'!$C$6+S334*'Input &amp; Settings'!$C$7+T334*'Input &amp; Settings'!$C$8+U334*'Input &amp; Settings'!$C$9+V334*'Input &amp; Settings'!$C$10+W334*'Input &amp; Settings'!$C$11+X334*'Input &amp; Settings'!$C$12+Y334*'Input &amp; Settings'!$C$13+Z334*'Input &amp; Settings'!$C$14,1))</f>
        <v/>
      </c>
      <c r="AB334" s="38" t="str">
        <f>IF(OR(AA334="",E334=""),"",IFERROR(IF(AA334&gt;=VLOOKUP(E334,'Input &amp; Settings'!$F$5:$K$10,3,FALSE),"Outstanding",IF(AA334&gt;=VLOOKUP(E334,'Input &amp; Settings'!$F$5:$K$10,4,FALSE),"Exceeds Expectations",IF(AA334&gt;=VLOOKUP(E334,'Input &amp; Settings'!$F$5:$K$10,5,FALSE),"Meets Expectations",IF(AA334&gt;=VLOOKUP(E334,'Input &amp; Settings'!$F$5:$K$10,6,FALSE),"Needs Improvement","Performance Improvement Required")))),""))</f>
        <v/>
      </c>
      <c r="AC334" s="38" t="str">
        <f t="shared" si="20"/>
        <v/>
      </c>
      <c r="AD334" s="39"/>
      <c r="AE334" s="40"/>
      <c r="AF334" s="41" t="str">
        <f t="shared" si="21"/>
        <v/>
      </c>
      <c r="AG334" s="42" t="str">
        <f t="shared" si="22"/>
        <v/>
      </c>
      <c r="AH334" s="42" t="str">
        <f t="shared" si="23"/>
        <v>Kaevon Tyler|August</v>
      </c>
    </row>
    <row r="335" spans="1:34" hidden="1">
      <c r="A335" s="32">
        <v>2026</v>
      </c>
      <c r="B335" s="32" t="s">
        <v>93</v>
      </c>
      <c r="C335" s="32" t="s">
        <v>74</v>
      </c>
      <c r="D335" s="32" t="s">
        <v>77</v>
      </c>
      <c r="E335" s="33"/>
      <c r="F335" s="34" t="str">
        <f>IF(E335="","",IFERROR(VLOOKUP(E335,'Input &amp; Settings'!$F$5:$G$10,2,FALSE),""))</f>
        <v/>
      </c>
      <c r="G335" s="33"/>
      <c r="H335" s="33"/>
      <c r="I335" s="35"/>
      <c r="J335" s="33"/>
      <c r="K335" s="36"/>
      <c r="L335" s="35"/>
      <c r="M335" s="33"/>
      <c r="N335" s="33"/>
      <c r="O335" s="33"/>
      <c r="P335" s="33"/>
      <c r="Q335" s="37" t="str">
        <f>IF(G335="","",IFERROR(MIN(100,G335/'Input &amp; Settings'!$B$5*100),""))</f>
        <v/>
      </c>
      <c r="R335" s="37" t="str">
        <f>IF(H335="","",IFERROR(MIN(100,H335/'Input &amp; Settings'!$B$6*100),""))</f>
        <v/>
      </c>
      <c r="S335" s="37" t="str">
        <f>IF(I335="","",IFERROR(MIN(100,I335/'Input &amp; Settings'!$B$7*100),""))</f>
        <v/>
      </c>
      <c r="T335" s="37" t="str">
        <f>IF(J335="","",IFERROR(MIN(100,J335/'Input &amp; Settings'!$B$8*100),""))</f>
        <v/>
      </c>
      <c r="U335" s="37" t="str">
        <f>IF(K335="","",IFERROR(MIN(100,K335/'Input &amp; Settings'!$B$9*100),""))</f>
        <v/>
      </c>
      <c r="V335" s="37" t="str">
        <f>IF(L335="","",IFERROR(MIN(100,L335/'Input &amp; Settings'!$B$10*100),""))</f>
        <v/>
      </c>
      <c r="W335" s="37" t="str">
        <f>IF(M335="","",IFERROR(IF(M335&lt;='Input &amp; Settings'!$B$11,100,MAX(0,100-(M335-'Input &amp; Settings'!$B$11)*20)),""))</f>
        <v/>
      </c>
      <c r="X335" s="37" t="str">
        <f>IF(N335="","",IFERROR(MIN(100,N335/'Input &amp; Settings'!$B$12*100),""))</f>
        <v/>
      </c>
      <c r="Y335" s="37" t="str">
        <f>IF(O335="","",IFERROR(MIN(100,O335/'Input &amp; Settings'!$B$13*100),""))</f>
        <v/>
      </c>
      <c r="Z335" s="37" t="str">
        <f>IF(P335="","",IFERROR(IF(P335&lt;='Input &amp; Settings'!$B$14,100,MAX(0,100-(P335-'Input &amp; Settings'!$B$14)*20)),""))</f>
        <v/>
      </c>
      <c r="AA335" s="37" t="str">
        <f>IF(COUNTA(G335:P335)=0,"",ROUND(Q335*'Input &amp; Settings'!$C$5+R335*'Input &amp; Settings'!$C$6+S335*'Input &amp; Settings'!$C$7+T335*'Input &amp; Settings'!$C$8+U335*'Input &amp; Settings'!$C$9+V335*'Input &amp; Settings'!$C$10+W335*'Input &amp; Settings'!$C$11+X335*'Input &amp; Settings'!$C$12+Y335*'Input &amp; Settings'!$C$13+Z335*'Input &amp; Settings'!$C$14,1))</f>
        <v/>
      </c>
      <c r="AB335" s="38" t="str">
        <f>IF(OR(AA335="",E335=""),"",IFERROR(IF(AA335&gt;=VLOOKUP(E335,'Input &amp; Settings'!$F$5:$K$10,3,FALSE),"Outstanding",IF(AA335&gt;=VLOOKUP(E335,'Input &amp; Settings'!$F$5:$K$10,4,FALSE),"Exceeds Expectations",IF(AA335&gt;=VLOOKUP(E335,'Input &amp; Settings'!$F$5:$K$10,5,FALSE),"Meets Expectations",IF(AA335&gt;=VLOOKUP(E335,'Input &amp; Settings'!$F$5:$K$10,6,FALSE),"Needs Improvement","Performance Improvement Required")))),""))</f>
        <v/>
      </c>
      <c r="AC335" s="38" t="str">
        <f t="shared" si="20"/>
        <v/>
      </c>
      <c r="AD335" s="39"/>
      <c r="AE335" s="40"/>
      <c r="AF335" s="41" t="str">
        <f t="shared" si="21"/>
        <v/>
      </c>
      <c r="AG335" s="42" t="str">
        <f t="shared" si="22"/>
        <v/>
      </c>
      <c r="AH335" s="42" t="str">
        <f t="shared" si="23"/>
        <v>Christopher Dorta|August</v>
      </c>
    </row>
    <row r="336" spans="1:34" hidden="1">
      <c r="A336" s="32">
        <v>2026</v>
      </c>
      <c r="B336" s="32" t="s">
        <v>93</v>
      </c>
      <c r="C336" s="32" t="s">
        <v>74</v>
      </c>
      <c r="D336" s="32" t="s">
        <v>78</v>
      </c>
      <c r="E336" s="33"/>
      <c r="F336" s="34" t="str">
        <f>IF(E336="","",IFERROR(VLOOKUP(E336,'Input &amp; Settings'!$F$5:$G$10,2,FALSE),""))</f>
        <v/>
      </c>
      <c r="G336" s="33"/>
      <c r="H336" s="33"/>
      <c r="I336" s="35"/>
      <c r="J336" s="33"/>
      <c r="K336" s="36"/>
      <c r="L336" s="35"/>
      <c r="M336" s="33"/>
      <c r="N336" s="33"/>
      <c r="O336" s="33"/>
      <c r="P336" s="33"/>
      <c r="Q336" s="37" t="str">
        <f>IF(G336="","",IFERROR(MIN(100,G336/'Input &amp; Settings'!$B$5*100),""))</f>
        <v/>
      </c>
      <c r="R336" s="37" t="str">
        <f>IF(H336="","",IFERROR(MIN(100,H336/'Input &amp; Settings'!$B$6*100),""))</f>
        <v/>
      </c>
      <c r="S336" s="37" t="str">
        <f>IF(I336="","",IFERROR(MIN(100,I336/'Input &amp; Settings'!$B$7*100),""))</f>
        <v/>
      </c>
      <c r="T336" s="37" t="str">
        <f>IF(J336="","",IFERROR(MIN(100,J336/'Input &amp; Settings'!$B$8*100),""))</f>
        <v/>
      </c>
      <c r="U336" s="37" t="str">
        <f>IF(K336="","",IFERROR(MIN(100,K336/'Input &amp; Settings'!$B$9*100),""))</f>
        <v/>
      </c>
      <c r="V336" s="37" t="str">
        <f>IF(L336="","",IFERROR(MIN(100,L336/'Input &amp; Settings'!$B$10*100),""))</f>
        <v/>
      </c>
      <c r="W336" s="37" t="str">
        <f>IF(M336="","",IFERROR(IF(M336&lt;='Input &amp; Settings'!$B$11,100,MAX(0,100-(M336-'Input &amp; Settings'!$B$11)*20)),""))</f>
        <v/>
      </c>
      <c r="X336" s="37" t="str">
        <f>IF(N336="","",IFERROR(MIN(100,N336/'Input &amp; Settings'!$B$12*100),""))</f>
        <v/>
      </c>
      <c r="Y336" s="37" t="str">
        <f>IF(O336="","",IFERROR(MIN(100,O336/'Input &amp; Settings'!$B$13*100),""))</f>
        <v/>
      </c>
      <c r="Z336" s="37" t="str">
        <f>IF(P336="","",IFERROR(IF(P336&lt;='Input &amp; Settings'!$B$14,100,MAX(0,100-(P336-'Input &amp; Settings'!$B$14)*20)),""))</f>
        <v/>
      </c>
      <c r="AA336" s="37" t="str">
        <f>IF(COUNTA(G336:P336)=0,"",ROUND(Q336*'Input &amp; Settings'!$C$5+R336*'Input &amp; Settings'!$C$6+S336*'Input &amp; Settings'!$C$7+T336*'Input &amp; Settings'!$C$8+U336*'Input &amp; Settings'!$C$9+V336*'Input &amp; Settings'!$C$10+W336*'Input &amp; Settings'!$C$11+X336*'Input &amp; Settings'!$C$12+Y336*'Input &amp; Settings'!$C$13+Z336*'Input &amp; Settings'!$C$14,1))</f>
        <v/>
      </c>
      <c r="AB336" s="38" t="str">
        <f>IF(OR(AA336="",E336=""),"",IFERROR(IF(AA336&gt;=VLOOKUP(E336,'Input &amp; Settings'!$F$5:$K$10,3,FALSE),"Outstanding",IF(AA336&gt;=VLOOKUP(E336,'Input &amp; Settings'!$F$5:$K$10,4,FALSE),"Exceeds Expectations",IF(AA336&gt;=VLOOKUP(E336,'Input &amp; Settings'!$F$5:$K$10,5,FALSE),"Meets Expectations",IF(AA336&gt;=VLOOKUP(E336,'Input &amp; Settings'!$F$5:$K$10,6,FALSE),"Needs Improvement","Performance Improvement Required")))),""))</f>
        <v/>
      </c>
      <c r="AC336" s="38" t="str">
        <f t="shared" si="20"/>
        <v/>
      </c>
      <c r="AD336" s="39"/>
      <c r="AE336" s="40"/>
      <c r="AF336" s="41" t="str">
        <f t="shared" si="21"/>
        <v/>
      </c>
      <c r="AG336" s="42" t="str">
        <f t="shared" si="22"/>
        <v/>
      </c>
      <c r="AH336" s="42" t="str">
        <f t="shared" si="23"/>
        <v>Andres Galvis|August</v>
      </c>
    </row>
    <row r="337" spans="1:34" hidden="1">
      <c r="A337" s="32">
        <v>2026</v>
      </c>
      <c r="B337" s="32" t="s">
        <v>93</v>
      </c>
      <c r="C337" s="32" t="s">
        <v>74</v>
      </c>
      <c r="D337" s="32" t="s">
        <v>79</v>
      </c>
      <c r="E337" s="33"/>
      <c r="F337" s="34" t="str">
        <f>IF(E337="","",IFERROR(VLOOKUP(E337,'Input &amp; Settings'!$F$5:$G$10,2,FALSE),""))</f>
        <v/>
      </c>
      <c r="G337" s="33"/>
      <c r="H337" s="33"/>
      <c r="I337" s="35"/>
      <c r="J337" s="33"/>
      <c r="K337" s="36"/>
      <c r="L337" s="35"/>
      <c r="M337" s="33"/>
      <c r="N337" s="33"/>
      <c r="O337" s="33"/>
      <c r="P337" s="33"/>
      <c r="Q337" s="37" t="str">
        <f>IF(G337="","",IFERROR(MIN(100,G337/'Input &amp; Settings'!$B$5*100),""))</f>
        <v/>
      </c>
      <c r="R337" s="37" t="str">
        <f>IF(H337="","",IFERROR(MIN(100,H337/'Input &amp; Settings'!$B$6*100),""))</f>
        <v/>
      </c>
      <c r="S337" s="37" t="str">
        <f>IF(I337="","",IFERROR(MIN(100,I337/'Input &amp; Settings'!$B$7*100),""))</f>
        <v/>
      </c>
      <c r="T337" s="37" t="str">
        <f>IF(J337="","",IFERROR(MIN(100,J337/'Input &amp; Settings'!$B$8*100),""))</f>
        <v/>
      </c>
      <c r="U337" s="37" t="str">
        <f>IF(K337="","",IFERROR(MIN(100,K337/'Input &amp; Settings'!$B$9*100),""))</f>
        <v/>
      </c>
      <c r="V337" s="37" t="str">
        <f>IF(L337="","",IFERROR(MIN(100,L337/'Input &amp; Settings'!$B$10*100),""))</f>
        <v/>
      </c>
      <c r="W337" s="37" t="str">
        <f>IF(M337="","",IFERROR(IF(M337&lt;='Input &amp; Settings'!$B$11,100,MAX(0,100-(M337-'Input &amp; Settings'!$B$11)*20)),""))</f>
        <v/>
      </c>
      <c r="X337" s="37" t="str">
        <f>IF(N337="","",IFERROR(MIN(100,N337/'Input &amp; Settings'!$B$12*100),""))</f>
        <v/>
      </c>
      <c r="Y337" s="37" t="str">
        <f>IF(O337="","",IFERROR(MIN(100,O337/'Input &amp; Settings'!$B$13*100),""))</f>
        <v/>
      </c>
      <c r="Z337" s="37" t="str">
        <f>IF(P337="","",IFERROR(IF(P337&lt;='Input &amp; Settings'!$B$14,100,MAX(0,100-(P337-'Input &amp; Settings'!$B$14)*20)),""))</f>
        <v/>
      </c>
      <c r="AA337" s="37" t="str">
        <f>IF(COUNTA(G337:P337)=0,"",ROUND(Q337*'Input &amp; Settings'!$C$5+R337*'Input &amp; Settings'!$C$6+S337*'Input &amp; Settings'!$C$7+T337*'Input &amp; Settings'!$C$8+U337*'Input &amp; Settings'!$C$9+V337*'Input &amp; Settings'!$C$10+W337*'Input &amp; Settings'!$C$11+X337*'Input &amp; Settings'!$C$12+Y337*'Input &amp; Settings'!$C$13+Z337*'Input &amp; Settings'!$C$14,1))</f>
        <v/>
      </c>
      <c r="AB337" s="38" t="str">
        <f>IF(OR(AA337="",E337=""),"",IFERROR(IF(AA337&gt;=VLOOKUP(E337,'Input &amp; Settings'!$F$5:$K$10,3,FALSE),"Outstanding",IF(AA337&gt;=VLOOKUP(E337,'Input &amp; Settings'!$F$5:$K$10,4,FALSE),"Exceeds Expectations",IF(AA337&gt;=VLOOKUP(E337,'Input &amp; Settings'!$F$5:$K$10,5,FALSE),"Meets Expectations",IF(AA337&gt;=VLOOKUP(E337,'Input &amp; Settings'!$F$5:$K$10,6,FALSE),"Needs Improvement","Performance Improvement Required")))),""))</f>
        <v/>
      </c>
      <c r="AC337" s="38" t="str">
        <f t="shared" si="20"/>
        <v/>
      </c>
      <c r="AD337" s="39"/>
      <c r="AE337" s="40"/>
      <c r="AF337" s="41" t="str">
        <f t="shared" si="21"/>
        <v/>
      </c>
      <c r="AG337" s="42" t="str">
        <f t="shared" si="22"/>
        <v/>
      </c>
      <c r="AH337" s="42" t="str">
        <f t="shared" si="23"/>
        <v>Roberto Eckardt|August</v>
      </c>
    </row>
    <row r="338" spans="1:34" hidden="1">
      <c r="A338" s="32">
        <v>2026</v>
      </c>
      <c r="B338" s="32" t="s">
        <v>93</v>
      </c>
      <c r="C338" s="32" t="s">
        <v>74</v>
      </c>
      <c r="D338" s="32" t="s">
        <v>80</v>
      </c>
      <c r="E338" s="33"/>
      <c r="F338" s="34" t="str">
        <f>IF(E338="","",IFERROR(VLOOKUP(E338,'Input &amp; Settings'!$F$5:$G$10,2,FALSE),""))</f>
        <v/>
      </c>
      <c r="G338" s="33"/>
      <c r="H338" s="33"/>
      <c r="I338" s="35"/>
      <c r="J338" s="33"/>
      <c r="K338" s="36"/>
      <c r="L338" s="35"/>
      <c r="M338" s="33"/>
      <c r="N338" s="33"/>
      <c r="O338" s="33"/>
      <c r="P338" s="33"/>
      <c r="Q338" s="37" t="str">
        <f>IF(G338="","",IFERROR(MIN(100,G338/'Input &amp; Settings'!$B$5*100),""))</f>
        <v/>
      </c>
      <c r="R338" s="37" t="str">
        <f>IF(H338="","",IFERROR(MIN(100,H338/'Input &amp; Settings'!$B$6*100),""))</f>
        <v/>
      </c>
      <c r="S338" s="37" t="str">
        <f>IF(I338="","",IFERROR(MIN(100,I338/'Input &amp; Settings'!$B$7*100),""))</f>
        <v/>
      </c>
      <c r="T338" s="37" t="str">
        <f>IF(J338="","",IFERROR(MIN(100,J338/'Input &amp; Settings'!$B$8*100),""))</f>
        <v/>
      </c>
      <c r="U338" s="37" t="str">
        <f>IF(K338="","",IFERROR(MIN(100,K338/'Input &amp; Settings'!$B$9*100),""))</f>
        <v/>
      </c>
      <c r="V338" s="37" t="str">
        <f>IF(L338="","",IFERROR(MIN(100,L338/'Input &amp; Settings'!$B$10*100),""))</f>
        <v/>
      </c>
      <c r="W338" s="37" t="str">
        <f>IF(M338="","",IFERROR(IF(M338&lt;='Input &amp; Settings'!$B$11,100,MAX(0,100-(M338-'Input &amp; Settings'!$B$11)*20)),""))</f>
        <v/>
      </c>
      <c r="X338" s="37" t="str">
        <f>IF(N338="","",IFERROR(MIN(100,N338/'Input &amp; Settings'!$B$12*100),""))</f>
        <v/>
      </c>
      <c r="Y338" s="37" t="str">
        <f>IF(O338="","",IFERROR(MIN(100,O338/'Input &amp; Settings'!$B$13*100),""))</f>
        <v/>
      </c>
      <c r="Z338" s="37" t="str">
        <f>IF(P338="","",IFERROR(IF(P338&lt;='Input &amp; Settings'!$B$14,100,MAX(0,100-(P338-'Input &amp; Settings'!$B$14)*20)),""))</f>
        <v/>
      </c>
      <c r="AA338" s="37" t="str">
        <f>IF(COUNTA(G338:P338)=0,"",ROUND(Q338*'Input &amp; Settings'!$C$5+R338*'Input &amp; Settings'!$C$6+S338*'Input &amp; Settings'!$C$7+T338*'Input &amp; Settings'!$C$8+U338*'Input &amp; Settings'!$C$9+V338*'Input &amp; Settings'!$C$10+W338*'Input &amp; Settings'!$C$11+X338*'Input &amp; Settings'!$C$12+Y338*'Input &amp; Settings'!$C$13+Z338*'Input &amp; Settings'!$C$14,1))</f>
        <v/>
      </c>
      <c r="AB338" s="38" t="str">
        <f>IF(OR(AA338="",E338=""),"",IFERROR(IF(AA338&gt;=VLOOKUP(E338,'Input &amp; Settings'!$F$5:$K$10,3,FALSE),"Outstanding",IF(AA338&gt;=VLOOKUP(E338,'Input &amp; Settings'!$F$5:$K$10,4,FALSE),"Exceeds Expectations",IF(AA338&gt;=VLOOKUP(E338,'Input &amp; Settings'!$F$5:$K$10,5,FALSE),"Meets Expectations",IF(AA338&gt;=VLOOKUP(E338,'Input &amp; Settings'!$F$5:$K$10,6,FALSE),"Needs Improvement","Performance Improvement Required")))),""))</f>
        <v/>
      </c>
      <c r="AC338" s="38" t="str">
        <f t="shared" si="20"/>
        <v/>
      </c>
      <c r="AD338" s="39"/>
      <c r="AE338" s="40"/>
      <c r="AF338" s="41" t="str">
        <f t="shared" si="21"/>
        <v/>
      </c>
      <c r="AG338" s="42" t="str">
        <f t="shared" si="22"/>
        <v/>
      </c>
      <c r="AH338" s="42" t="str">
        <f t="shared" si="23"/>
        <v>Angel Perez Martinez|August</v>
      </c>
    </row>
    <row r="339" spans="1:34" hidden="1">
      <c r="A339" s="32">
        <v>2026</v>
      </c>
      <c r="B339" s="32" t="s">
        <v>94</v>
      </c>
      <c r="C339" s="32" t="s">
        <v>36</v>
      </c>
      <c r="D339" s="32" t="s">
        <v>37</v>
      </c>
      <c r="E339" s="33"/>
      <c r="F339" s="34" t="str">
        <f>IF(E339="","",IFERROR(VLOOKUP(E339,'Input &amp; Settings'!$F$5:$G$10,2,FALSE),""))</f>
        <v/>
      </c>
      <c r="G339" s="33"/>
      <c r="H339" s="33"/>
      <c r="I339" s="35"/>
      <c r="J339" s="33"/>
      <c r="K339" s="36"/>
      <c r="L339" s="35"/>
      <c r="M339" s="33"/>
      <c r="N339" s="33"/>
      <c r="O339" s="33"/>
      <c r="P339" s="33"/>
      <c r="Q339" s="37" t="str">
        <f>IF(G339="","",IFERROR(MIN(100,G339/'Input &amp; Settings'!$B$5*100),""))</f>
        <v/>
      </c>
      <c r="R339" s="37" t="str">
        <f>IF(H339="","",IFERROR(MIN(100,H339/'Input &amp; Settings'!$B$6*100),""))</f>
        <v/>
      </c>
      <c r="S339" s="37" t="str">
        <f>IF(I339="","",IFERROR(MIN(100,I339/'Input &amp; Settings'!$B$7*100),""))</f>
        <v/>
      </c>
      <c r="T339" s="37" t="str">
        <f>IF(J339="","",IFERROR(MIN(100,J339/'Input &amp; Settings'!$B$8*100),""))</f>
        <v/>
      </c>
      <c r="U339" s="37" t="str">
        <f>IF(K339="","",IFERROR(MIN(100,K339/'Input &amp; Settings'!$B$9*100),""))</f>
        <v/>
      </c>
      <c r="V339" s="37" t="str">
        <f>IF(L339="","",IFERROR(MIN(100,L339/'Input &amp; Settings'!$B$10*100),""))</f>
        <v/>
      </c>
      <c r="W339" s="37" t="str">
        <f>IF(M339="","",IFERROR(IF(M339&lt;='Input &amp; Settings'!$B$11,100,MAX(0,100-(M339-'Input &amp; Settings'!$B$11)*20)),""))</f>
        <v/>
      </c>
      <c r="X339" s="37" t="str">
        <f>IF(N339="","",IFERROR(MIN(100,N339/'Input &amp; Settings'!$B$12*100),""))</f>
        <v/>
      </c>
      <c r="Y339" s="37" t="str">
        <f>IF(O339="","",IFERROR(MIN(100,O339/'Input &amp; Settings'!$B$13*100),""))</f>
        <v/>
      </c>
      <c r="Z339" s="37" t="str">
        <f>IF(P339="","",IFERROR(IF(P339&lt;='Input &amp; Settings'!$B$14,100,MAX(0,100-(P339-'Input &amp; Settings'!$B$14)*20)),""))</f>
        <v/>
      </c>
      <c r="AA339" s="37" t="str">
        <f>IF(COUNTA(G339:P339)=0,"",ROUND(Q339*'Input &amp; Settings'!$C$5+R339*'Input &amp; Settings'!$C$6+S339*'Input &amp; Settings'!$C$7+T339*'Input &amp; Settings'!$C$8+U339*'Input &amp; Settings'!$C$9+V339*'Input &amp; Settings'!$C$10+W339*'Input &amp; Settings'!$C$11+X339*'Input &amp; Settings'!$C$12+Y339*'Input &amp; Settings'!$C$13+Z339*'Input &amp; Settings'!$C$14,1))</f>
        <v/>
      </c>
      <c r="AB339" s="38" t="str">
        <f>IF(OR(AA339="",E339=""),"",IFERROR(IF(AA339&gt;=VLOOKUP(E339,'Input &amp; Settings'!$F$5:$K$10,3,FALSE),"Outstanding",IF(AA339&gt;=VLOOKUP(E339,'Input &amp; Settings'!$F$5:$K$10,4,FALSE),"Exceeds Expectations",IF(AA339&gt;=VLOOKUP(E339,'Input &amp; Settings'!$F$5:$K$10,5,FALSE),"Meets Expectations",IF(AA339&gt;=VLOOKUP(E339,'Input &amp; Settings'!$F$5:$K$10,6,FALSE),"Needs Improvement","Performance Improvement Required")))),""))</f>
        <v/>
      </c>
      <c r="AC339" s="38" t="str">
        <f t="shared" si="20"/>
        <v/>
      </c>
      <c r="AD339" s="39"/>
      <c r="AE339" s="40"/>
      <c r="AF339" s="41" t="str">
        <f t="shared" si="21"/>
        <v/>
      </c>
      <c r="AG339" s="42" t="str">
        <f t="shared" si="22"/>
        <v/>
      </c>
      <c r="AH339" s="42" t="str">
        <f t="shared" si="23"/>
        <v>Carly Huber|September</v>
      </c>
    </row>
    <row r="340" spans="1:34" hidden="1">
      <c r="A340" s="32">
        <v>2026</v>
      </c>
      <c r="B340" s="32" t="s">
        <v>94</v>
      </c>
      <c r="C340" s="32" t="s">
        <v>36</v>
      </c>
      <c r="D340" s="32" t="s">
        <v>38</v>
      </c>
      <c r="E340" s="33"/>
      <c r="F340" s="34" t="str">
        <f>IF(E340="","",IFERROR(VLOOKUP(E340,'Input &amp; Settings'!$F$5:$G$10,2,FALSE),""))</f>
        <v/>
      </c>
      <c r="G340" s="33"/>
      <c r="H340" s="33"/>
      <c r="I340" s="35"/>
      <c r="J340" s="33"/>
      <c r="K340" s="36"/>
      <c r="L340" s="35"/>
      <c r="M340" s="33"/>
      <c r="N340" s="33"/>
      <c r="O340" s="33"/>
      <c r="P340" s="33"/>
      <c r="Q340" s="37" t="str">
        <f>IF(G340="","",IFERROR(MIN(100,G340/'Input &amp; Settings'!$B$5*100),""))</f>
        <v/>
      </c>
      <c r="R340" s="37" t="str">
        <f>IF(H340="","",IFERROR(MIN(100,H340/'Input &amp; Settings'!$B$6*100),""))</f>
        <v/>
      </c>
      <c r="S340" s="37" t="str">
        <f>IF(I340="","",IFERROR(MIN(100,I340/'Input &amp; Settings'!$B$7*100),""))</f>
        <v/>
      </c>
      <c r="T340" s="37" t="str">
        <f>IF(J340="","",IFERROR(MIN(100,J340/'Input &amp; Settings'!$B$8*100),""))</f>
        <v/>
      </c>
      <c r="U340" s="37" t="str">
        <f>IF(K340="","",IFERROR(MIN(100,K340/'Input &amp; Settings'!$B$9*100),""))</f>
        <v/>
      </c>
      <c r="V340" s="37" t="str">
        <f>IF(L340="","",IFERROR(MIN(100,L340/'Input &amp; Settings'!$B$10*100),""))</f>
        <v/>
      </c>
      <c r="W340" s="37" t="str">
        <f>IF(M340="","",IFERROR(IF(M340&lt;='Input &amp; Settings'!$B$11,100,MAX(0,100-(M340-'Input &amp; Settings'!$B$11)*20)),""))</f>
        <v/>
      </c>
      <c r="X340" s="37" t="str">
        <f>IF(N340="","",IFERROR(MIN(100,N340/'Input &amp; Settings'!$B$12*100),""))</f>
        <v/>
      </c>
      <c r="Y340" s="37" t="str">
        <f>IF(O340="","",IFERROR(MIN(100,O340/'Input &amp; Settings'!$B$13*100),""))</f>
        <v/>
      </c>
      <c r="Z340" s="37" t="str">
        <f>IF(P340="","",IFERROR(IF(P340&lt;='Input &amp; Settings'!$B$14,100,MAX(0,100-(P340-'Input &amp; Settings'!$B$14)*20)),""))</f>
        <v/>
      </c>
      <c r="AA340" s="37" t="str">
        <f>IF(COUNTA(G340:P340)=0,"",ROUND(Q340*'Input &amp; Settings'!$C$5+R340*'Input &amp; Settings'!$C$6+S340*'Input &amp; Settings'!$C$7+T340*'Input &amp; Settings'!$C$8+U340*'Input &amp; Settings'!$C$9+V340*'Input &amp; Settings'!$C$10+W340*'Input &amp; Settings'!$C$11+X340*'Input &amp; Settings'!$C$12+Y340*'Input &amp; Settings'!$C$13+Z340*'Input &amp; Settings'!$C$14,1))</f>
        <v/>
      </c>
      <c r="AB340" s="38" t="str">
        <f>IF(OR(AA340="",E340=""),"",IFERROR(IF(AA340&gt;=VLOOKUP(E340,'Input &amp; Settings'!$F$5:$K$10,3,FALSE),"Outstanding",IF(AA340&gt;=VLOOKUP(E340,'Input &amp; Settings'!$F$5:$K$10,4,FALSE),"Exceeds Expectations",IF(AA340&gt;=VLOOKUP(E340,'Input &amp; Settings'!$F$5:$K$10,5,FALSE),"Meets Expectations",IF(AA340&gt;=VLOOKUP(E340,'Input &amp; Settings'!$F$5:$K$10,6,FALSE),"Needs Improvement","Performance Improvement Required")))),""))</f>
        <v/>
      </c>
      <c r="AC340" s="38" t="str">
        <f t="shared" si="20"/>
        <v/>
      </c>
      <c r="AD340" s="39"/>
      <c r="AE340" s="40"/>
      <c r="AF340" s="41" t="str">
        <f t="shared" si="21"/>
        <v/>
      </c>
      <c r="AG340" s="42" t="str">
        <f t="shared" si="22"/>
        <v/>
      </c>
      <c r="AH340" s="42" t="str">
        <f t="shared" si="23"/>
        <v>Julian Grier|September</v>
      </c>
    </row>
    <row r="341" spans="1:34" hidden="1">
      <c r="A341" s="32">
        <v>2026</v>
      </c>
      <c r="B341" s="32" t="s">
        <v>94</v>
      </c>
      <c r="C341" s="32" t="s">
        <v>36</v>
      </c>
      <c r="D341" s="32" t="s">
        <v>39</v>
      </c>
      <c r="E341" s="33"/>
      <c r="F341" s="34" t="str">
        <f>IF(E341="","",IFERROR(VLOOKUP(E341,'Input &amp; Settings'!$F$5:$G$10,2,FALSE),""))</f>
        <v/>
      </c>
      <c r="G341" s="33"/>
      <c r="H341" s="33"/>
      <c r="I341" s="35"/>
      <c r="J341" s="33"/>
      <c r="K341" s="36"/>
      <c r="L341" s="35"/>
      <c r="M341" s="33"/>
      <c r="N341" s="33"/>
      <c r="O341" s="33"/>
      <c r="P341" s="33"/>
      <c r="Q341" s="37" t="str">
        <f>IF(G341="","",IFERROR(MIN(100,G341/'Input &amp; Settings'!$B$5*100),""))</f>
        <v/>
      </c>
      <c r="R341" s="37" t="str">
        <f>IF(H341="","",IFERROR(MIN(100,H341/'Input &amp; Settings'!$B$6*100),""))</f>
        <v/>
      </c>
      <c r="S341" s="37" t="str">
        <f>IF(I341="","",IFERROR(MIN(100,I341/'Input &amp; Settings'!$B$7*100),""))</f>
        <v/>
      </c>
      <c r="T341" s="37" t="str">
        <f>IF(J341="","",IFERROR(MIN(100,J341/'Input &amp; Settings'!$B$8*100),""))</f>
        <v/>
      </c>
      <c r="U341" s="37" t="str">
        <f>IF(K341="","",IFERROR(MIN(100,K341/'Input &amp; Settings'!$B$9*100),""))</f>
        <v/>
      </c>
      <c r="V341" s="37" t="str">
        <f>IF(L341="","",IFERROR(MIN(100,L341/'Input &amp; Settings'!$B$10*100),""))</f>
        <v/>
      </c>
      <c r="W341" s="37" t="str">
        <f>IF(M341="","",IFERROR(IF(M341&lt;='Input &amp; Settings'!$B$11,100,MAX(0,100-(M341-'Input &amp; Settings'!$B$11)*20)),""))</f>
        <v/>
      </c>
      <c r="X341" s="37" t="str">
        <f>IF(N341="","",IFERROR(MIN(100,N341/'Input &amp; Settings'!$B$12*100),""))</f>
        <v/>
      </c>
      <c r="Y341" s="37" t="str">
        <f>IF(O341="","",IFERROR(MIN(100,O341/'Input &amp; Settings'!$B$13*100),""))</f>
        <v/>
      </c>
      <c r="Z341" s="37" t="str">
        <f>IF(P341="","",IFERROR(IF(P341&lt;='Input &amp; Settings'!$B$14,100,MAX(0,100-(P341-'Input &amp; Settings'!$B$14)*20)),""))</f>
        <v/>
      </c>
      <c r="AA341" s="37" t="str">
        <f>IF(COUNTA(G341:P341)=0,"",ROUND(Q341*'Input &amp; Settings'!$C$5+R341*'Input &amp; Settings'!$C$6+S341*'Input &amp; Settings'!$C$7+T341*'Input &amp; Settings'!$C$8+U341*'Input &amp; Settings'!$C$9+V341*'Input &amp; Settings'!$C$10+W341*'Input &amp; Settings'!$C$11+X341*'Input &amp; Settings'!$C$12+Y341*'Input &amp; Settings'!$C$13+Z341*'Input &amp; Settings'!$C$14,1))</f>
        <v/>
      </c>
      <c r="AB341" s="38" t="str">
        <f>IF(OR(AA341="",E341=""),"",IFERROR(IF(AA341&gt;=VLOOKUP(E341,'Input &amp; Settings'!$F$5:$K$10,3,FALSE),"Outstanding",IF(AA341&gt;=VLOOKUP(E341,'Input &amp; Settings'!$F$5:$K$10,4,FALSE),"Exceeds Expectations",IF(AA341&gt;=VLOOKUP(E341,'Input &amp; Settings'!$F$5:$K$10,5,FALSE),"Meets Expectations",IF(AA341&gt;=VLOOKUP(E341,'Input &amp; Settings'!$F$5:$K$10,6,FALSE),"Needs Improvement","Performance Improvement Required")))),""))</f>
        <v/>
      </c>
      <c r="AC341" s="38" t="str">
        <f t="shared" si="20"/>
        <v/>
      </c>
      <c r="AD341" s="39"/>
      <c r="AE341" s="40"/>
      <c r="AF341" s="41" t="str">
        <f t="shared" si="21"/>
        <v/>
      </c>
      <c r="AG341" s="42" t="str">
        <f t="shared" si="22"/>
        <v/>
      </c>
      <c r="AH341" s="42" t="str">
        <f t="shared" si="23"/>
        <v>Jorge Lopez|September</v>
      </c>
    </row>
    <row r="342" spans="1:34" hidden="1">
      <c r="A342" s="32">
        <v>2026</v>
      </c>
      <c r="B342" s="32" t="s">
        <v>94</v>
      </c>
      <c r="C342" s="32" t="s">
        <v>36</v>
      </c>
      <c r="D342" s="32" t="s">
        <v>40</v>
      </c>
      <c r="E342" s="33"/>
      <c r="F342" s="34" t="str">
        <f>IF(E342="","",IFERROR(VLOOKUP(E342,'Input &amp; Settings'!$F$5:$G$10,2,FALSE),""))</f>
        <v/>
      </c>
      <c r="G342" s="33"/>
      <c r="H342" s="33"/>
      <c r="I342" s="35"/>
      <c r="J342" s="33"/>
      <c r="K342" s="36"/>
      <c r="L342" s="35"/>
      <c r="M342" s="33"/>
      <c r="N342" s="33"/>
      <c r="O342" s="33"/>
      <c r="P342" s="33"/>
      <c r="Q342" s="37" t="str">
        <f>IF(G342="","",IFERROR(MIN(100,G342/'Input &amp; Settings'!$B$5*100),""))</f>
        <v/>
      </c>
      <c r="R342" s="37" t="str">
        <f>IF(H342="","",IFERROR(MIN(100,H342/'Input &amp; Settings'!$B$6*100),""))</f>
        <v/>
      </c>
      <c r="S342" s="37" t="str">
        <f>IF(I342="","",IFERROR(MIN(100,I342/'Input &amp; Settings'!$B$7*100),""))</f>
        <v/>
      </c>
      <c r="T342" s="37" t="str">
        <f>IF(J342="","",IFERROR(MIN(100,J342/'Input &amp; Settings'!$B$8*100),""))</f>
        <v/>
      </c>
      <c r="U342" s="37" t="str">
        <f>IF(K342="","",IFERROR(MIN(100,K342/'Input &amp; Settings'!$B$9*100),""))</f>
        <v/>
      </c>
      <c r="V342" s="37" t="str">
        <f>IF(L342="","",IFERROR(MIN(100,L342/'Input &amp; Settings'!$B$10*100),""))</f>
        <v/>
      </c>
      <c r="W342" s="37" t="str">
        <f>IF(M342="","",IFERROR(IF(M342&lt;='Input &amp; Settings'!$B$11,100,MAX(0,100-(M342-'Input &amp; Settings'!$B$11)*20)),""))</f>
        <v/>
      </c>
      <c r="X342" s="37" t="str">
        <f>IF(N342="","",IFERROR(MIN(100,N342/'Input &amp; Settings'!$B$12*100),""))</f>
        <v/>
      </c>
      <c r="Y342" s="37" t="str">
        <f>IF(O342="","",IFERROR(MIN(100,O342/'Input &amp; Settings'!$B$13*100),""))</f>
        <v/>
      </c>
      <c r="Z342" s="37" t="str">
        <f>IF(P342="","",IFERROR(IF(P342&lt;='Input &amp; Settings'!$B$14,100,MAX(0,100-(P342-'Input &amp; Settings'!$B$14)*20)),""))</f>
        <v/>
      </c>
      <c r="AA342" s="37" t="str">
        <f>IF(COUNTA(G342:P342)=0,"",ROUND(Q342*'Input &amp; Settings'!$C$5+R342*'Input &amp; Settings'!$C$6+S342*'Input &amp; Settings'!$C$7+T342*'Input &amp; Settings'!$C$8+U342*'Input &amp; Settings'!$C$9+V342*'Input &amp; Settings'!$C$10+W342*'Input &amp; Settings'!$C$11+X342*'Input &amp; Settings'!$C$12+Y342*'Input &amp; Settings'!$C$13+Z342*'Input &amp; Settings'!$C$14,1))</f>
        <v/>
      </c>
      <c r="AB342" s="38" t="str">
        <f>IF(OR(AA342="",E342=""),"",IFERROR(IF(AA342&gt;=VLOOKUP(E342,'Input &amp; Settings'!$F$5:$K$10,3,FALSE),"Outstanding",IF(AA342&gt;=VLOOKUP(E342,'Input &amp; Settings'!$F$5:$K$10,4,FALSE),"Exceeds Expectations",IF(AA342&gt;=VLOOKUP(E342,'Input &amp; Settings'!$F$5:$K$10,5,FALSE),"Meets Expectations",IF(AA342&gt;=VLOOKUP(E342,'Input &amp; Settings'!$F$5:$K$10,6,FALSE),"Needs Improvement","Performance Improvement Required")))),""))</f>
        <v/>
      </c>
      <c r="AC342" s="38" t="str">
        <f t="shared" si="20"/>
        <v/>
      </c>
      <c r="AD342" s="39"/>
      <c r="AE342" s="40"/>
      <c r="AF342" s="41" t="str">
        <f t="shared" si="21"/>
        <v/>
      </c>
      <c r="AG342" s="42" t="str">
        <f t="shared" si="22"/>
        <v/>
      </c>
      <c r="AH342" s="42" t="str">
        <f t="shared" si="23"/>
        <v>Juan Pablo Pique Buil (JP)|September</v>
      </c>
    </row>
    <row r="343" spans="1:34" hidden="1">
      <c r="A343" s="32">
        <v>2026</v>
      </c>
      <c r="B343" s="32" t="s">
        <v>94</v>
      </c>
      <c r="C343" s="32" t="s">
        <v>36</v>
      </c>
      <c r="D343" s="32" t="s">
        <v>41</v>
      </c>
      <c r="E343" s="33"/>
      <c r="F343" s="34" t="str">
        <f>IF(E343="","",IFERROR(VLOOKUP(E343,'Input &amp; Settings'!$F$5:$G$10,2,FALSE),""))</f>
        <v/>
      </c>
      <c r="G343" s="33"/>
      <c r="H343" s="33"/>
      <c r="I343" s="35"/>
      <c r="J343" s="33"/>
      <c r="K343" s="36"/>
      <c r="L343" s="35"/>
      <c r="M343" s="33"/>
      <c r="N343" s="33"/>
      <c r="O343" s="33"/>
      <c r="P343" s="33"/>
      <c r="Q343" s="37" t="str">
        <f>IF(G343="","",IFERROR(MIN(100,G343/'Input &amp; Settings'!$B$5*100),""))</f>
        <v/>
      </c>
      <c r="R343" s="37" t="str">
        <f>IF(H343="","",IFERROR(MIN(100,H343/'Input &amp; Settings'!$B$6*100),""))</f>
        <v/>
      </c>
      <c r="S343" s="37" t="str">
        <f>IF(I343="","",IFERROR(MIN(100,I343/'Input &amp; Settings'!$B$7*100),""))</f>
        <v/>
      </c>
      <c r="T343" s="37" t="str">
        <f>IF(J343="","",IFERROR(MIN(100,J343/'Input &amp; Settings'!$B$8*100),""))</f>
        <v/>
      </c>
      <c r="U343" s="37" t="str">
        <f>IF(K343="","",IFERROR(MIN(100,K343/'Input &amp; Settings'!$B$9*100),""))</f>
        <v/>
      </c>
      <c r="V343" s="37" t="str">
        <f>IF(L343="","",IFERROR(MIN(100,L343/'Input &amp; Settings'!$B$10*100),""))</f>
        <v/>
      </c>
      <c r="W343" s="37" t="str">
        <f>IF(M343="","",IFERROR(IF(M343&lt;='Input &amp; Settings'!$B$11,100,MAX(0,100-(M343-'Input &amp; Settings'!$B$11)*20)),""))</f>
        <v/>
      </c>
      <c r="X343" s="37" t="str">
        <f>IF(N343="","",IFERROR(MIN(100,N343/'Input &amp; Settings'!$B$12*100),""))</f>
        <v/>
      </c>
      <c r="Y343" s="37" t="str">
        <f>IF(O343="","",IFERROR(MIN(100,O343/'Input &amp; Settings'!$B$13*100),""))</f>
        <v/>
      </c>
      <c r="Z343" s="37" t="str">
        <f>IF(P343="","",IFERROR(IF(P343&lt;='Input &amp; Settings'!$B$14,100,MAX(0,100-(P343-'Input &amp; Settings'!$B$14)*20)),""))</f>
        <v/>
      </c>
      <c r="AA343" s="37" t="str">
        <f>IF(COUNTA(G343:P343)=0,"",ROUND(Q343*'Input &amp; Settings'!$C$5+R343*'Input &amp; Settings'!$C$6+S343*'Input &amp; Settings'!$C$7+T343*'Input &amp; Settings'!$C$8+U343*'Input &amp; Settings'!$C$9+V343*'Input &amp; Settings'!$C$10+W343*'Input &amp; Settings'!$C$11+X343*'Input &amp; Settings'!$C$12+Y343*'Input &amp; Settings'!$C$13+Z343*'Input &amp; Settings'!$C$14,1))</f>
        <v/>
      </c>
      <c r="AB343" s="38" t="str">
        <f>IF(OR(AA343="",E343=""),"",IFERROR(IF(AA343&gt;=VLOOKUP(E343,'Input &amp; Settings'!$F$5:$K$10,3,FALSE),"Outstanding",IF(AA343&gt;=VLOOKUP(E343,'Input &amp; Settings'!$F$5:$K$10,4,FALSE),"Exceeds Expectations",IF(AA343&gt;=VLOOKUP(E343,'Input &amp; Settings'!$F$5:$K$10,5,FALSE),"Meets Expectations",IF(AA343&gt;=VLOOKUP(E343,'Input &amp; Settings'!$F$5:$K$10,6,FALSE),"Needs Improvement","Performance Improvement Required")))),""))</f>
        <v/>
      </c>
      <c r="AC343" s="38" t="str">
        <f t="shared" si="20"/>
        <v/>
      </c>
      <c r="AD343" s="39"/>
      <c r="AE343" s="40"/>
      <c r="AF343" s="41" t="str">
        <f t="shared" si="21"/>
        <v/>
      </c>
      <c r="AG343" s="42" t="str">
        <f t="shared" si="22"/>
        <v/>
      </c>
      <c r="AH343" s="42" t="str">
        <f t="shared" si="23"/>
        <v>Peter Gonzalez|September</v>
      </c>
    </row>
    <row r="344" spans="1:34" hidden="1">
      <c r="A344" s="32">
        <v>2026</v>
      </c>
      <c r="B344" s="32" t="s">
        <v>94</v>
      </c>
      <c r="C344" s="32" t="s">
        <v>36</v>
      </c>
      <c r="D344" s="32" t="s">
        <v>42</v>
      </c>
      <c r="E344" s="33"/>
      <c r="F344" s="34" t="str">
        <f>IF(E344="","",IFERROR(VLOOKUP(E344,'Input &amp; Settings'!$F$5:$G$10,2,FALSE),""))</f>
        <v/>
      </c>
      <c r="G344" s="33"/>
      <c r="H344" s="33"/>
      <c r="I344" s="35"/>
      <c r="J344" s="33"/>
      <c r="K344" s="36"/>
      <c r="L344" s="35"/>
      <c r="M344" s="33"/>
      <c r="N344" s="33"/>
      <c r="O344" s="33"/>
      <c r="P344" s="33"/>
      <c r="Q344" s="37" t="str">
        <f>IF(G344="","",IFERROR(MIN(100,G344/'Input &amp; Settings'!$B$5*100),""))</f>
        <v/>
      </c>
      <c r="R344" s="37" t="str">
        <f>IF(H344="","",IFERROR(MIN(100,H344/'Input &amp; Settings'!$B$6*100),""))</f>
        <v/>
      </c>
      <c r="S344" s="37" t="str">
        <f>IF(I344="","",IFERROR(MIN(100,I344/'Input &amp; Settings'!$B$7*100),""))</f>
        <v/>
      </c>
      <c r="T344" s="37" t="str">
        <f>IF(J344="","",IFERROR(MIN(100,J344/'Input &amp; Settings'!$B$8*100),""))</f>
        <v/>
      </c>
      <c r="U344" s="37" t="str">
        <f>IF(K344="","",IFERROR(MIN(100,K344/'Input &amp; Settings'!$B$9*100),""))</f>
        <v/>
      </c>
      <c r="V344" s="37" t="str">
        <f>IF(L344="","",IFERROR(MIN(100,L344/'Input &amp; Settings'!$B$10*100),""))</f>
        <v/>
      </c>
      <c r="W344" s="37" t="str">
        <f>IF(M344="","",IFERROR(IF(M344&lt;='Input &amp; Settings'!$B$11,100,MAX(0,100-(M344-'Input &amp; Settings'!$B$11)*20)),""))</f>
        <v/>
      </c>
      <c r="X344" s="37" t="str">
        <f>IF(N344="","",IFERROR(MIN(100,N344/'Input &amp; Settings'!$B$12*100),""))</f>
        <v/>
      </c>
      <c r="Y344" s="37" t="str">
        <f>IF(O344="","",IFERROR(MIN(100,O344/'Input &amp; Settings'!$B$13*100),""))</f>
        <v/>
      </c>
      <c r="Z344" s="37" t="str">
        <f>IF(P344="","",IFERROR(IF(P344&lt;='Input &amp; Settings'!$B$14,100,MAX(0,100-(P344-'Input &amp; Settings'!$B$14)*20)),""))</f>
        <v/>
      </c>
      <c r="AA344" s="37" t="str">
        <f>IF(COUNTA(G344:P344)=0,"",ROUND(Q344*'Input &amp; Settings'!$C$5+R344*'Input &amp; Settings'!$C$6+S344*'Input &amp; Settings'!$C$7+T344*'Input &amp; Settings'!$C$8+U344*'Input &amp; Settings'!$C$9+V344*'Input &amp; Settings'!$C$10+W344*'Input &amp; Settings'!$C$11+X344*'Input &amp; Settings'!$C$12+Y344*'Input &amp; Settings'!$C$13+Z344*'Input &amp; Settings'!$C$14,1))</f>
        <v/>
      </c>
      <c r="AB344" s="38" t="str">
        <f>IF(OR(AA344="",E344=""),"",IFERROR(IF(AA344&gt;=VLOOKUP(E344,'Input &amp; Settings'!$F$5:$K$10,3,FALSE),"Outstanding",IF(AA344&gt;=VLOOKUP(E344,'Input &amp; Settings'!$F$5:$K$10,4,FALSE),"Exceeds Expectations",IF(AA344&gt;=VLOOKUP(E344,'Input &amp; Settings'!$F$5:$K$10,5,FALSE),"Meets Expectations",IF(AA344&gt;=VLOOKUP(E344,'Input &amp; Settings'!$F$5:$K$10,6,FALSE),"Needs Improvement","Performance Improvement Required")))),""))</f>
        <v/>
      </c>
      <c r="AC344" s="38" t="str">
        <f t="shared" si="20"/>
        <v/>
      </c>
      <c r="AD344" s="39"/>
      <c r="AE344" s="40"/>
      <c r="AF344" s="41" t="str">
        <f t="shared" si="21"/>
        <v/>
      </c>
      <c r="AG344" s="42" t="str">
        <f t="shared" si="22"/>
        <v/>
      </c>
      <c r="AH344" s="42" t="str">
        <f t="shared" si="23"/>
        <v>Dennis Hartling|September</v>
      </c>
    </row>
    <row r="345" spans="1:34" hidden="1">
      <c r="A345" s="32">
        <v>2026</v>
      </c>
      <c r="B345" s="32" t="s">
        <v>94</v>
      </c>
      <c r="C345" s="32" t="s">
        <v>36</v>
      </c>
      <c r="D345" s="32" t="s">
        <v>43</v>
      </c>
      <c r="E345" s="33"/>
      <c r="F345" s="34" t="str">
        <f>IF(E345="","",IFERROR(VLOOKUP(E345,'Input &amp; Settings'!$F$5:$G$10,2,FALSE),""))</f>
        <v/>
      </c>
      <c r="G345" s="33"/>
      <c r="H345" s="33"/>
      <c r="I345" s="35"/>
      <c r="J345" s="33"/>
      <c r="K345" s="36"/>
      <c r="L345" s="35"/>
      <c r="M345" s="33"/>
      <c r="N345" s="33"/>
      <c r="O345" s="33"/>
      <c r="P345" s="33"/>
      <c r="Q345" s="37" t="str">
        <f>IF(G345="","",IFERROR(MIN(100,G345/'Input &amp; Settings'!$B$5*100),""))</f>
        <v/>
      </c>
      <c r="R345" s="37" t="str">
        <f>IF(H345="","",IFERROR(MIN(100,H345/'Input &amp; Settings'!$B$6*100),""))</f>
        <v/>
      </c>
      <c r="S345" s="37" t="str">
        <f>IF(I345="","",IFERROR(MIN(100,I345/'Input &amp; Settings'!$B$7*100),""))</f>
        <v/>
      </c>
      <c r="T345" s="37" t="str">
        <f>IF(J345="","",IFERROR(MIN(100,J345/'Input &amp; Settings'!$B$8*100),""))</f>
        <v/>
      </c>
      <c r="U345" s="37" t="str">
        <f>IF(K345="","",IFERROR(MIN(100,K345/'Input &amp; Settings'!$B$9*100),""))</f>
        <v/>
      </c>
      <c r="V345" s="37" t="str">
        <f>IF(L345="","",IFERROR(MIN(100,L345/'Input &amp; Settings'!$B$10*100),""))</f>
        <v/>
      </c>
      <c r="W345" s="37" t="str">
        <f>IF(M345="","",IFERROR(IF(M345&lt;='Input &amp; Settings'!$B$11,100,MAX(0,100-(M345-'Input &amp; Settings'!$B$11)*20)),""))</f>
        <v/>
      </c>
      <c r="X345" s="37" t="str">
        <f>IF(N345="","",IFERROR(MIN(100,N345/'Input &amp; Settings'!$B$12*100),""))</f>
        <v/>
      </c>
      <c r="Y345" s="37" t="str">
        <f>IF(O345="","",IFERROR(MIN(100,O345/'Input &amp; Settings'!$B$13*100),""))</f>
        <v/>
      </c>
      <c r="Z345" s="37" t="str">
        <f>IF(P345="","",IFERROR(IF(P345&lt;='Input &amp; Settings'!$B$14,100,MAX(0,100-(P345-'Input &amp; Settings'!$B$14)*20)),""))</f>
        <v/>
      </c>
      <c r="AA345" s="37" t="str">
        <f>IF(COUNTA(G345:P345)=0,"",ROUND(Q345*'Input &amp; Settings'!$C$5+R345*'Input &amp; Settings'!$C$6+S345*'Input &amp; Settings'!$C$7+T345*'Input &amp; Settings'!$C$8+U345*'Input &amp; Settings'!$C$9+V345*'Input &amp; Settings'!$C$10+W345*'Input &amp; Settings'!$C$11+X345*'Input &amp; Settings'!$C$12+Y345*'Input &amp; Settings'!$C$13+Z345*'Input &amp; Settings'!$C$14,1))</f>
        <v/>
      </c>
      <c r="AB345" s="38" t="str">
        <f>IF(OR(AA345="",E345=""),"",IFERROR(IF(AA345&gt;=VLOOKUP(E345,'Input &amp; Settings'!$F$5:$K$10,3,FALSE),"Outstanding",IF(AA345&gt;=VLOOKUP(E345,'Input &amp; Settings'!$F$5:$K$10,4,FALSE),"Exceeds Expectations",IF(AA345&gt;=VLOOKUP(E345,'Input &amp; Settings'!$F$5:$K$10,5,FALSE),"Meets Expectations",IF(AA345&gt;=VLOOKUP(E345,'Input &amp; Settings'!$F$5:$K$10,6,FALSE),"Needs Improvement","Performance Improvement Required")))),""))</f>
        <v/>
      </c>
      <c r="AC345" s="38" t="str">
        <f t="shared" si="20"/>
        <v/>
      </c>
      <c r="AD345" s="39"/>
      <c r="AE345" s="40"/>
      <c r="AF345" s="41" t="str">
        <f t="shared" si="21"/>
        <v/>
      </c>
      <c r="AG345" s="42" t="str">
        <f t="shared" si="22"/>
        <v/>
      </c>
      <c r="AH345" s="42" t="str">
        <f t="shared" si="23"/>
        <v>Gilbert Eugene|September</v>
      </c>
    </row>
    <row r="346" spans="1:34" hidden="1">
      <c r="A346" s="32">
        <v>2026</v>
      </c>
      <c r="B346" s="32" t="s">
        <v>94</v>
      </c>
      <c r="C346" s="32" t="s">
        <v>36</v>
      </c>
      <c r="D346" s="32" t="s">
        <v>44</v>
      </c>
      <c r="E346" s="33"/>
      <c r="F346" s="34" t="str">
        <f>IF(E346="","",IFERROR(VLOOKUP(E346,'Input &amp; Settings'!$F$5:$G$10,2,FALSE),""))</f>
        <v/>
      </c>
      <c r="G346" s="33"/>
      <c r="H346" s="33"/>
      <c r="I346" s="35"/>
      <c r="J346" s="33"/>
      <c r="K346" s="36"/>
      <c r="L346" s="35"/>
      <c r="M346" s="33"/>
      <c r="N346" s="33"/>
      <c r="O346" s="33"/>
      <c r="P346" s="33"/>
      <c r="Q346" s="37" t="str">
        <f>IF(G346="","",IFERROR(MIN(100,G346/'Input &amp; Settings'!$B$5*100),""))</f>
        <v/>
      </c>
      <c r="R346" s="37" t="str">
        <f>IF(H346="","",IFERROR(MIN(100,H346/'Input &amp; Settings'!$B$6*100),""))</f>
        <v/>
      </c>
      <c r="S346" s="37" t="str">
        <f>IF(I346="","",IFERROR(MIN(100,I346/'Input &amp; Settings'!$B$7*100),""))</f>
        <v/>
      </c>
      <c r="T346" s="37" t="str">
        <f>IF(J346="","",IFERROR(MIN(100,J346/'Input &amp; Settings'!$B$8*100),""))</f>
        <v/>
      </c>
      <c r="U346" s="37" t="str">
        <f>IF(K346="","",IFERROR(MIN(100,K346/'Input &amp; Settings'!$B$9*100),""))</f>
        <v/>
      </c>
      <c r="V346" s="37" t="str">
        <f>IF(L346="","",IFERROR(MIN(100,L346/'Input &amp; Settings'!$B$10*100),""))</f>
        <v/>
      </c>
      <c r="W346" s="37" t="str">
        <f>IF(M346="","",IFERROR(IF(M346&lt;='Input &amp; Settings'!$B$11,100,MAX(0,100-(M346-'Input &amp; Settings'!$B$11)*20)),""))</f>
        <v/>
      </c>
      <c r="X346" s="37" t="str">
        <f>IF(N346="","",IFERROR(MIN(100,N346/'Input &amp; Settings'!$B$12*100),""))</f>
        <v/>
      </c>
      <c r="Y346" s="37" t="str">
        <f>IF(O346="","",IFERROR(MIN(100,O346/'Input &amp; Settings'!$B$13*100),""))</f>
        <v/>
      </c>
      <c r="Z346" s="37" t="str">
        <f>IF(P346="","",IFERROR(IF(P346&lt;='Input &amp; Settings'!$B$14,100,MAX(0,100-(P346-'Input &amp; Settings'!$B$14)*20)),""))</f>
        <v/>
      </c>
      <c r="AA346" s="37" t="str">
        <f>IF(COUNTA(G346:P346)=0,"",ROUND(Q346*'Input &amp; Settings'!$C$5+R346*'Input &amp; Settings'!$C$6+S346*'Input &amp; Settings'!$C$7+T346*'Input &amp; Settings'!$C$8+U346*'Input &amp; Settings'!$C$9+V346*'Input &amp; Settings'!$C$10+W346*'Input &amp; Settings'!$C$11+X346*'Input &amp; Settings'!$C$12+Y346*'Input &amp; Settings'!$C$13+Z346*'Input &amp; Settings'!$C$14,1))</f>
        <v/>
      </c>
      <c r="AB346" s="38" t="str">
        <f>IF(OR(AA346="",E346=""),"",IFERROR(IF(AA346&gt;=VLOOKUP(E346,'Input &amp; Settings'!$F$5:$K$10,3,FALSE),"Outstanding",IF(AA346&gt;=VLOOKUP(E346,'Input &amp; Settings'!$F$5:$K$10,4,FALSE),"Exceeds Expectations",IF(AA346&gt;=VLOOKUP(E346,'Input &amp; Settings'!$F$5:$K$10,5,FALSE),"Meets Expectations",IF(AA346&gt;=VLOOKUP(E346,'Input &amp; Settings'!$F$5:$K$10,6,FALSE),"Needs Improvement","Performance Improvement Required")))),""))</f>
        <v/>
      </c>
      <c r="AC346" s="38" t="str">
        <f t="shared" si="20"/>
        <v/>
      </c>
      <c r="AD346" s="39"/>
      <c r="AE346" s="40"/>
      <c r="AF346" s="41" t="str">
        <f t="shared" si="21"/>
        <v/>
      </c>
      <c r="AG346" s="42" t="str">
        <f t="shared" si="22"/>
        <v/>
      </c>
      <c r="AH346" s="42" t="str">
        <f t="shared" si="23"/>
        <v>Cory Colstock|September</v>
      </c>
    </row>
    <row r="347" spans="1:34" hidden="1">
      <c r="A347" s="32">
        <v>2026</v>
      </c>
      <c r="B347" s="32" t="s">
        <v>94</v>
      </c>
      <c r="C347" s="32" t="s">
        <v>36</v>
      </c>
      <c r="D347" s="32" t="s">
        <v>45</v>
      </c>
      <c r="E347" s="33"/>
      <c r="F347" s="34" t="str">
        <f>IF(E347="","",IFERROR(VLOOKUP(E347,'Input &amp; Settings'!$F$5:$G$10,2,FALSE),""))</f>
        <v/>
      </c>
      <c r="G347" s="33"/>
      <c r="H347" s="33"/>
      <c r="I347" s="35"/>
      <c r="J347" s="33"/>
      <c r="K347" s="36"/>
      <c r="L347" s="35"/>
      <c r="M347" s="33"/>
      <c r="N347" s="33"/>
      <c r="O347" s="33"/>
      <c r="P347" s="33"/>
      <c r="Q347" s="37" t="str">
        <f>IF(G347="","",IFERROR(MIN(100,G347/'Input &amp; Settings'!$B$5*100),""))</f>
        <v/>
      </c>
      <c r="R347" s="37" t="str">
        <f>IF(H347="","",IFERROR(MIN(100,H347/'Input &amp; Settings'!$B$6*100),""))</f>
        <v/>
      </c>
      <c r="S347" s="37" t="str">
        <f>IF(I347="","",IFERROR(MIN(100,I347/'Input &amp; Settings'!$B$7*100),""))</f>
        <v/>
      </c>
      <c r="T347" s="37" t="str">
        <f>IF(J347="","",IFERROR(MIN(100,J347/'Input &amp; Settings'!$B$8*100),""))</f>
        <v/>
      </c>
      <c r="U347" s="37" t="str">
        <f>IF(K347="","",IFERROR(MIN(100,K347/'Input &amp; Settings'!$B$9*100),""))</f>
        <v/>
      </c>
      <c r="V347" s="37" t="str">
        <f>IF(L347="","",IFERROR(MIN(100,L347/'Input &amp; Settings'!$B$10*100),""))</f>
        <v/>
      </c>
      <c r="W347" s="37" t="str">
        <f>IF(M347="","",IFERROR(IF(M347&lt;='Input &amp; Settings'!$B$11,100,MAX(0,100-(M347-'Input &amp; Settings'!$B$11)*20)),""))</f>
        <v/>
      </c>
      <c r="X347" s="37" t="str">
        <f>IF(N347="","",IFERROR(MIN(100,N347/'Input &amp; Settings'!$B$12*100),""))</f>
        <v/>
      </c>
      <c r="Y347" s="37" t="str">
        <f>IF(O347="","",IFERROR(MIN(100,O347/'Input &amp; Settings'!$B$13*100),""))</f>
        <v/>
      </c>
      <c r="Z347" s="37" t="str">
        <f>IF(P347="","",IFERROR(IF(P347&lt;='Input &amp; Settings'!$B$14,100,MAX(0,100-(P347-'Input &amp; Settings'!$B$14)*20)),""))</f>
        <v/>
      </c>
      <c r="AA347" s="37" t="str">
        <f>IF(COUNTA(G347:P347)=0,"",ROUND(Q347*'Input &amp; Settings'!$C$5+R347*'Input &amp; Settings'!$C$6+S347*'Input &amp; Settings'!$C$7+T347*'Input &amp; Settings'!$C$8+U347*'Input &amp; Settings'!$C$9+V347*'Input &amp; Settings'!$C$10+W347*'Input &amp; Settings'!$C$11+X347*'Input &amp; Settings'!$C$12+Y347*'Input &amp; Settings'!$C$13+Z347*'Input &amp; Settings'!$C$14,1))</f>
        <v/>
      </c>
      <c r="AB347" s="38" t="str">
        <f>IF(OR(AA347="",E347=""),"",IFERROR(IF(AA347&gt;=VLOOKUP(E347,'Input &amp; Settings'!$F$5:$K$10,3,FALSE),"Outstanding",IF(AA347&gt;=VLOOKUP(E347,'Input &amp; Settings'!$F$5:$K$10,4,FALSE),"Exceeds Expectations",IF(AA347&gt;=VLOOKUP(E347,'Input &amp; Settings'!$F$5:$K$10,5,FALSE),"Meets Expectations",IF(AA347&gt;=VLOOKUP(E347,'Input &amp; Settings'!$F$5:$K$10,6,FALSE),"Needs Improvement","Performance Improvement Required")))),""))</f>
        <v/>
      </c>
      <c r="AC347" s="38" t="str">
        <f t="shared" si="20"/>
        <v/>
      </c>
      <c r="AD347" s="39"/>
      <c r="AE347" s="40"/>
      <c r="AF347" s="41" t="str">
        <f t="shared" si="21"/>
        <v/>
      </c>
      <c r="AG347" s="42" t="str">
        <f t="shared" si="22"/>
        <v/>
      </c>
      <c r="AH347" s="42" t="str">
        <f t="shared" si="23"/>
        <v>Jerald Woodward (Jerry)|September</v>
      </c>
    </row>
    <row r="348" spans="1:34" hidden="1">
      <c r="A348" s="32">
        <v>2026</v>
      </c>
      <c r="B348" s="32" t="s">
        <v>94</v>
      </c>
      <c r="C348" s="32" t="s">
        <v>36</v>
      </c>
      <c r="D348" s="32" t="s">
        <v>46</v>
      </c>
      <c r="E348" s="33"/>
      <c r="F348" s="34" t="str">
        <f>IF(E348="","",IFERROR(VLOOKUP(E348,'Input &amp; Settings'!$F$5:$G$10,2,FALSE),""))</f>
        <v/>
      </c>
      <c r="G348" s="33"/>
      <c r="H348" s="33"/>
      <c r="I348" s="35"/>
      <c r="J348" s="33"/>
      <c r="K348" s="36"/>
      <c r="L348" s="35"/>
      <c r="M348" s="33"/>
      <c r="N348" s="33"/>
      <c r="O348" s="33"/>
      <c r="P348" s="33"/>
      <c r="Q348" s="37" t="str">
        <f>IF(G348="","",IFERROR(MIN(100,G348/'Input &amp; Settings'!$B$5*100),""))</f>
        <v/>
      </c>
      <c r="R348" s="37" t="str">
        <f>IF(H348="","",IFERROR(MIN(100,H348/'Input &amp; Settings'!$B$6*100),""))</f>
        <v/>
      </c>
      <c r="S348" s="37" t="str">
        <f>IF(I348="","",IFERROR(MIN(100,I348/'Input &amp; Settings'!$B$7*100),""))</f>
        <v/>
      </c>
      <c r="T348" s="37" t="str">
        <f>IF(J348="","",IFERROR(MIN(100,J348/'Input &amp; Settings'!$B$8*100),""))</f>
        <v/>
      </c>
      <c r="U348" s="37" t="str">
        <f>IF(K348="","",IFERROR(MIN(100,K348/'Input &amp; Settings'!$B$9*100),""))</f>
        <v/>
      </c>
      <c r="V348" s="37" t="str">
        <f>IF(L348="","",IFERROR(MIN(100,L348/'Input &amp; Settings'!$B$10*100),""))</f>
        <v/>
      </c>
      <c r="W348" s="37" t="str">
        <f>IF(M348="","",IFERROR(IF(M348&lt;='Input &amp; Settings'!$B$11,100,MAX(0,100-(M348-'Input &amp; Settings'!$B$11)*20)),""))</f>
        <v/>
      </c>
      <c r="X348" s="37" t="str">
        <f>IF(N348="","",IFERROR(MIN(100,N348/'Input &amp; Settings'!$B$12*100),""))</f>
        <v/>
      </c>
      <c r="Y348" s="37" t="str">
        <f>IF(O348="","",IFERROR(MIN(100,O348/'Input &amp; Settings'!$B$13*100),""))</f>
        <v/>
      </c>
      <c r="Z348" s="37" t="str">
        <f>IF(P348="","",IFERROR(IF(P348&lt;='Input &amp; Settings'!$B$14,100,MAX(0,100-(P348-'Input &amp; Settings'!$B$14)*20)),""))</f>
        <v/>
      </c>
      <c r="AA348" s="37" t="str">
        <f>IF(COUNTA(G348:P348)=0,"",ROUND(Q348*'Input &amp; Settings'!$C$5+R348*'Input &amp; Settings'!$C$6+S348*'Input &amp; Settings'!$C$7+T348*'Input &amp; Settings'!$C$8+U348*'Input &amp; Settings'!$C$9+V348*'Input &amp; Settings'!$C$10+W348*'Input &amp; Settings'!$C$11+X348*'Input &amp; Settings'!$C$12+Y348*'Input &amp; Settings'!$C$13+Z348*'Input &amp; Settings'!$C$14,1))</f>
        <v/>
      </c>
      <c r="AB348" s="38" t="str">
        <f>IF(OR(AA348="",E348=""),"",IFERROR(IF(AA348&gt;=VLOOKUP(E348,'Input &amp; Settings'!$F$5:$K$10,3,FALSE),"Outstanding",IF(AA348&gt;=VLOOKUP(E348,'Input &amp; Settings'!$F$5:$K$10,4,FALSE),"Exceeds Expectations",IF(AA348&gt;=VLOOKUP(E348,'Input &amp; Settings'!$F$5:$K$10,5,FALSE),"Meets Expectations",IF(AA348&gt;=VLOOKUP(E348,'Input &amp; Settings'!$F$5:$K$10,6,FALSE),"Needs Improvement","Performance Improvement Required")))),""))</f>
        <v/>
      </c>
      <c r="AC348" s="38" t="str">
        <f t="shared" si="20"/>
        <v/>
      </c>
      <c r="AD348" s="39"/>
      <c r="AE348" s="40"/>
      <c r="AF348" s="41" t="str">
        <f t="shared" si="21"/>
        <v/>
      </c>
      <c r="AG348" s="42" t="str">
        <f t="shared" si="22"/>
        <v/>
      </c>
      <c r="AH348" s="42" t="str">
        <f t="shared" si="23"/>
        <v>Alvaro Hernandez|September</v>
      </c>
    </row>
    <row r="349" spans="1:34" hidden="1">
      <c r="A349" s="32">
        <v>2026</v>
      </c>
      <c r="B349" s="32" t="s">
        <v>94</v>
      </c>
      <c r="C349" s="32" t="s">
        <v>36</v>
      </c>
      <c r="D349" s="32" t="s">
        <v>47</v>
      </c>
      <c r="E349" s="33"/>
      <c r="F349" s="34" t="str">
        <f>IF(E349="","",IFERROR(VLOOKUP(E349,'Input &amp; Settings'!$F$5:$G$10,2,FALSE),""))</f>
        <v/>
      </c>
      <c r="G349" s="33"/>
      <c r="H349" s="33"/>
      <c r="I349" s="35"/>
      <c r="J349" s="33"/>
      <c r="K349" s="36"/>
      <c r="L349" s="35"/>
      <c r="M349" s="33"/>
      <c r="N349" s="33"/>
      <c r="O349" s="33"/>
      <c r="P349" s="33"/>
      <c r="Q349" s="37" t="str">
        <f>IF(G349="","",IFERROR(MIN(100,G349/'Input &amp; Settings'!$B$5*100),""))</f>
        <v/>
      </c>
      <c r="R349" s="37" t="str">
        <f>IF(H349="","",IFERROR(MIN(100,H349/'Input &amp; Settings'!$B$6*100),""))</f>
        <v/>
      </c>
      <c r="S349" s="37" t="str">
        <f>IF(I349="","",IFERROR(MIN(100,I349/'Input &amp; Settings'!$B$7*100),""))</f>
        <v/>
      </c>
      <c r="T349" s="37" t="str">
        <f>IF(J349="","",IFERROR(MIN(100,J349/'Input &amp; Settings'!$B$8*100),""))</f>
        <v/>
      </c>
      <c r="U349" s="37" t="str">
        <f>IF(K349="","",IFERROR(MIN(100,K349/'Input &amp; Settings'!$B$9*100),""))</f>
        <v/>
      </c>
      <c r="V349" s="37" t="str">
        <f>IF(L349="","",IFERROR(MIN(100,L349/'Input &amp; Settings'!$B$10*100),""))</f>
        <v/>
      </c>
      <c r="W349" s="37" t="str">
        <f>IF(M349="","",IFERROR(IF(M349&lt;='Input &amp; Settings'!$B$11,100,MAX(0,100-(M349-'Input &amp; Settings'!$B$11)*20)),""))</f>
        <v/>
      </c>
      <c r="X349" s="37" t="str">
        <f>IF(N349="","",IFERROR(MIN(100,N349/'Input &amp; Settings'!$B$12*100),""))</f>
        <v/>
      </c>
      <c r="Y349" s="37" t="str">
        <f>IF(O349="","",IFERROR(MIN(100,O349/'Input &amp; Settings'!$B$13*100),""))</f>
        <v/>
      </c>
      <c r="Z349" s="37" t="str">
        <f>IF(P349="","",IFERROR(IF(P349&lt;='Input &amp; Settings'!$B$14,100,MAX(0,100-(P349-'Input &amp; Settings'!$B$14)*20)),""))</f>
        <v/>
      </c>
      <c r="AA349" s="37" t="str">
        <f>IF(COUNTA(G349:P349)=0,"",ROUND(Q349*'Input &amp; Settings'!$C$5+R349*'Input &amp; Settings'!$C$6+S349*'Input &amp; Settings'!$C$7+T349*'Input &amp; Settings'!$C$8+U349*'Input &amp; Settings'!$C$9+V349*'Input &amp; Settings'!$C$10+W349*'Input &amp; Settings'!$C$11+X349*'Input &amp; Settings'!$C$12+Y349*'Input &amp; Settings'!$C$13+Z349*'Input &amp; Settings'!$C$14,1))</f>
        <v/>
      </c>
      <c r="AB349" s="38" t="str">
        <f>IF(OR(AA349="",E349=""),"",IFERROR(IF(AA349&gt;=VLOOKUP(E349,'Input &amp; Settings'!$F$5:$K$10,3,FALSE),"Outstanding",IF(AA349&gt;=VLOOKUP(E349,'Input &amp; Settings'!$F$5:$K$10,4,FALSE),"Exceeds Expectations",IF(AA349&gt;=VLOOKUP(E349,'Input &amp; Settings'!$F$5:$K$10,5,FALSE),"Meets Expectations",IF(AA349&gt;=VLOOKUP(E349,'Input &amp; Settings'!$F$5:$K$10,6,FALSE),"Needs Improvement","Performance Improvement Required")))),""))</f>
        <v/>
      </c>
      <c r="AC349" s="38" t="str">
        <f t="shared" si="20"/>
        <v/>
      </c>
      <c r="AD349" s="39"/>
      <c r="AE349" s="40"/>
      <c r="AF349" s="41" t="str">
        <f t="shared" si="21"/>
        <v/>
      </c>
      <c r="AG349" s="42" t="str">
        <f t="shared" si="22"/>
        <v/>
      </c>
      <c r="AH349" s="42" t="str">
        <f t="shared" si="23"/>
        <v>Sarah Clervil|September</v>
      </c>
    </row>
    <row r="350" spans="1:34" hidden="1">
      <c r="A350" s="32">
        <v>2026</v>
      </c>
      <c r="B350" s="32" t="s">
        <v>94</v>
      </c>
      <c r="C350" s="32" t="s">
        <v>36</v>
      </c>
      <c r="D350" s="32" t="s">
        <v>48</v>
      </c>
      <c r="E350" s="33"/>
      <c r="F350" s="34" t="str">
        <f>IF(E350="","",IFERROR(VLOOKUP(E350,'Input &amp; Settings'!$F$5:$G$10,2,FALSE),""))</f>
        <v/>
      </c>
      <c r="G350" s="33"/>
      <c r="H350" s="33"/>
      <c r="I350" s="35"/>
      <c r="J350" s="33"/>
      <c r="K350" s="36"/>
      <c r="L350" s="35"/>
      <c r="M350" s="33"/>
      <c r="N350" s="33"/>
      <c r="O350" s="33"/>
      <c r="P350" s="33"/>
      <c r="Q350" s="37" t="str">
        <f>IF(G350="","",IFERROR(MIN(100,G350/'Input &amp; Settings'!$B$5*100),""))</f>
        <v/>
      </c>
      <c r="R350" s="37" t="str">
        <f>IF(H350="","",IFERROR(MIN(100,H350/'Input &amp; Settings'!$B$6*100),""))</f>
        <v/>
      </c>
      <c r="S350" s="37" t="str">
        <f>IF(I350="","",IFERROR(MIN(100,I350/'Input &amp; Settings'!$B$7*100),""))</f>
        <v/>
      </c>
      <c r="T350" s="37" t="str">
        <f>IF(J350="","",IFERROR(MIN(100,J350/'Input &amp; Settings'!$B$8*100),""))</f>
        <v/>
      </c>
      <c r="U350" s="37" t="str">
        <f>IF(K350="","",IFERROR(MIN(100,K350/'Input &amp; Settings'!$B$9*100),""))</f>
        <v/>
      </c>
      <c r="V350" s="37" t="str">
        <f>IF(L350="","",IFERROR(MIN(100,L350/'Input &amp; Settings'!$B$10*100),""))</f>
        <v/>
      </c>
      <c r="W350" s="37" t="str">
        <f>IF(M350="","",IFERROR(IF(M350&lt;='Input &amp; Settings'!$B$11,100,MAX(0,100-(M350-'Input &amp; Settings'!$B$11)*20)),""))</f>
        <v/>
      </c>
      <c r="X350" s="37" t="str">
        <f>IF(N350="","",IFERROR(MIN(100,N350/'Input &amp; Settings'!$B$12*100),""))</f>
        <v/>
      </c>
      <c r="Y350" s="37" t="str">
        <f>IF(O350="","",IFERROR(MIN(100,O350/'Input &amp; Settings'!$B$13*100),""))</f>
        <v/>
      </c>
      <c r="Z350" s="37" t="str">
        <f>IF(P350="","",IFERROR(IF(P350&lt;='Input &amp; Settings'!$B$14,100,MAX(0,100-(P350-'Input &amp; Settings'!$B$14)*20)),""))</f>
        <v/>
      </c>
      <c r="AA350" s="37" t="str">
        <f>IF(COUNTA(G350:P350)=0,"",ROUND(Q350*'Input &amp; Settings'!$C$5+R350*'Input &amp; Settings'!$C$6+S350*'Input &amp; Settings'!$C$7+T350*'Input &amp; Settings'!$C$8+U350*'Input &amp; Settings'!$C$9+V350*'Input &amp; Settings'!$C$10+W350*'Input &amp; Settings'!$C$11+X350*'Input &amp; Settings'!$C$12+Y350*'Input &amp; Settings'!$C$13+Z350*'Input &amp; Settings'!$C$14,1))</f>
        <v/>
      </c>
      <c r="AB350" s="38" t="str">
        <f>IF(OR(AA350="",E350=""),"",IFERROR(IF(AA350&gt;=VLOOKUP(E350,'Input &amp; Settings'!$F$5:$K$10,3,FALSE),"Outstanding",IF(AA350&gt;=VLOOKUP(E350,'Input &amp; Settings'!$F$5:$K$10,4,FALSE),"Exceeds Expectations",IF(AA350&gt;=VLOOKUP(E350,'Input &amp; Settings'!$F$5:$K$10,5,FALSE),"Meets Expectations",IF(AA350&gt;=VLOOKUP(E350,'Input &amp; Settings'!$F$5:$K$10,6,FALSE),"Needs Improvement","Performance Improvement Required")))),""))</f>
        <v/>
      </c>
      <c r="AC350" s="38" t="str">
        <f t="shared" si="20"/>
        <v/>
      </c>
      <c r="AD350" s="39"/>
      <c r="AE350" s="40"/>
      <c r="AF350" s="41" t="str">
        <f t="shared" si="21"/>
        <v/>
      </c>
      <c r="AG350" s="42" t="str">
        <f t="shared" si="22"/>
        <v/>
      </c>
      <c r="AH350" s="42" t="str">
        <f t="shared" si="23"/>
        <v>Christopher Ovid|September</v>
      </c>
    </row>
    <row r="351" spans="1:34" hidden="1">
      <c r="A351" s="32">
        <v>2026</v>
      </c>
      <c r="B351" s="32" t="s">
        <v>94</v>
      </c>
      <c r="C351" s="32" t="s">
        <v>36</v>
      </c>
      <c r="D351" s="32" t="s">
        <v>49</v>
      </c>
      <c r="E351" s="33"/>
      <c r="F351" s="34" t="str">
        <f>IF(E351="","",IFERROR(VLOOKUP(E351,'Input &amp; Settings'!$F$5:$G$10,2,FALSE),""))</f>
        <v/>
      </c>
      <c r="G351" s="33"/>
      <c r="H351" s="33"/>
      <c r="I351" s="35"/>
      <c r="J351" s="33"/>
      <c r="K351" s="36"/>
      <c r="L351" s="35"/>
      <c r="M351" s="33"/>
      <c r="N351" s="33"/>
      <c r="O351" s="33"/>
      <c r="P351" s="33"/>
      <c r="Q351" s="37" t="str">
        <f>IF(G351="","",IFERROR(MIN(100,G351/'Input &amp; Settings'!$B$5*100),""))</f>
        <v/>
      </c>
      <c r="R351" s="37" t="str">
        <f>IF(H351="","",IFERROR(MIN(100,H351/'Input &amp; Settings'!$B$6*100),""))</f>
        <v/>
      </c>
      <c r="S351" s="37" t="str">
        <f>IF(I351="","",IFERROR(MIN(100,I351/'Input &amp; Settings'!$B$7*100),""))</f>
        <v/>
      </c>
      <c r="T351" s="37" t="str">
        <f>IF(J351="","",IFERROR(MIN(100,J351/'Input &amp; Settings'!$B$8*100),""))</f>
        <v/>
      </c>
      <c r="U351" s="37" t="str">
        <f>IF(K351="","",IFERROR(MIN(100,K351/'Input &amp; Settings'!$B$9*100),""))</f>
        <v/>
      </c>
      <c r="V351" s="37" t="str">
        <f>IF(L351="","",IFERROR(MIN(100,L351/'Input &amp; Settings'!$B$10*100),""))</f>
        <v/>
      </c>
      <c r="W351" s="37" t="str">
        <f>IF(M351="","",IFERROR(IF(M351&lt;='Input &amp; Settings'!$B$11,100,MAX(0,100-(M351-'Input &amp; Settings'!$B$11)*20)),""))</f>
        <v/>
      </c>
      <c r="X351" s="37" t="str">
        <f>IF(N351="","",IFERROR(MIN(100,N351/'Input &amp; Settings'!$B$12*100),""))</f>
        <v/>
      </c>
      <c r="Y351" s="37" t="str">
        <f>IF(O351="","",IFERROR(MIN(100,O351/'Input &amp; Settings'!$B$13*100),""))</f>
        <v/>
      </c>
      <c r="Z351" s="37" t="str">
        <f>IF(P351="","",IFERROR(IF(P351&lt;='Input &amp; Settings'!$B$14,100,MAX(0,100-(P351-'Input &amp; Settings'!$B$14)*20)),""))</f>
        <v/>
      </c>
      <c r="AA351" s="37" t="str">
        <f>IF(COUNTA(G351:P351)=0,"",ROUND(Q351*'Input &amp; Settings'!$C$5+R351*'Input &amp; Settings'!$C$6+S351*'Input &amp; Settings'!$C$7+T351*'Input &amp; Settings'!$C$8+U351*'Input &amp; Settings'!$C$9+V351*'Input &amp; Settings'!$C$10+W351*'Input &amp; Settings'!$C$11+X351*'Input &amp; Settings'!$C$12+Y351*'Input &amp; Settings'!$C$13+Z351*'Input &amp; Settings'!$C$14,1))</f>
        <v/>
      </c>
      <c r="AB351" s="38" t="str">
        <f>IF(OR(AA351="",E351=""),"",IFERROR(IF(AA351&gt;=VLOOKUP(E351,'Input &amp; Settings'!$F$5:$K$10,3,FALSE),"Outstanding",IF(AA351&gt;=VLOOKUP(E351,'Input &amp; Settings'!$F$5:$K$10,4,FALSE),"Exceeds Expectations",IF(AA351&gt;=VLOOKUP(E351,'Input &amp; Settings'!$F$5:$K$10,5,FALSE),"Meets Expectations",IF(AA351&gt;=VLOOKUP(E351,'Input &amp; Settings'!$F$5:$K$10,6,FALSE),"Needs Improvement","Performance Improvement Required")))),""))</f>
        <v/>
      </c>
      <c r="AC351" s="38" t="str">
        <f t="shared" si="20"/>
        <v/>
      </c>
      <c r="AD351" s="39"/>
      <c r="AE351" s="40"/>
      <c r="AF351" s="41" t="str">
        <f t="shared" si="21"/>
        <v/>
      </c>
      <c r="AG351" s="42" t="str">
        <f t="shared" si="22"/>
        <v/>
      </c>
      <c r="AH351" s="42" t="str">
        <f t="shared" si="23"/>
        <v>Rafael Godinez|September</v>
      </c>
    </row>
    <row r="352" spans="1:34" hidden="1">
      <c r="A352" s="32">
        <v>2026</v>
      </c>
      <c r="B352" s="32" t="s">
        <v>94</v>
      </c>
      <c r="C352" s="32" t="s">
        <v>36</v>
      </c>
      <c r="D352" s="32" t="s">
        <v>50</v>
      </c>
      <c r="E352" s="33"/>
      <c r="F352" s="34" t="str">
        <f>IF(E352="","",IFERROR(VLOOKUP(E352,'Input &amp; Settings'!$F$5:$G$10,2,FALSE),""))</f>
        <v/>
      </c>
      <c r="G352" s="33"/>
      <c r="H352" s="33"/>
      <c r="I352" s="35"/>
      <c r="J352" s="33"/>
      <c r="K352" s="36"/>
      <c r="L352" s="35"/>
      <c r="M352" s="33"/>
      <c r="N352" s="33"/>
      <c r="O352" s="33"/>
      <c r="P352" s="33"/>
      <c r="Q352" s="37" t="str">
        <f>IF(G352="","",IFERROR(MIN(100,G352/'Input &amp; Settings'!$B$5*100),""))</f>
        <v/>
      </c>
      <c r="R352" s="37" t="str">
        <f>IF(H352="","",IFERROR(MIN(100,H352/'Input &amp; Settings'!$B$6*100),""))</f>
        <v/>
      </c>
      <c r="S352" s="37" t="str">
        <f>IF(I352="","",IFERROR(MIN(100,I352/'Input &amp; Settings'!$B$7*100),""))</f>
        <v/>
      </c>
      <c r="T352" s="37" t="str">
        <f>IF(J352="","",IFERROR(MIN(100,J352/'Input &amp; Settings'!$B$8*100),""))</f>
        <v/>
      </c>
      <c r="U352" s="37" t="str">
        <f>IF(K352="","",IFERROR(MIN(100,K352/'Input &amp; Settings'!$B$9*100),""))</f>
        <v/>
      </c>
      <c r="V352" s="37" t="str">
        <f>IF(L352="","",IFERROR(MIN(100,L352/'Input &amp; Settings'!$B$10*100),""))</f>
        <v/>
      </c>
      <c r="W352" s="37" t="str">
        <f>IF(M352="","",IFERROR(IF(M352&lt;='Input &amp; Settings'!$B$11,100,MAX(0,100-(M352-'Input &amp; Settings'!$B$11)*20)),""))</f>
        <v/>
      </c>
      <c r="X352" s="37" t="str">
        <f>IF(N352="","",IFERROR(MIN(100,N352/'Input &amp; Settings'!$B$12*100),""))</f>
        <v/>
      </c>
      <c r="Y352" s="37" t="str">
        <f>IF(O352="","",IFERROR(MIN(100,O352/'Input &amp; Settings'!$B$13*100),""))</f>
        <v/>
      </c>
      <c r="Z352" s="37" t="str">
        <f>IF(P352="","",IFERROR(IF(P352&lt;='Input &amp; Settings'!$B$14,100,MAX(0,100-(P352-'Input &amp; Settings'!$B$14)*20)),""))</f>
        <v/>
      </c>
      <c r="AA352" s="37" t="str">
        <f>IF(COUNTA(G352:P352)=0,"",ROUND(Q352*'Input &amp; Settings'!$C$5+R352*'Input &amp; Settings'!$C$6+S352*'Input &amp; Settings'!$C$7+T352*'Input &amp; Settings'!$C$8+U352*'Input &amp; Settings'!$C$9+V352*'Input &amp; Settings'!$C$10+W352*'Input &amp; Settings'!$C$11+X352*'Input &amp; Settings'!$C$12+Y352*'Input &amp; Settings'!$C$13+Z352*'Input &amp; Settings'!$C$14,1))</f>
        <v/>
      </c>
      <c r="AB352" s="38" t="str">
        <f>IF(OR(AA352="",E352=""),"",IFERROR(IF(AA352&gt;=VLOOKUP(E352,'Input &amp; Settings'!$F$5:$K$10,3,FALSE),"Outstanding",IF(AA352&gt;=VLOOKUP(E352,'Input &amp; Settings'!$F$5:$K$10,4,FALSE),"Exceeds Expectations",IF(AA352&gt;=VLOOKUP(E352,'Input &amp; Settings'!$F$5:$K$10,5,FALSE),"Meets Expectations",IF(AA352&gt;=VLOOKUP(E352,'Input &amp; Settings'!$F$5:$K$10,6,FALSE),"Needs Improvement","Performance Improvement Required")))),""))</f>
        <v/>
      </c>
      <c r="AC352" s="38" t="str">
        <f t="shared" si="20"/>
        <v/>
      </c>
      <c r="AD352" s="39"/>
      <c r="AE352" s="40"/>
      <c r="AF352" s="41" t="str">
        <f t="shared" si="21"/>
        <v/>
      </c>
      <c r="AG352" s="42" t="str">
        <f t="shared" si="22"/>
        <v/>
      </c>
      <c r="AH352" s="42" t="str">
        <f t="shared" si="23"/>
        <v>Dennis Mayorga|September</v>
      </c>
    </row>
    <row r="353" spans="1:34" hidden="1">
      <c r="A353" s="32">
        <v>2026</v>
      </c>
      <c r="B353" s="32" t="s">
        <v>94</v>
      </c>
      <c r="C353" s="32" t="s">
        <v>36</v>
      </c>
      <c r="D353" s="32" t="s">
        <v>51</v>
      </c>
      <c r="E353" s="33"/>
      <c r="F353" s="34" t="str">
        <f>IF(E353="","",IFERROR(VLOOKUP(E353,'Input &amp; Settings'!$F$5:$G$10,2,FALSE),""))</f>
        <v/>
      </c>
      <c r="G353" s="33"/>
      <c r="H353" s="33"/>
      <c r="I353" s="35"/>
      <c r="J353" s="33"/>
      <c r="K353" s="36"/>
      <c r="L353" s="35"/>
      <c r="M353" s="33"/>
      <c r="N353" s="33"/>
      <c r="O353" s="33"/>
      <c r="P353" s="33"/>
      <c r="Q353" s="37" t="str">
        <f>IF(G353="","",IFERROR(MIN(100,G353/'Input &amp; Settings'!$B$5*100),""))</f>
        <v/>
      </c>
      <c r="R353" s="37" t="str">
        <f>IF(H353="","",IFERROR(MIN(100,H353/'Input &amp; Settings'!$B$6*100),""))</f>
        <v/>
      </c>
      <c r="S353" s="37" t="str">
        <f>IF(I353="","",IFERROR(MIN(100,I353/'Input &amp; Settings'!$B$7*100),""))</f>
        <v/>
      </c>
      <c r="T353" s="37" t="str">
        <f>IF(J353="","",IFERROR(MIN(100,J353/'Input &amp; Settings'!$B$8*100),""))</f>
        <v/>
      </c>
      <c r="U353" s="37" t="str">
        <f>IF(K353="","",IFERROR(MIN(100,K353/'Input &amp; Settings'!$B$9*100),""))</f>
        <v/>
      </c>
      <c r="V353" s="37" t="str">
        <f>IF(L353="","",IFERROR(MIN(100,L353/'Input &amp; Settings'!$B$10*100),""))</f>
        <v/>
      </c>
      <c r="W353" s="37" t="str">
        <f>IF(M353="","",IFERROR(IF(M353&lt;='Input &amp; Settings'!$B$11,100,MAX(0,100-(M353-'Input &amp; Settings'!$B$11)*20)),""))</f>
        <v/>
      </c>
      <c r="X353" s="37" t="str">
        <f>IF(N353="","",IFERROR(MIN(100,N353/'Input &amp; Settings'!$B$12*100),""))</f>
        <v/>
      </c>
      <c r="Y353" s="37" t="str">
        <f>IF(O353="","",IFERROR(MIN(100,O353/'Input &amp; Settings'!$B$13*100),""))</f>
        <v/>
      </c>
      <c r="Z353" s="37" t="str">
        <f>IF(P353="","",IFERROR(IF(P353&lt;='Input &amp; Settings'!$B$14,100,MAX(0,100-(P353-'Input &amp; Settings'!$B$14)*20)),""))</f>
        <v/>
      </c>
      <c r="AA353" s="37" t="str">
        <f>IF(COUNTA(G353:P353)=0,"",ROUND(Q353*'Input &amp; Settings'!$C$5+R353*'Input &amp; Settings'!$C$6+S353*'Input &amp; Settings'!$C$7+T353*'Input &amp; Settings'!$C$8+U353*'Input &amp; Settings'!$C$9+V353*'Input &amp; Settings'!$C$10+W353*'Input &amp; Settings'!$C$11+X353*'Input &amp; Settings'!$C$12+Y353*'Input &amp; Settings'!$C$13+Z353*'Input &amp; Settings'!$C$14,1))</f>
        <v/>
      </c>
      <c r="AB353" s="38" t="str">
        <f>IF(OR(AA353="",E353=""),"",IFERROR(IF(AA353&gt;=VLOOKUP(E353,'Input &amp; Settings'!$F$5:$K$10,3,FALSE),"Outstanding",IF(AA353&gt;=VLOOKUP(E353,'Input &amp; Settings'!$F$5:$K$10,4,FALSE),"Exceeds Expectations",IF(AA353&gt;=VLOOKUP(E353,'Input &amp; Settings'!$F$5:$K$10,5,FALSE),"Meets Expectations",IF(AA353&gt;=VLOOKUP(E353,'Input &amp; Settings'!$F$5:$K$10,6,FALSE),"Needs Improvement","Performance Improvement Required")))),""))</f>
        <v/>
      </c>
      <c r="AC353" s="38" t="str">
        <f t="shared" si="20"/>
        <v/>
      </c>
      <c r="AD353" s="39"/>
      <c r="AE353" s="40"/>
      <c r="AF353" s="41" t="str">
        <f t="shared" si="21"/>
        <v/>
      </c>
      <c r="AG353" s="42" t="str">
        <f t="shared" si="22"/>
        <v/>
      </c>
      <c r="AH353" s="42" t="str">
        <f t="shared" si="23"/>
        <v>Jose Reyes-Navolskyi (Ivan)|September</v>
      </c>
    </row>
    <row r="354" spans="1:34" hidden="1">
      <c r="A354" s="32">
        <v>2026</v>
      </c>
      <c r="B354" s="32" t="s">
        <v>94</v>
      </c>
      <c r="C354" s="32" t="s">
        <v>36</v>
      </c>
      <c r="D354" s="32" t="s">
        <v>52</v>
      </c>
      <c r="E354" s="33"/>
      <c r="F354" s="34" t="str">
        <f>IF(E354="","",IFERROR(VLOOKUP(E354,'Input &amp; Settings'!$F$5:$G$10,2,FALSE),""))</f>
        <v/>
      </c>
      <c r="G354" s="33"/>
      <c r="H354" s="33"/>
      <c r="I354" s="35"/>
      <c r="J354" s="33"/>
      <c r="K354" s="36"/>
      <c r="L354" s="35"/>
      <c r="M354" s="33"/>
      <c r="N354" s="33"/>
      <c r="O354" s="33"/>
      <c r="P354" s="33"/>
      <c r="Q354" s="37" t="str">
        <f>IF(G354="","",IFERROR(MIN(100,G354/'Input &amp; Settings'!$B$5*100),""))</f>
        <v/>
      </c>
      <c r="R354" s="37" t="str">
        <f>IF(H354="","",IFERROR(MIN(100,H354/'Input &amp; Settings'!$B$6*100),""))</f>
        <v/>
      </c>
      <c r="S354" s="37" t="str">
        <f>IF(I354="","",IFERROR(MIN(100,I354/'Input &amp; Settings'!$B$7*100),""))</f>
        <v/>
      </c>
      <c r="T354" s="37" t="str">
        <f>IF(J354="","",IFERROR(MIN(100,J354/'Input &amp; Settings'!$B$8*100),""))</f>
        <v/>
      </c>
      <c r="U354" s="37" t="str">
        <f>IF(K354="","",IFERROR(MIN(100,K354/'Input &amp; Settings'!$B$9*100),""))</f>
        <v/>
      </c>
      <c r="V354" s="37" t="str">
        <f>IF(L354="","",IFERROR(MIN(100,L354/'Input &amp; Settings'!$B$10*100),""))</f>
        <v/>
      </c>
      <c r="W354" s="37" t="str">
        <f>IF(M354="","",IFERROR(IF(M354&lt;='Input &amp; Settings'!$B$11,100,MAX(0,100-(M354-'Input &amp; Settings'!$B$11)*20)),""))</f>
        <v/>
      </c>
      <c r="X354" s="37" t="str">
        <f>IF(N354="","",IFERROR(MIN(100,N354/'Input &amp; Settings'!$B$12*100),""))</f>
        <v/>
      </c>
      <c r="Y354" s="37" t="str">
        <f>IF(O354="","",IFERROR(MIN(100,O354/'Input &amp; Settings'!$B$13*100),""))</f>
        <v/>
      </c>
      <c r="Z354" s="37" t="str">
        <f>IF(P354="","",IFERROR(IF(P354&lt;='Input &amp; Settings'!$B$14,100,MAX(0,100-(P354-'Input &amp; Settings'!$B$14)*20)),""))</f>
        <v/>
      </c>
      <c r="AA354" s="37" t="str">
        <f>IF(COUNTA(G354:P354)=0,"",ROUND(Q354*'Input &amp; Settings'!$C$5+R354*'Input &amp; Settings'!$C$6+S354*'Input &amp; Settings'!$C$7+T354*'Input &amp; Settings'!$C$8+U354*'Input &amp; Settings'!$C$9+V354*'Input &amp; Settings'!$C$10+W354*'Input &amp; Settings'!$C$11+X354*'Input &amp; Settings'!$C$12+Y354*'Input &amp; Settings'!$C$13+Z354*'Input &amp; Settings'!$C$14,1))</f>
        <v/>
      </c>
      <c r="AB354" s="38" t="str">
        <f>IF(OR(AA354="",E354=""),"",IFERROR(IF(AA354&gt;=VLOOKUP(E354,'Input &amp; Settings'!$F$5:$K$10,3,FALSE),"Outstanding",IF(AA354&gt;=VLOOKUP(E354,'Input &amp; Settings'!$F$5:$K$10,4,FALSE),"Exceeds Expectations",IF(AA354&gt;=VLOOKUP(E354,'Input &amp; Settings'!$F$5:$K$10,5,FALSE),"Meets Expectations",IF(AA354&gt;=VLOOKUP(E354,'Input &amp; Settings'!$F$5:$K$10,6,FALSE),"Needs Improvement","Performance Improvement Required")))),""))</f>
        <v/>
      </c>
      <c r="AC354" s="38" t="str">
        <f t="shared" si="20"/>
        <v/>
      </c>
      <c r="AD354" s="39"/>
      <c r="AE354" s="40"/>
      <c r="AF354" s="41" t="str">
        <f t="shared" si="21"/>
        <v/>
      </c>
      <c r="AG354" s="42" t="str">
        <f t="shared" si="22"/>
        <v/>
      </c>
      <c r="AH354" s="42" t="str">
        <f t="shared" si="23"/>
        <v>Jonathan Davila|September</v>
      </c>
    </row>
    <row r="355" spans="1:34" hidden="1">
      <c r="A355" s="32">
        <v>2026</v>
      </c>
      <c r="B355" s="32" t="s">
        <v>94</v>
      </c>
      <c r="C355" s="32" t="s">
        <v>53</v>
      </c>
      <c r="D355" s="32" t="s">
        <v>54</v>
      </c>
      <c r="E355" s="33"/>
      <c r="F355" s="34" t="str">
        <f>IF(E355="","",IFERROR(VLOOKUP(E355,'Input &amp; Settings'!$F$5:$G$10,2,FALSE),""))</f>
        <v/>
      </c>
      <c r="G355" s="33"/>
      <c r="H355" s="33"/>
      <c r="I355" s="35"/>
      <c r="J355" s="33"/>
      <c r="K355" s="36"/>
      <c r="L355" s="35"/>
      <c r="M355" s="33"/>
      <c r="N355" s="33"/>
      <c r="O355" s="33"/>
      <c r="P355" s="33"/>
      <c r="Q355" s="37" t="str">
        <f>IF(G355="","",IFERROR(MIN(100,G355/'Input &amp; Settings'!$B$5*100),""))</f>
        <v/>
      </c>
      <c r="R355" s="37" t="str">
        <f>IF(H355="","",IFERROR(MIN(100,H355/'Input &amp; Settings'!$B$6*100),""))</f>
        <v/>
      </c>
      <c r="S355" s="37" t="str">
        <f>IF(I355="","",IFERROR(MIN(100,I355/'Input &amp; Settings'!$B$7*100),""))</f>
        <v/>
      </c>
      <c r="T355" s="37" t="str">
        <f>IF(J355="","",IFERROR(MIN(100,J355/'Input &amp; Settings'!$B$8*100),""))</f>
        <v/>
      </c>
      <c r="U355" s="37" t="str">
        <f>IF(K355="","",IFERROR(MIN(100,K355/'Input &amp; Settings'!$B$9*100),""))</f>
        <v/>
      </c>
      <c r="V355" s="37" t="str">
        <f>IF(L355="","",IFERROR(MIN(100,L355/'Input &amp; Settings'!$B$10*100),""))</f>
        <v/>
      </c>
      <c r="W355" s="37" t="str">
        <f>IF(M355="","",IFERROR(IF(M355&lt;='Input &amp; Settings'!$B$11,100,MAX(0,100-(M355-'Input &amp; Settings'!$B$11)*20)),""))</f>
        <v/>
      </c>
      <c r="X355" s="37" t="str">
        <f>IF(N355="","",IFERROR(MIN(100,N355/'Input &amp; Settings'!$B$12*100),""))</f>
        <v/>
      </c>
      <c r="Y355" s="37" t="str">
        <f>IF(O355="","",IFERROR(MIN(100,O355/'Input &amp; Settings'!$B$13*100),""))</f>
        <v/>
      </c>
      <c r="Z355" s="37" t="str">
        <f>IF(P355="","",IFERROR(IF(P355&lt;='Input &amp; Settings'!$B$14,100,MAX(0,100-(P355-'Input &amp; Settings'!$B$14)*20)),""))</f>
        <v/>
      </c>
      <c r="AA355" s="37" t="str">
        <f>IF(COUNTA(G355:P355)=0,"",ROUND(Q355*'Input &amp; Settings'!$C$5+R355*'Input &amp; Settings'!$C$6+S355*'Input &amp; Settings'!$C$7+T355*'Input &amp; Settings'!$C$8+U355*'Input &amp; Settings'!$C$9+V355*'Input &amp; Settings'!$C$10+W355*'Input &amp; Settings'!$C$11+X355*'Input &amp; Settings'!$C$12+Y355*'Input &amp; Settings'!$C$13+Z355*'Input &amp; Settings'!$C$14,1))</f>
        <v/>
      </c>
      <c r="AB355" s="38" t="str">
        <f>IF(OR(AA355="",E355=""),"",IFERROR(IF(AA355&gt;=VLOOKUP(E355,'Input &amp; Settings'!$F$5:$K$10,3,FALSE),"Outstanding",IF(AA355&gt;=VLOOKUP(E355,'Input &amp; Settings'!$F$5:$K$10,4,FALSE),"Exceeds Expectations",IF(AA355&gt;=VLOOKUP(E355,'Input &amp; Settings'!$F$5:$K$10,5,FALSE),"Meets Expectations",IF(AA355&gt;=VLOOKUP(E355,'Input &amp; Settings'!$F$5:$K$10,6,FALSE),"Needs Improvement","Performance Improvement Required")))),""))</f>
        <v/>
      </c>
      <c r="AC355" s="38" t="str">
        <f t="shared" si="20"/>
        <v/>
      </c>
      <c r="AD355" s="39"/>
      <c r="AE355" s="40"/>
      <c r="AF355" s="41" t="str">
        <f t="shared" si="21"/>
        <v/>
      </c>
      <c r="AG355" s="42" t="str">
        <f t="shared" si="22"/>
        <v/>
      </c>
      <c r="AH355" s="42" t="str">
        <f t="shared" si="23"/>
        <v>Kevin Luburd|September</v>
      </c>
    </row>
    <row r="356" spans="1:34" hidden="1">
      <c r="A356" s="32">
        <v>2026</v>
      </c>
      <c r="B356" s="32" t="s">
        <v>94</v>
      </c>
      <c r="C356" s="32" t="s">
        <v>53</v>
      </c>
      <c r="D356" s="32" t="s">
        <v>55</v>
      </c>
      <c r="E356" s="33"/>
      <c r="F356" s="34" t="str">
        <f>IF(E356="","",IFERROR(VLOOKUP(E356,'Input &amp; Settings'!$F$5:$G$10,2,FALSE),""))</f>
        <v/>
      </c>
      <c r="G356" s="33"/>
      <c r="H356" s="33"/>
      <c r="I356" s="35"/>
      <c r="J356" s="33"/>
      <c r="K356" s="36"/>
      <c r="L356" s="35"/>
      <c r="M356" s="33"/>
      <c r="N356" s="33"/>
      <c r="O356" s="33"/>
      <c r="P356" s="33"/>
      <c r="Q356" s="37" t="str">
        <f>IF(G356="","",IFERROR(MIN(100,G356/'Input &amp; Settings'!$B$5*100),""))</f>
        <v/>
      </c>
      <c r="R356" s="37" t="str">
        <f>IF(H356="","",IFERROR(MIN(100,H356/'Input &amp; Settings'!$B$6*100),""))</f>
        <v/>
      </c>
      <c r="S356" s="37" t="str">
        <f>IF(I356="","",IFERROR(MIN(100,I356/'Input &amp; Settings'!$B$7*100),""))</f>
        <v/>
      </c>
      <c r="T356" s="37" t="str">
        <f>IF(J356="","",IFERROR(MIN(100,J356/'Input &amp; Settings'!$B$8*100),""))</f>
        <v/>
      </c>
      <c r="U356" s="37" t="str">
        <f>IF(K356="","",IFERROR(MIN(100,K356/'Input &amp; Settings'!$B$9*100),""))</f>
        <v/>
      </c>
      <c r="V356" s="37" t="str">
        <f>IF(L356="","",IFERROR(MIN(100,L356/'Input &amp; Settings'!$B$10*100),""))</f>
        <v/>
      </c>
      <c r="W356" s="37" t="str">
        <f>IF(M356="","",IFERROR(IF(M356&lt;='Input &amp; Settings'!$B$11,100,MAX(0,100-(M356-'Input &amp; Settings'!$B$11)*20)),""))</f>
        <v/>
      </c>
      <c r="X356" s="37" t="str">
        <f>IF(N356="","",IFERROR(MIN(100,N356/'Input &amp; Settings'!$B$12*100),""))</f>
        <v/>
      </c>
      <c r="Y356" s="37" t="str">
        <f>IF(O356="","",IFERROR(MIN(100,O356/'Input &amp; Settings'!$B$13*100),""))</f>
        <v/>
      </c>
      <c r="Z356" s="37" t="str">
        <f>IF(P356="","",IFERROR(IF(P356&lt;='Input &amp; Settings'!$B$14,100,MAX(0,100-(P356-'Input &amp; Settings'!$B$14)*20)),""))</f>
        <v/>
      </c>
      <c r="AA356" s="37" t="str">
        <f>IF(COUNTA(G356:P356)=0,"",ROUND(Q356*'Input &amp; Settings'!$C$5+R356*'Input &amp; Settings'!$C$6+S356*'Input &amp; Settings'!$C$7+T356*'Input &amp; Settings'!$C$8+U356*'Input &amp; Settings'!$C$9+V356*'Input &amp; Settings'!$C$10+W356*'Input &amp; Settings'!$C$11+X356*'Input &amp; Settings'!$C$12+Y356*'Input &amp; Settings'!$C$13+Z356*'Input &amp; Settings'!$C$14,1))</f>
        <v/>
      </c>
      <c r="AB356" s="38" t="str">
        <f>IF(OR(AA356="",E356=""),"",IFERROR(IF(AA356&gt;=VLOOKUP(E356,'Input &amp; Settings'!$F$5:$K$10,3,FALSE),"Outstanding",IF(AA356&gt;=VLOOKUP(E356,'Input &amp; Settings'!$F$5:$K$10,4,FALSE),"Exceeds Expectations",IF(AA356&gt;=VLOOKUP(E356,'Input &amp; Settings'!$F$5:$K$10,5,FALSE),"Meets Expectations",IF(AA356&gt;=VLOOKUP(E356,'Input &amp; Settings'!$F$5:$K$10,6,FALSE),"Needs Improvement","Performance Improvement Required")))),""))</f>
        <v/>
      </c>
      <c r="AC356" s="38" t="str">
        <f t="shared" si="20"/>
        <v/>
      </c>
      <c r="AD356" s="39"/>
      <c r="AE356" s="40"/>
      <c r="AF356" s="41" t="str">
        <f t="shared" si="21"/>
        <v/>
      </c>
      <c r="AG356" s="42" t="str">
        <f t="shared" si="22"/>
        <v/>
      </c>
      <c r="AH356" s="42" t="str">
        <f t="shared" si="23"/>
        <v>Anthony Thompson|September</v>
      </c>
    </row>
    <row r="357" spans="1:34" hidden="1">
      <c r="A357" s="32">
        <v>2026</v>
      </c>
      <c r="B357" s="32" t="s">
        <v>94</v>
      </c>
      <c r="C357" s="32" t="s">
        <v>53</v>
      </c>
      <c r="D357" s="32" t="s">
        <v>56</v>
      </c>
      <c r="E357" s="33"/>
      <c r="F357" s="34" t="str">
        <f>IF(E357="","",IFERROR(VLOOKUP(E357,'Input &amp; Settings'!$F$5:$G$10,2,FALSE),""))</f>
        <v/>
      </c>
      <c r="G357" s="33"/>
      <c r="H357" s="33"/>
      <c r="I357" s="35"/>
      <c r="J357" s="33"/>
      <c r="K357" s="36"/>
      <c r="L357" s="35"/>
      <c r="M357" s="33"/>
      <c r="N357" s="33"/>
      <c r="O357" s="33"/>
      <c r="P357" s="33"/>
      <c r="Q357" s="37" t="str">
        <f>IF(G357="","",IFERROR(MIN(100,G357/'Input &amp; Settings'!$B$5*100),""))</f>
        <v/>
      </c>
      <c r="R357" s="37" t="str">
        <f>IF(H357="","",IFERROR(MIN(100,H357/'Input &amp; Settings'!$B$6*100),""))</f>
        <v/>
      </c>
      <c r="S357" s="37" t="str">
        <f>IF(I357="","",IFERROR(MIN(100,I357/'Input &amp; Settings'!$B$7*100),""))</f>
        <v/>
      </c>
      <c r="T357" s="37" t="str">
        <f>IF(J357="","",IFERROR(MIN(100,J357/'Input &amp; Settings'!$B$8*100),""))</f>
        <v/>
      </c>
      <c r="U357" s="37" t="str">
        <f>IF(K357="","",IFERROR(MIN(100,K357/'Input &amp; Settings'!$B$9*100),""))</f>
        <v/>
      </c>
      <c r="V357" s="37" t="str">
        <f>IF(L357="","",IFERROR(MIN(100,L357/'Input &amp; Settings'!$B$10*100),""))</f>
        <v/>
      </c>
      <c r="W357" s="37" t="str">
        <f>IF(M357="","",IFERROR(IF(M357&lt;='Input &amp; Settings'!$B$11,100,MAX(0,100-(M357-'Input &amp; Settings'!$B$11)*20)),""))</f>
        <v/>
      </c>
      <c r="X357" s="37" t="str">
        <f>IF(N357="","",IFERROR(MIN(100,N357/'Input &amp; Settings'!$B$12*100),""))</f>
        <v/>
      </c>
      <c r="Y357" s="37" t="str">
        <f>IF(O357="","",IFERROR(MIN(100,O357/'Input &amp; Settings'!$B$13*100),""))</f>
        <v/>
      </c>
      <c r="Z357" s="37" t="str">
        <f>IF(P357="","",IFERROR(IF(P357&lt;='Input &amp; Settings'!$B$14,100,MAX(0,100-(P357-'Input &amp; Settings'!$B$14)*20)),""))</f>
        <v/>
      </c>
      <c r="AA357" s="37" t="str">
        <f>IF(COUNTA(G357:P357)=0,"",ROUND(Q357*'Input &amp; Settings'!$C$5+R357*'Input &amp; Settings'!$C$6+S357*'Input &amp; Settings'!$C$7+T357*'Input &amp; Settings'!$C$8+U357*'Input &amp; Settings'!$C$9+V357*'Input &amp; Settings'!$C$10+W357*'Input &amp; Settings'!$C$11+X357*'Input &amp; Settings'!$C$12+Y357*'Input &amp; Settings'!$C$13+Z357*'Input &amp; Settings'!$C$14,1))</f>
        <v/>
      </c>
      <c r="AB357" s="38" t="str">
        <f>IF(OR(AA357="",E357=""),"",IFERROR(IF(AA357&gt;=VLOOKUP(E357,'Input &amp; Settings'!$F$5:$K$10,3,FALSE),"Outstanding",IF(AA357&gt;=VLOOKUP(E357,'Input &amp; Settings'!$F$5:$K$10,4,FALSE),"Exceeds Expectations",IF(AA357&gt;=VLOOKUP(E357,'Input &amp; Settings'!$F$5:$K$10,5,FALSE),"Meets Expectations",IF(AA357&gt;=VLOOKUP(E357,'Input &amp; Settings'!$F$5:$K$10,6,FALSE),"Needs Improvement","Performance Improvement Required")))),""))</f>
        <v/>
      </c>
      <c r="AC357" s="38" t="str">
        <f t="shared" si="20"/>
        <v/>
      </c>
      <c r="AD357" s="39"/>
      <c r="AE357" s="40"/>
      <c r="AF357" s="41" t="str">
        <f t="shared" si="21"/>
        <v/>
      </c>
      <c r="AG357" s="42" t="str">
        <f t="shared" si="22"/>
        <v/>
      </c>
      <c r="AH357" s="42" t="str">
        <f t="shared" si="23"/>
        <v>Shamar Modeste|September</v>
      </c>
    </row>
    <row r="358" spans="1:34" hidden="1">
      <c r="A358" s="32">
        <v>2026</v>
      </c>
      <c r="B358" s="32" t="s">
        <v>94</v>
      </c>
      <c r="C358" s="32" t="s">
        <v>53</v>
      </c>
      <c r="D358" s="32" t="s">
        <v>57</v>
      </c>
      <c r="E358" s="33"/>
      <c r="F358" s="34" t="str">
        <f>IF(E358="","",IFERROR(VLOOKUP(E358,'Input &amp; Settings'!$F$5:$G$10,2,FALSE),""))</f>
        <v/>
      </c>
      <c r="G358" s="33"/>
      <c r="H358" s="33"/>
      <c r="I358" s="35"/>
      <c r="J358" s="33"/>
      <c r="K358" s="36"/>
      <c r="L358" s="35"/>
      <c r="M358" s="33"/>
      <c r="N358" s="33"/>
      <c r="O358" s="33"/>
      <c r="P358" s="33"/>
      <c r="Q358" s="37" t="str">
        <f>IF(G358="","",IFERROR(MIN(100,G358/'Input &amp; Settings'!$B$5*100),""))</f>
        <v/>
      </c>
      <c r="R358" s="37" t="str">
        <f>IF(H358="","",IFERROR(MIN(100,H358/'Input &amp; Settings'!$B$6*100),""))</f>
        <v/>
      </c>
      <c r="S358" s="37" t="str">
        <f>IF(I358="","",IFERROR(MIN(100,I358/'Input &amp; Settings'!$B$7*100),""))</f>
        <v/>
      </c>
      <c r="T358" s="37" t="str">
        <f>IF(J358="","",IFERROR(MIN(100,J358/'Input &amp; Settings'!$B$8*100),""))</f>
        <v/>
      </c>
      <c r="U358" s="37" t="str">
        <f>IF(K358="","",IFERROR(MIN(100,K358/'Input &amp; Settings'!$B$9*100),""))</f>
        <v/>
      </c>
      <c r="V358" s="37" t="str">
        <f>IF(L358="","",IFERROR(MIN(100,L358/'Input &amp; Settings'!$B$10*100),""))</f>
        <v/>
      </c>
      <c r="W358" s="37" t="str">
        <f>IF(M358="","",IFERROR(IF(M358&lt;='Input &amp; Settings'!$B$11,100,MAX(0,100-(M358-'Input &amp; Settings'!$B$11)*20)),""))</f>
        <v/>
      </c>
      <c r="X358" s="37" t="str">
        <f>IF(N358="","",IFERROR(MIN(100,N358/'Input &amp; Settings'!$B$12*100),""))</f>
        <v/>
      </c>
      <c r="Y358" s="37" t="str">
        <f>IF(O358="","",IFERROR(MIN(100,O358/'Input &amp; Settings'!$B$13*100),""))</f>
        <v/>
      </c>
      <c r="Z358" s="37" t="str">
        <f>IF(P358="","",IFERROR(IF(P358&lt;='Input &amp; Settings'!$B$14,100,MAX(0,100-(P358-'Input &amp; Settings'!$B$14)*20)),""))</f>
        <v/>
      </c>
      <c r="AA358" s="37" t="str">
        <f>IF(COUNTA(G358:P358)=0,"",ROUND(Q358*'Input &amp; Settings'!$C$5+R358*'Input &amp; Settings'!$C$6+S358*'Input &amp; Settings'!$C$7+T358*'Input &amp; Settings'!$C$8+U358*'Input &amp; Settings'!$C$9+V358*'Input &amp; Settings'!$C$10+W358*'Input &amp; Settings'!$C$11+X358*'Input &amp; Settings'!$C$12+Y358*'Input &amp; Settings'!$C$13+Z358*'Input &amp; Settings'!$C$14,1))</f>
        <v/>
      </c>
      <c r="AB358" s="38" t="str">
        <f>IF(OR(AA358="",E358=""),"",IFERROR(IF(AA358&gt;=VLOOKUP(E358,'Input &amp; Settings'!$F$5:$K$10,3,FALSE),"Outstanding",IF(AA358&gt;=VLOOKUP(E358,'Input &amp; Settings'!$F$5:$K$10,4,FALSE),"Exceeds Expectations",IF(AA358&gt;=VLOOKUP(E358,'Input &amp; Settings'!$F$5:$K$10,5,FALSE),"Meets Expectations",IF(AA358&gt;=VLOOKUP(E358,'Input &amp; Settings'!$F$5:$K$10,6,FALSE),"Needs Improvement","Performance Improvement Required")))),""))</f>
        <v/>
      </c>
      <c r="AC358" s="38" t="str">
        <f t="shared" si="20"/>
        <v/>
      </c>
      <c r="AD358" s="39"/>
      <c r="AE358" s="40"/>
      <c r="AF358" s="41" t="str">
        <f t="shared" si="21"/>
        <v/>
      </c>
      <c r="AG358" s="42" t="str">
        <f t="shared" si="22"/>
        <v/>
      </c>
      <c r="AH358" s="42" t="str">
        <f t="shared" si="23"/>
        <v>Steven Morejon|September</v>
      </c>
    </row>
    <row r="359" spans="1:34" hidden="1">
      <c r="A359" s="32">
        <v>2026</v>
      </c>
      <c r="B359" s="32" t="s">
        <v>94</v>
      </c>
      <c r="C359" s="32" t="s">
        <v>53</v>
      </c>
      <c r="D359" s="32" t="s">
        <v>58</v>
      </c>
      <c r="E359" s="33"/>
      <c r="F359" s="34" t="str">
        <f>IF(E359="","",IFERROR(VLOOKUP(E359,'Input &amp; Settings'!$F$5:$G$10,2,FALSE),""))</f>
        <v/>
      </c>
      <c r="G359" s="33"/>
      <c r="H359" s="33"/>
      <c r="I359" s="35"/>
      <c r="J359" s="33"/>
      <c r="K359" s="36"/>
      <c r="L359" s="35"/>
      <c r="M359" s="33"/>
      <c r="N359" s="33"/>
      <c r="O359" s="33"/>
      <c r="P359" s="33"/>
      <c r="Q359" s="37" t="str">
        <f>IF(G359="","",IFERROR(MIN(100,G359/'Input &amp; Settings'!$B$5*100),""))</f>
        <v/>
      </c>
      <c r="R359" s="37" t="str">
        <f>IF(H359="","",IFERROR(MIN(100,H359/'Input &amp; Settings'!$B$6*100),""))</f>
        <v/>
      </c>
      <c r="S359" s="37" t="str">
        <f>IF(I359="","",IFERROR(MIN(100,I359/'Input &amp; Settings'!$B$7*100),""))</f>
        <v/>
      </c>
      <c r="T359" s="37" t="str">
        <f>IF(J359="","",IFERROR(MIN(100,J359/'Input &amp; Settings'!$B$8*100),""))</f>
        <v/>
      </c>
      <c r="U359" s="37" t="str">
        <f>IF(K359="","",IFERROR(MIN(100,K359/'Input &amp; Settings'!$B$9*100),""))</f>
        <v/>
      </c>
      <c r="V359" s="37" t="str">
        <f>IF(L359="","",IFERROR(MIN(100,L359/'Input &amp; Settings'!$B$10*100),""))</f>
        <v/>
      </c>
      <c r="W359" s="37" t="str">
        <f>IF(M359="","",IFERROR(IF(M359&lt;='Input &amp; Settings'!$B$11,100,MAX(0,100-(M359-'Input &amp; Settings'!$B$11)*20)),""))</f>
        <v/>
      </c>
      <c r="X359" s="37" t="str">
        <f>IF(N359="","",IFERROR(MIN(100,N359/'Input &amp; Settings'!$B$12*100),""))</f>
        <v/>
      </c>
      <c r="Y359" s="37" t="str">
        <f>IF(O359="","",IFERROR(MIN(100,O359/'Input &amp; Settings'!$B$13*100),""))</f>
        <v/>
      </c>
      <c r="Z359" s="37" t="str">
        <f>IF(P359="","",IFERROR(IF(P359&lt;='Input &amp; Settings'!$B$14,100,MAX(0,100-(P359-'Input &amp; Settings'!$B$14)*20)),""))</f>
        <v/>
      </c>
      <c r="AA359" s="37" t="str">
        <f>IF(COUNTA(G359:P359)=0,"",ROUND(Q359*'Input &amp; Settings'!$C$5+R359*'Input &amp; Settings'!$C$6+S359*'Input &amp; Settings'!$C$7+T359*'Input &amp; Settings'!$C$8+U359*'Input &amp; Settings'!$C$9+V359*'Input &amp; Settings'!$C$10+W359*'Input &amp; Settings'!$C$11+X359*'Input &amp; Settings'!$C$12+Y359*'Input &amp; Settings'!$C$13+Z359*'Input &amp; Settings'!$C$14,1))</f>
        <v/>
      </c>
      <c r="AB359" s="38" t="str">
        <f>IF(OR(AA359="",E359=""),"",IFERROR(IF(AA359&gt;=VLOOKUP(E359,'Input &amp; Settings'!$F$5:$K$10,3,FALSE),"Outstanding",IF(AA359&gt;=VLOOKUP(E359,'Input &amp; Settings'!$F$5:$K$10,4,FALSE),"Exceeds Expectations",IF(AA359&gt;=VLOOKUP(E359,'Input &amp; Settings'!$F$5:$K$10,5,FALSE),"Meets Expectations",IF(AA359&gt;=VLOOKUP(E359,'Input &amp; Settings'!$F$5:$K$10,6,FALSE),"Needs Improvement","Performance Improvement Required")))),""))</f>
        <v/>
      </c>
      <c r="AC359" s="38" t="str">
        <f t="shared" si="20"/>
        <v/>
      </c>
      <c r="AD359" s="39"/>
      <c r="AE359" s="40"/>
      <c r="AF359" s="41" t="str">
        <f t="shared" si="21"/>
        <v/>
      </c>
      <c r="AG359" s="42" t="str">
        <f t="shared" si="22"/>
        <v/>
      </c>
      <c r="AH359" s="42" t="str">
        <f t="shared" si="23"/>
        <v>Nicolas Abello|September</v>
      </c>
    </row>
    <row r="360" spans="1:34" hidden="1">
      <c r="A360" s="32">
        <v>2026</v>
      </c>
      <c r="B360" s="32" t="s">
        <v>94</v>
      </c>
      <c r="C360" s="32" t="s">
        <v>53</v>
      </c>
      <c r="D360" s="32" t="s">
        <v>59</v>
      </c>
      <c r="E360" s="33"/>
      <c r="F360" s="34" t="str">
        <f>IF(E360="","",IFERROR(VLOOKUP(E360,'Input &amp; Settings'!$F$5:$G$10,2,FALSE),""))</f>
        <v/>
      </c>
      <c r="G360" s="33"/>
      <c r="H360" s="33"/>
      <c r="I360" s="35"/>
      <c r="J360" s="33"/>
      <c r="K360" s="36"/>
      <c r="L360" s="35"/>
      <c r="M360" s="33"/>
      <c r="N360" s="33"/>
      <c r="O360" s="33"/>
      <c r="P360" s="33"/>
      <c r="Q360" s="37" t="str">
        <f>IF(G360="","",IFERROR(MIN(100,G360/'Input &amp; Settings'!$B$5*100),""))</f>
        <v/>
      </c>
      <c r="R360" s="37" t="str">
        <f>IF(H360="","",IFERROR(MIN(100,H360/'Input &amp; Settings'!$B$6*100),""))</f>
        <v/>
      </c>
      <c r="S360" s="37" t="str">
        <f>IF(I360="","",IFERROR(MIN(100,I360/'Input &amp; Settings'!$B$7*100),""))</f>
        <v/>
      </c>
      <c r="T360" s="37" t="str">
        <f>IF(J360="","",IFERROR(MIN(100,J360/'Input &amp; Settings'!$B$8*100),""))</f>
        <v/>
      </c>
      <c r="U360" s="37" t="str">
        <f>IF(K360="","",IFERROR(MIN(100,K360/'Input &amp; Settings'!$B$9*100),""))</f>
        <v/>
      </c>
      <c r="V360" s="37" t="str">
        <f>IF(L360="","",IFERROR(MIN(100,L360/'Input &amp; Settings'!$B$10*100),""))</f>
        <v/>
      </c>
      <c r="W360" s="37" t="str">
        <f>IF(M360="","",IFERROR(IF(M360&lt;='Input &amp; Settings'!$B$11,100,MAX(0,100-(M360-'Input &amp; Settings'!$B$11)*20)),""))</f>
        <v/>
      </c>
      <c r="X360" s="37" t="str">
        <f>IF(N360="","",IFERROR(MIN(100,N360/'Input &amp; Settings'!$B$12*100),""))</f>
        <v/>
      </c>
      <c r="Y360" s="37" t="str">
        <f>IF(O360="","",IFERROR(MIN(100,O360/'Input &amp; Settings'!$B$13*100),""))</f>
        <v/>
      </c>
      <c r="Z360" s="37" t="str">
        <f>IF(P360="","",IFERROR(IF(P360&lt;='Input &amp; Settings'!$B$14,100,MAX(0,100-(P360-'Input &amp; Settings'!$B$14)*20)),""))</f>
        <v/>
      </c>
      <c r="AA360" s="37" t="str">
        <f>IF(COUNTA(G360:P360)=0,"",ROUND(Q360*'Input &amp; Settings'!$C$5+R360*'Input &amp; Settings'!$C$6+S360*'Input &amp; Settings'!$C$7+T360*'Input &amp; Settings'!$C$8+U360*'Input &amp; Settings'!$C$9+V360*'Input &amp; Settings'!$C$10+W360*'Input &amp; Settings'!$C$11+X360*'Input &amp; Settings'!$C$12+Y360*'Input &amp; Settings'!$C$13+Z360*'Input &amp; Settings'!$C$14,1))</f>
        <v/>
      </c>
      <c r="AB360" s="38" t="str">
        <f>IF(OR(AA360="",E360=""),"",IFERROR(IF(AA360&gt;=VLOOKUP(E360,'Input &amp; Settings'!$F$5:$K$10,3,FALSE),"Outstanding",IF(AA360&gt;=VLOOKUP(E360,'Input &amp; Settings'!$F$5:$K$10,4,FALSE),"Exceeds Expectations",IF(AA360&gt;=VLOOKUP(E360,'Input &amp; Settings'!$F$5:$K$10,5,FALSE),"Meets Expectations",IF(AA360&gt;=VLOOKUP(E360,'Input &amp; Settings'!$F$5:$K$10,6,FALSE),"Needs Improvement","Performance Improvement Required")))),""))</f>
        <v/>
      </c>
      <c r="AC360" s="38" t="str">
        <f t="shared" si="20"/>
        <v/>
      </c>
      <c r="AD360" s="39"/>
      <c r="AE360" s="40"/>
      <c r="AF360" s="41" t="str">
        <f t="shared" si="21"/>
        <v/>
      </c>
      <c r="AG360" s="42" t="str">
        <f t="shared" si="22"/>
        <v/>
      </c>
      <c r="AH360" s="42" t="str">
        <f t="shared" si="23"/>
        <v>Carlos Espinosa|September</v>
      </c>
    </row>
    <row r="361" spans="1:34" hidden="1">
      <c r="A361" s="32">
        <v>2026</v>
      </c>
      <c r="B361" s="32" t="s">
        <v>94</v>
      </c>
      <c r="C361" s="32" t="s">
        <v>53</v>
      </c>
      <c r="D361" s="32" t="s">
        <v>60</v>
      </c>
      <c r="E361" s="33"/>
      <c r="F361" s="34" t="str">
        <f>IF(E361="","",IFERROR(VLOOKUP(E361,'Input &amp; Settings'!$F$5:$G$10,2,FALSE),""))</f>
        <v/>
      </c>
      <c r="G361" s="33"/>
      <c r="H361" s="33"/>
      <c r="I361" s="35"/>
      <c r="J361" s="33"/>
      <c r="K361" s="36"/>
      <c r="L361" s="35"/>
      <c r="M361" s="33"/>
      <c r="N361" s="33"/>
      <c r="O361" s="33"/>
      <c r="P361" s="33"/>
      <c r="Q361" s="37" t="str">
        <f>IF(G361="","",IFERROR(MIN(100,G361/'Input &amp; Settings'!$B$5*100),""))</f>
        <v/>
      </c>
      <c r="R361" s="37" t="str">
        <f>IF(H361="","",IFERROR(MIN(100,H361/'Input &amp; Settings'!$B$6*100),""))</f>
        <v/>
      </c>
      <c r="S361" s="37" t="str">
        <f>IF(I361="","",IFERROR(MIN(100,I361/'Input &amp; Settings'!$B$7*100),""))</f>
        <v/>
      </c>
      <c r="T361" s="37" t="str">
        <f>IF(J361="","",IFERROR(MIN(100,J361/'Input &amp; Settings'!$B$8*100),""))</f>
        <v/>
      </c>
      <c r="U361" s="37" t="str">
        <f>IF(K361="","",IFERROR(MIN(100,K361/'Input &amp; Settings'!$B$9*100),""))</f>
        <v/>
      </c>
      <c r="V361" s="37" t="str">
        <f>IF(L361="","",IFERROR(MIN(100,L361/'Input &amp; Settings'!$B$10*100),""))</f>
        <v/>
      </c>
      <c r="W361" s="37" t="str">
        <f>IF(M361="","",IFERROR(IF(M361&lt;='Input &amp; Settings'!$B$11,100,MAX(0,100-(M361-'Input &amp; Settings'!$B$11)*20)),""))</f>
        <v/>
      </c>
      <c r="X361" s="37" t="str">
        <f>IF(N361="","",IFERROR(MIN(100,N361/'Input &amp; Settings'!$B$12*100),""))</f>
        <v/>
      </c>
      <c r="Y361" s="37" t="str">
        <f>IF(O361="","",IFERROR(MIN(100,O361/'Input &amp; Settings'!$B$13*100),""))</f>
        <v/>
      </c>
      <c r="Z361" s="37" t="str">
        <f>IF(P361="","",IFERROR(IF(P361&lt;='Input &amp; Settings'!$B$14,100,MAX(0,100-(P361-'Input &amp; Settings'!$B$14)*20)),""))</f>
        <v/>
      </c>
      <c r="AA361" s="37" t="str">
        <f>IF(COUNTA(G361:P361)=0,"",ROUND(Q361*'Input &amp; Settings'!$C$5+R361*'Input &amp; Settings'!$C$6+S361*'Input &amp; Settings'!$C$7+T361*'Input &amp; Settings'!$C$8+U361*'Input &amp; Settings'!$C$9+V361*'Input &amp; Settings'!$C$10+W361*'Input &amp; Settings'!$C$11+X361*'Input &amp; Settings'!$C$12+Y361*'Input &amp; Settings'!$C$13+Z361*'Input &amp; Settings'!$C$14,1))</f>
        <v/>
      </c>
      <c r="AB361" s="38" t="str">
        <f>IF(OR(AA361="",E361=""),"",IFERROR(IF(AA361&gt;=VLOOKUP(E361,'Input &amp; Settings'!$F$5:$K$10,3,FALSE),"Outstanding",IF(AA361&gt;=VLOOKUP(E361,'Input &amp; Settings'!$F$5:$K$10,4,FALSE),"Exceeds Expectations",IF(AA361&gt;=VLOOKUP(E361,'Input &amp; Settings'!$F$5:$K$10,5,FALSE),"Meets Expectations",IF(AA361&gt;=VLOOKUP(E361,'Input &amp; Settings'!$F$5:$K$10,6,FALSE),"Needs Improvement","Performance Improvement Required")))),""))</f>
        <v/>
      </c>
      <c r="AC361" s="38" t="str">
        <f t="shared" si="20"/>
        <v/>
      </c>
      <c r="AD361" s="39"/>
      <c r="AE361" s="40"/>
      <c r="AF361" s="41" t="str">
        <f t="shared" si="21"/>
        <v/>
      </c>
      <c r="AG361" s="42" t="str">
        <f t="shared" si="22"/>
        <v/>
      </c>
      <c r="AH361" s="42" t="str">
        <f t="shared" si="23"/>
        <v>Fernando Barbera - Boyer|September</v>
      </c>
    </row>
    <row r="362" spans="1:34" hidden="1">
      <c r="A362" s="32">
        <v>2026</v>
      </c>
      <c r="B362" s="32" t="s">
        <v>94</v>
      </c>
      <c r="C362" s="32" t="s">
        <v>53</v>
      </c>
      <c r="D362" s="32" t="s">
        <v>61</v>
      </c>
      <c r="E362" s="33"/>
      <c r="F362" s="34" t="str">
        <f>IF(E362="","",IFERROR(VLOOKUP(E362,'Input &amp; Settings'!$F$5:$G$10,2,FALSE),""))</f>
        <v/>
      </c>
      <c r="G362" s="33"/>
      <c r="H362" s="33"/>
      <c r="I362" s="35"/>
      <c r="J362" s="33"/>
      <c r="K362" s="36"/>
      <c r="L362" s="35"/>
      <c r="M362" s="33"/>
      <c r="N362" s="33"/>
      <c r="O362" s="33"/>
      <c r="P362" s="33"/>
      <c r="Q362" s="37" t="str">
        <f>IF(G362="","",IFERROR(MIN(100,G362/'Input &amp; Settings'!$B$5*100),""))</f>
        <v/>
      </c>
      <c r="R362" s="37" t="str">
        <f>IF(H362="","",IFERROR(MIN(100,H362/'Input &amp; Settings'!$B$6*100),""))</f>
        <v/>
      </c>
      <c r="S362" s="37" t="str">
        <f>IF(I362="","",IFERROR(MIN(100,I362/'Input &amp; Settings'!$B$7*100),""))</f>
        <v/>
      </c>
      <c r="T362" s="37" t="str">
        <f>IF(J362="","",IFERROR(MIN(100,J362/'Input &amp; Settings'!$B$8*100),""))</f>
        <v/>
      </c>
      <c r="U362" s="37" t="str">
        <f>IF(K362="","",IFERROR(MIN(100,K362/'Input &amp; Settings'!$B$9*100),""))</f>
        <v/>
      </c>
      <c r="V362" s="37" t="str">
        <f>IF(L362="","",IFERROR(MIN(100,L362/'Input &amp; Settings'!$B$10*100),""))</f>
        <v/>
      </c>
      <c r="W362" s="37" t="str">
        <f>IF(M362="","",IFERROR(IF(M362&lt;='Input &amp; Settings'!$B$11,100,MAX(0,100-(M362-'Input &amp; Settings'!$B$11)*20)),""))</f>
        <v/>
      </c>
      <c r="X362" s="37" t="str">
        <f>IF(N362="","",IFERROR(MIN(100,N362/'Input &amp; Settings'!$B$12*100),""))</f>
        <v/>
      </c>
      <c r="Y362" s="37" t="str">
        <f>IF(O362="","",IFERROR(MIN(100,O362/'Input &amp; Settings'!$B$13*100),""))</f>
        <v/>
      </c>
      <c r="Z362" s="37" t="str">
        <f>IF(P362="","",IFERROR(IF(P362&lt;='Input &amp; Settings'!$B$14,100,MAX(0,100-(P362-'Input &amp; Settings'!$B$14)*20)),""))</f>
        <v/>
      </c>
      <c r="AA362" s="37" t="str">
        <f>IF(COUNTA(G362:P362)=0,"",ROUND(Q362*'Input &amp; Settings'!$C$5+R362*'Input &amp; Settings'!$C$6+S362*'Input &amp; Settings'!$C$7+T362*'Input &amp; Settings'!$C$8+U362*'Input &amp; Settings'!$C$9+V362*'Input &amp; Settings'!$C$10+W362*'Input &amp; Settings'!$C$11+X362*'Input &amp; Settings'!$C$12+Y362*'Input &amp; Settings'!$C$13+Z362*'Input &amp; Settings'!$C$14,1))</f>
        <v/>
      </c>
      <c r="AB362" s="38" t="str">
        <f>IF(OR(AA362="",E362=""),"",IFERROR(IF(AA362&gt;=VLOOKUP(E362,'Input &amp; Settings'!$F$5:$K$10,3,FALSE),"Outstanding",IF(AA362&gt;=VLOOKUP(E362,'Input &amp; Settings'!$F$5:$K$10,4,FALSE),"Exceeds Expectations",IF(AA362&gt;=VLOOKUP(E362,'Input &amp; Settings'!$F$5:$K$10,5,FALSE),"Meets Expectations",IF(AA362&gt;=VLOOKUP(E362,'Input &amp; Settings'!$F$5:$K$10,6,FALSE),"Needs Improvement","Performance Improvement Required")))),""))</f>
        <v/>
      </c>
      <c r="AC362" s="38" t="str">
        <f t="shared" si="20"/>
        <v/>
      </c>
      <c r="AD362" s="39"/>
      <c r="AE362" s="40"/>
      <c r="AF362" s="41" t="str">
        <f t="shared" si="21"/>
        <v/>
      </c>
      <c r="AG362" s="42" t="str">
        <f t="shared" si="22"/>
        <v/>
      </c>
      <c r="AH362" s="42" t="str">
        <f t="shared" si="23"/>
        <v>Miquelle Cordova|September</v>
      </c>
    </row>
    <row r="363" spans="1:34" hidden="1">
      <c r="A363" s="32">
        <v>2026</v>
      </c>
      <c r="B363" s="32" t="s">
        <v>94</v>
      </c>
      <c r="C363" s="32" t="s">
        <v>53</v>
      </c>
      <c r="D363" s="32" t="s">
        <v>62</v>
      </c>
      <c r="E363" s="33"/>
      <c r="F363" s="34" t="str">
        <f>IF(E363="","",IFERROR(VLOOKUP(E363,'Input &amp; Settings'!$F$5:$G$10,2,FALSE),""))</f>
        <v/>
      </c>
      <c r="G363" s="33"/>
      <c r="H363" s="33"/>
      <c r="I363" s="35"/>
      <c r="J363" s="33"/>
      <c r="K363" s="36"/>
      <c r="L363" s="35"/>
      <c r="M363" s="33"/>
      <c r="N363" s="33"/>
      <c r="O363" s="33"/>
      <c r="P363" s="33"/>
      <c r="Q363" s="37" t="str">
        <f>IF(G363="","",IFERROR(MIN(100,G363/'Input &amp; Settings'!$B$5*100),""))</f>
        <v/>
      </c>
      <c r="R363" s="37" t="str">
        <f>IF(H363="","",IFERROR(MIN(100,H363/'Input &amp; Settings'!$B$6*100),""))</f>
        <v/>
      </c>
      <c r="S363" s="37" t="str">
        <f>IF(I363="","",IFERROR(MIN(100,I363/'Input &amp; Settings'!$B$7*100),""))</f>
        <v/>
      </c>
      <c r="T363" s="37" t="str">
        <f>IF(J363="","",IFERROR(MIN(100,J363/'Input &amp; Settings'!$B$8*100),""))</f>
        <v/>
      </c>
      <c r="U363" s="37" t="str">
        <f>IF(K363="","",IFERROR(MIN(100,K363/'Input &amp; Settings'!$B$9*100),""))</f>
        <v/>
      </c>
      <c r="V363" s="37" t="str">
        <f>IF(L363="","",IFERROR(MIN(100,L363/'Input &amp; Settings'!$B$10*100),""))</f>
        <v/>
      </c>
      <c r="W363" s="37" t="str">
        <f>IF(M363="","",IFERROR(IF(M363&lt;='Input &amp; Settings'!$B$11,100,MAX(0,100-(M363-'Input &amp; Settings'!$B$11)*20)),""))</f>
        <v/>
      </c>
      <c r="X363" s="37" t="str">
        <f>IF(N363="","",IFERROR(MIN(100,N363/'Input &amp; Settings'!$B$12*100),""))</f>
        <v/>
      </c>
      <c r="Y363" s="37" t="str">
        <f>IF(O363="","",IFERROR(MIN(100,O363/'Input &amp; Settings'!$B$13*100),""))</f>
        <v/>
      </c>
      <c r="Z363" s="37" t="str">
        <f>IF(P363="","",IFERROR(IF(P363&lt;='Input &amp; Settings'!$B$14,100,MAX(0,100-(P363-'Input &amp; Settings'!$B$14)*20)),""))</f>
        <v/>
      </c>
      <c r="AA363" s="37" t="str">
        <f>IF(COUNTA(G363:P363)=0,"",ROUND(Q363*'Input &amp; Settings'!$C$5+R363*'Input &amp; Settings'!$C$6+S363*'Input &amp; Settings'!$C$7+T363*'Input &amp; Settings'!$C$8+U363*'Input &amp; Settings'!$C$9+V363*'Input &amp; Settings'!$C$10+W363*'Input &amp; Settings'!$C$11+X363*'Input &amp; Settings'!$C$12+Y363*'Input &amp; Settings'!$C$13+Z363*'Input &amp; Settings'!$C$14,1))</f>
        <v/>
      </c>
      <c r="AB363" s="38" t="str">
        <f>IF(OR(AA363="",E363=""),"",IFERROR(IF(AA363&gt;=VLOOKUP(E363,'Input &amp; Settings'!$F$5:$K$10,3,FALSE),"Outstanding",IF(AA363&gt;=VLOOKUP(E363,'Input &amp; Settings'!$F$5:$K$10,4,FALSE),"Exceeds Expectations",IF(AA363&gt;=VLOOKUP(E363,'Input &amp; Settings'!$F$5:$K$10,5,FALSE),"Meets Expectations",IF(AA363&gt;=VLOOKUP(E363,'Input &amp; Settings'!$F$5:$K$10,6,FALSE),"Needs Improvement","Performance Improvement Required")))),""))</f>
        <v/>
      </c>
      <c r="AC363" s="38" t="str">
        <f t="shared" si="20"/>
        <v/>
      </c>
      <c r="AD363" s="39"/>
      <c r="AE363" s="40"/>
      <c r="AF363" s="41" t="str">
        <f t="shared" si="21"/>
        <v/>
      </c>
      <c r="AG363" s="42" t="str">
        <f t="shared" si="22"/>
        <v/>
      </c>
      <c r="AH363" s="42" t="str">
        <f t="shared" si="23"/>
        <v>Daniel Sanchez|September</v>
      </c>
    </row>
    <row r="364" spans="1:34" hidden="1">
      <c r="A364" s="32">
        <v>2026</v>
      </c>
      <c r="B364" s="32" t="s">
        <v>94</v>
      </c>
      <c r="C364" s="32" t="s">
        <v>53</v>
      </c>
      <c r="D364" s="32" t="s">
        <v>63</v>
      </c>
      <c r="E364" s="33"/>
      <c r="F364" s="34" t="str">
        <f>IF(E364="","",IFERROR(VLOOKUP(E364,'Input &amp; Settings'!$F$5:$G$10,2,FALSE),""))</f>
        <v/>
      </c>
      <c r="G364" s="33"/>
      <c r="H364" s="33"/>
      <c r="I364" s="35"/>
      <c r="J364" s="33"/>
      <c r="K364" s="36"/>
      <c r="L364" s="35"/>
      <c r="M364" s="33"/>
      <c r="N364" s="33"/>
      <c r="O364" s="33"/>
      <c r="P364" s="33"/>
      <c r="Q364" s="37" t="str">
        <f>IF(G364="","",IFERROR(MIN(100,G364/'Input &amp; Settings'!$B$5*100),""))</f>
        <v/>
      </c>
      <c r="R364" s="37" t="str">
        <f>IF(H364="","",IFERROR(MIN(100,H364/'Input &amp; Settings'!$B$6*100),""))</f>
        <v/>
      </c>
      <c r="S364" s="37" t="str">
        <f>IF(I364="","",IFERROR(MIN(100,I364/'Input &amp; Settings'!$B$7*100),""))</f>
        <v/>
      </c>
      <c r="T364" s="37" t="str">
        <f>IF(J364="","",IFERROR(MIN(100,J364/'Input &amp; Settings'!$B$8*100),""))</f>
        <v/>
      </c>
      <c r="U364" s="37" t="str">
        <f>IF(K364="","",IFERROR(MIN(100,K364/'Input &amp; Settings'!$B$9*100),""))</f>
        <v/>
      </c>
      <c r="V364" s="37" t="str">
        <f>IF(L364="","",IFERROR(MIN(100,L364/'Input &amp; Settings'!$B$10*100),""))</f>
        <v/>
      </c>
      <c r="W364" s="37" t="str">
        <f>IF(M364="","",IFERROR(IF(M364&lt;='Input &amp; Settings'!$B$11,100,MAX(0,100-(M364-'Input &amp; Settings'!$B$11)*20)),""))</f>
        <v/>
      </c>
      <c r="X364" s="37" t="str">
        <f>IF(N364="","",IFERROR(MIN(100,N364/'Input &amp; Settings'!$B$12*100),""))</f>
        <v/>
      </c>
      <c r="Y364" s="37" t="str">
        <f>IF(O364="","",IFERROR(MIN(100,O364/'Input &amp; Settings'!$B$13*100),""))</f>
        <v/>
      </c>
      <c r="Z364" s="37" t="str">
        <f>IF(P364="","",IFERROR(IF(P364&lt;='Input &amp; Settings'!$B$14,100,MAX(0,100-(P364-'Input &amp; Settings'!$B$14)*20)),""))</f>
        <v/>
      </c>
      <c r="AA364" s="37" t="str">
        <f>IF(COUNTA(G364:P364)=0,"",ROUND(Q364*'Input &amp; Settings'!$C$5+R364*'Input &amp; Settings'!$C$6+S364*'Input &amp; Settings'!$C$7+T364*'Input &amp; Settings'!$C$8+U364*'Input &amp; Settings'!$C$9+V364*'Input &amp; Settings'!$C$10+W364*'Input &amp; Settings'!$C$11+X364*'Input &amp; Settings'!$C$12+Y364*'Input &amp; Settings'!$C$13+Z364*'Input &amp; Settings'!$C$14,1))</f>
        <v/>
      </c>
      <c r="AB364" s="38" t="str">
        <f>IF(OR(AA364="",E364=""),"",IFERROR(IF(AA364&gt;=VLOOKUP(E364,'Input &amp; Settings'!$F$5:$K$10,3,FALSE),"Outstanding",IF(AA364&gt;=VLOOKUP(E364,'Input &amp; Settings'!$F$5:$K$10,4,FALSE),"Exceeds Expectations",IF(AA364&gt;=VLOOKUP(E364,'Input &amp; Settings'!$F$5:$K$10,5,FALSE),"Meets Expectations",IF(AA364&gt;=VLOOKUP(E364,'Input &amp; Settings'!$F$5:$K$10,6,FALSE),"Needs Improvement","Performance Improvement Required")))),""))</f>
        <v/>
      </c>
      <c r="AC364" s="38" t="str">
        <f t="shared" si="20"/>
        <v/>
      </c>
      <c r="AD364" s="39"/>
      <c r="AE364" s="40"/>
      <c r="AF364" s="41" t="str">
        <f t="shared" si="21"/>
        <v/>
      </c>
      <c r="AG364" s="42" t="str">
        <f t="shared" si="22"/>
        <v/>
      </c>
      <c r="AH364" s="42" t="str">
        <f t="shared" si="23"/>
        <v>Braynon Edwards|September</v>
      </c>
    </row>
    <row r="365" spans="1:34" hidden="1">
      <c r="A365" s="32">
        <v>2026</v>
      </c>
      <c r="B365" s="32" t="s">
        <v>94</v>
      </c>
      <c r="C365" s="32" t="s">
        <v>53</v>
      </c>
      <c r="D365" s="32" t="s">
        <v>64</v>
      </c>
      <c r="E365" s="33"/>
      <c r="F365" s="34" t="str">
        <f>IF(E365="","",IFERROR(VLOOKUP(E365,'Input &amp; Settings'!$F$5:$G$10,2,FALSE),""))</f>
        <v/>
      </c>
      <c r="G365" s="33"/>
      <c r="H365" s="33"/>
      <c r="I365" s="35"/>
      <c r="J365" s="33"/>
      <c r="K365" s="36"/>
      <c r="L365" s="35"/>
      <c r="M365" s="33"/>
      <c r="N365" s="33"/>
      <c r="O365" s="33"/>
      <c r="P365" s="33"/>
      <c r="Q365" s="37" t="str">
        <f>IF(G365="","",IFERROR(MIN(100,G365/'Input &amp; Settings'!$B$5*100),""))</f>
        <v/>
      </c>
      <c r="R365" s="37" t="str">
        <f>IF(H365="","",IFERROR(MIN(100,H365/'Input &amp; Settings'!$B$6*100),""))</f>
        <v/>
      </c>
      <c r="S365" s="37" t="str">
        <f>IF(I365="","",IFERROR(MIN(100,I365/'Input &amp; Settings'!$B$7*100),""))</f>
        <v/>
      </c>
      <c r="T365" s="37" t="str">
        <f>IF(J365="","",IFERROR(MIN(100,J365/'Input &amp; Settings'!$B$8*100),""))</f>
        <v/>
      </c>
      <c r="U365" s="37" t="str">
        <f>IF(K365="","",IFERROR(MIN(100,K365/'Input &amp; Settings'!$B$9*100),""))</f>
        <v/>
      </c>
      <c r="V365" s="37" t="str">
        <f>IF(L365="","",IFERROR(MIN(100,L365/'Input &amp; Settings'!$B$10*100),""))</f>
        <v/>
      </c>
      <c r="W365" s="37" t="str">
        <f>IF(M365="","",IFERROR(IF(M365&lt;='Input &amp; Settings'!$B$11,100,MAX(0,100-(M365-'Input &amp; Settings'!$B$11)*20)),""))</f>
        <v/>
      </c>
      <c r="X365" s="37" t="str">
        <f>IF(N365="","",IFERROR(MIN(100,N365/'Input &amp; Settings'!$B$12*100),""))</f>
        <v/>
      </c>
      <c r="Y365" s="37" t="str">
        <f>IF(O365="","",IFERROR(MIN(100,O365/'Input &amp; Settings'!$B$13*100),""))</f>
        <v/>
      </c>
      <c r="Z365" s="37" t="str">
        <f>IF(P365="","",IFERROR(IF(P365&lt;='Input &amp; Settings'!$B$14,100,MAX(0,100-(P365-'Input &amp; Settings'!$B$14)*20)),""))</f>
        <v/>
      </c>
      <c r="AA365" s="37" t="str">
        <f>IF(COUNTA(G365:P365)=0,"",ROUND(Q365*'Input &amp; Settings'!$C$5+R365*'Input &amp; Settings'!$C$6+S365*'Input &amp; Settings'!$C$7+T365*'Input &amp; Settings'!$C$8+U365*'Input &amp; Settings'!$C$9+V365*'Input &amp; Settings'!$C$10+W365*'Input &amp; Settings'!$C$11+X365*'Input &amp; Settings'!$C$12+Y365*'Input &amp; Settings'!$C$13+Z365*'Input &amp; Settings'!$C$14,1))</f>
        <v/>
      </c>
      <c r="AB365" s="38" t="str">
        <f>IF(OR(AA365="",E365=""),"",IFERROR(IF(AA365&gt;=VLOOKUP(E365,'Input &amp; Settings'!$F$5:$K$10,3,FALSE),"Outstanding",IF(AA365&gt;=VLOOKUP(E365,'Input &amp; Settings'!$F$5:$K$10,4,FALSE),"Exceeds Expectations",IF(AA365&gt;=VLOOKUP(E365,'Input &amp; Settings'!$F$5:$K$10,5,FALSE),"Meets Expectations",IF(AA365&gt;=VLOOKUP(E365,'Input &amp; Settings'!$F$5:$K$10,6,FALSE),"Needs Improvement","Performance Improvement Required")))),""))</f>
        <v/>
      </c>
      <c r="AC365" s="38" t="str">
        <f t="shared" si="20"/>
        <v/>
      </c>
      <c r="AD365" s="39"/>
      <c r="AE365" s="40"/>
      <c r="AF365" s="41" t="str">
        <f t="shared" si="21"/>
        <v/>
      </c>
      <c r="AG365" s="42" t="str">
        <f t="shared" si="22"/>
        <v/>
      </c>
      <c r="AH365" s="42" t="str">
        <f t="shared" si="23"/>
        <v>Sebastian Lopez|September</v>
      </c>
    </row>
    <row r="366" spans="1:34" hidden="1">
      <c r="A366" s="32">
        <v>2026</v>
      </c>
      <c r="B366" s="32" t="s">
        <v>94</v>
      </c>
      <c r="C366" s="32" t="s">
        <v>53</v>
      </c>
      <c r="D366" s="32" t="s">
        <v>65</v>
      </c>
      <c r="E366" s="33"/>
      <c r="F366" s="34" t="str">
        <f>IF(E366="","",IFERROR(VLOOKUP(E366,'Input &amp; Settings'!$F$5:$G$10,2,FALSE),""))</f>
        <v/>
      </c>
      <c r="G366" s="33"/>
      <c r="H366" s="33"/>
      <c r="I366" s="35"/>
      <c r="J366" s="33"/>
      <c r="K366" s="36"/>
      <c r="L366" s="35"/>
      <c r="M366" s="33"/>
      <c r="N366" s="33"/>
      <c r="O366" s="33"/>
      <c r="P366" s="33"/>
      <c r="Q366" s="37" t="str">
        <f>IF(G366="","",IFERROR(MIN(100,G366/'Input &amp; Settings'!$B$5*100),""))</f>
        <v/>
      </c>
      <c r="R366" s="37" t="str">
        <f>IF(H366="","",IFERROR(MIN(100,H366/'Input &amp; Settings'!$B$6*100),""))</f>
        <v/>
      </c>
      <c r="S366" s="37" t="str">
        <f>IF(I366="","",IFERROR(MIN(100,I366/'Input &amp; Settings'!$B$7*100),""))</f>
        <v/>
      </c>
      <c r="T366" s="37" t="str">
        <f>IF(J366="","",IFERROR(MIN(100,J366/'Input &amp; Settings'!$B$8*100),""))</f>
        <v/>
      </c>
      <c r="U366" s="37" t="str">
        <f>IF(K366="","",IFERROR(MIN(100,K366/'Input &amp; Settings'!$B$9*100),""))</f>
        <v/>
      </c>
      <c r="V366" s="37" t="str">
        <f>IF(L366="","",IFERROR(MIN(100,L366/'Input &amp; Settings'!$B$10*100),""))</f>
        <v/>
      </c>
      <c r="W366" s="37" t="str">
        <f>IF(M366="","",IFERROR(IF(M366&lt;='Input &amp; Settings'!$B$11,100,MAX(0,100-(M366-'Input &amp; Settings'!$B$11)*20)),""))</f>
        <v/>
      </c>
      <c r="X366" s="37" t="str">
        <f>IF(N366="","",IFERROR(MIN(100,N366/'Input &amp; Settings'!$B$12*100),""))</f>
        <v/>
      </c>
      <c r="Y366" s="37" t="str">
        <f>IF(O366="","",IFERROR(MIN(100,O366/'Input &amp; Settings'!$B$13*100),""))</f>
        <v/>
      </c>
      <c r="Z366" s="37" t="str">
        <f>IF(P366="","",IFERROR(IF(P366&lt;='Input &amp; Settings'!$B$14,100,MAX(0,100-(P366-'Input &amp; Settings'!$B$14)*20)),""))</f>
        <v/>
      </c>
      <c r="AA366" s="37" t="str">
        <f>IF(COUNTA(G366:P366)=0,"",ROUND(Q366*'Input &amp; Settings'!$C$5+R366*'Input &amp; Settings'!$C$6+S366*'Input &amp; Settings'!$C$7+T366*'Input &amp; Settings'!$C$8+U366*'Input &amp; Settings'!$C$9+V366*'Input &amp; Settings'!$C$10+W366*'Input &amp; Settings'!$C$11+X366*'Input &amp; Settings'!$C$12+Y366*'Input &amp; Settings'!$C$13+Z366*'Input &amp; Settings'!$C$14,1))</f>
        <v/>
      </c>
      <c r="AB366" s="38" t="str">
        <f>IF(OR(AA366="",E366=""),"",IFERROR(IF(AA366&gt;=VLOOKUP(E366,'Input &amp; Settings'!$F$5:$K$10,3,FALSE),"Outstanding",IF(AA366&gt;=VLOOKUP(E366,'Input &amp; Settings'!$F$5:$K$10,4,FALSE),"Exceeds Expectations",IF(AA366&gt;=VLOOKUP(E366,'Input &amp; Settings'!$F$5:$K$10,5,FALSE),"Meets Expectations",IF(AA366&gt;=VLOOKUP(E366,'Input &amp; Settings'!$F$5:$K$10,6,FALSE),"Needs Improvement","Performance Improvement Required")))),""))</f>
        <v/>
      </c>
      <c r="AC366" s="38" t="str">
        <f t="shared" si="20"/>
        <v/>
      </c>
      <c r="AD366" s="39"/>
      <c r="AE366" s="40"/>
      <c r="AF366" s="41" t="str">
        <f t="shared" si="21"/>
        <v/>
      </c>
      <c r="AG366" s="42" t="str">
        <f t="shared" si="22"/>
        <v/>
      </c>
      <c r="AH366" s="42" t="str">
        <f t="shared" si="23"/>
        <v>Lucas Degomme|September</v>
      </c>
    </row>
    <row r="367" spans="1:34" hidden="1">
      <c r="A367" s="32">
        <v>2026</v>
      </c>
      <c r="B367" s="32" t="s">
        <v>94</v>
      </c>
      <c r="C367" s="32" t="s">
        <v>53</v>
      </c>
      <c r="D367" s="32" t="s">
        <v>66</v>
      </c>
      <c r="E367" s="33"/>
      <c r="F367" s="34" t="str">
        <f>IF(E367="","",IFERROR(VLOOKUP(E367,'Input &amp; Settings'!$F$5:$G$10,2,FALSE),""))</f>
        <v/>
      </c>
      <c r="G367" s="33"/>
      <c r="H367" s="33"/>
      <c r="I367" s="35"/>
      <c r="J367" s="33"/>
      <c r="K367" s="36"/>
      <c r="L367" s="35"/>
      <c r="M367" s="33"/>
      <c r="N367" s="33"/>
      <c r="O367" s="33"/>
      <c r="P367" s="33"/>
      <c r="Q367" s="37" t="str">
        <f>IF(G367="","",IFERROR(MIN(100,G367/'Input &amp; Settings'!$B$5*100),""))</f>
        <v/>
      </c>
      <c r="R367" s="37" t="str">
        <f>IF(H367="","",IFERROR(MIN(100,H367/'Input &amp; Settings'!$B$6*100),""))</f>
        <v/>
      </c>
      <c r="S367" s="37" t="str">
        <f>IF(I367="","",IFERROR(MIN(100,I367/'Input &amp; Settings'!$B$7*100),""))</f>
        <v/>
      </c>
      <c r="T367" s="37" t="str">
        <f>IF(J367="","",IFERROR(MIN(100,J367/'Input &amp; Settings'!$B$8*100),""))</f>
        <v/>
      </c>
      <c r="U367" s="37" t="str">
        <f>IF(K367="","",IFERROR(MIN(100,K367/'Input &amp; Settings'!$B$9*100),""))</f>
        <v/>
      </c>
      <c r="V367" s="37" t="str">
        <f>IF(L367="","",IFERROR(MIN(100,L367/'Input &amp; Settings'!$B$10*100),""))</f>
        <v/>
      </c>
      <c r="W367" s="37" t="str">
        <f>IF(M367="","",IFERROR(IF(M367&lt;='Input &amp; Settings'!$B$11,100,MAX(0,100-(M367-'Input &amp; Settings'!$B$11)*20)),""))</f>
        <v/>
      </c>
      <c r="X367" s="37" t="str">
        <f>IF(N367="","",IFERROR(MIN(100,N367/'Input &amp; Settings'!$B$12*100),""))</f>
        <v/>
      </c>
      <c r="Y367" s="37" t="str">
        <f>IF(O367="","",IFERROR(MIN(100,O367/'Input &amp; Settings'!$B$13*100),""))</f>
        <v/>
      </c>
      <c r="Z367" s="37" t="str">
        <f>IF(P367="","",IFERROR(IF(P367&lt;='Input &amp; Settings'!$B$14,100,MAX(0,100-(P367-'Input &amp; Settings'!$B$14)*20)),""))</f>
        <v/>
      </c>
      <c r="AA367" s="37" t="str">
        <f>IF(COUNTA(G367:P367)=0,"",ROUND(Q367*'Input &amp; Settings'!$C$5+R367*'Input &amp; Settings'!$C$6+S367*'Input &amp; Settings'!$C$7+T367*'Input &amp; Settings'!$C$8+U367*'Input &amp; Settings'!$C$9+V367*'Input &amp; Settings'!$C$10+W367*'Input &amp; Settings'!$C$11+X367*'Input &amp; Settings'!$C$12+Y367*'Input &amp; Settings'!$C$13+Z367*'Input &amp; Settings'!$C$14,1))</f>
        <v/>
      </c>
      <c r="AB367" s="38" t="str">
        <f>IF(OR(AA367="",E367=""),"",IFERROR(IF(AA367&gt;=VLOOKUP(E367,'Input &amp; Settings'!$F$5:$K$10,3,FALSE),"Outstanding",IF(AA367&gt;=VLOOKUP(E367,'Input &amp; Settings'!$F$5:$K$10,4,FALSE),"Exceeds Expectations",IF(AA367&gt;=VLOOKUP(E367,'Input &amp; Settings'!$F$5:$K$10,5,FALSE),"Meets Expectations",IF(AA367&gt;=VLOOKUP(E367,'Input &amp; Settings'!$F$5:$K$10,6,FALSE),"Needs Improvement","Performance Improvement Required")))),""))</f>
        <v/>
      </c>
      <c r="AC367" s="38" t="str">
        <f t="shared" si="20"/>
        <v/>
      </c>
      <c r="AD367" s="39"/>
      <c r="AE367" s="40"/>
      <c r="AF367" s="41" t="str">
        <f t="shared" si="21"/>
        <v/>
      </c>
      <c r="AG367" s="42" t="str">
        <f t="shared" si="22"/>
        <v/>
      </c>
      <c r="AH367" s="42" t="str">
        <f t="shared" si="23"/>
        <v>Alexander Chinea|September</v>
      </c>
    </row>
    <row r="368" spans="1:34" hidden="1">
      <c r="A368" s="32">
        <v>2026</v>
      </c>
      <c r="B368" s="32" t="s">
        <v>94</v>
      </c>
      <c r="C368" s="32" t="s">
        <v>53</v>
      </c>
      <c r="D368" s="32" t="s">
        <v>67</v>
      </c>
      <c r="E368" s="33"/>
      <c r="F368" s="34" t="str">
        <f>IF(E368="","",IFERROR(VLOOKUP(E368,'Input &amp; Settings'!$F$5:$G$10,2,FALSE),""))</f>
        <v/>
      </c>
      <c r="G368" s="33"/>
      <c r="H368" s="33"/>
      <c r="I368" s="35"/>
      <c r="J368" s="33"/>
      <c r="K368" s="36"/>
      <c r="L368" s="35"/>
      <c r="M368" s="33"/>
      <c r="N368" s="33"/>
      <c r="O368" s="33"/>
      <c r="P368" s="33"/>
      <c r="Q368" s="37" t="str">
        <f>IF(G368="","",IFERROR(MIN(100,G368/'Input &amp; Settings'!$B$5*100),""))</f>
        <v/>
      </c>
      <c r="R368" s="37" t="str">
        <f>IF(H368="","",IFERROR(MIN(100,H368/'Input &amp; Settings'!$B$6*100),""))</f>
        <v/>
      </c>
      <c r="S368" s="37" t="str">
        <f>IF(I368="","",IFERROR(MIN(100,I368/'Input &amp; Settings'!$B$7*100),""))</f>
        <v/>
      </c>
      <c r="T368" s="37" t="str">
        <f>IF(J368="","",IFERROR(MIN(100,J368/'Input &amp; Settings'!$B$8*100),""))</f>
        <v/>
      </c>
      <c r="U368" s="37" t="str">
        <f>IF(K368="","",IFERROR(MIN(100,K368/'Input &amp; Settings'!$B$9*100),""))</f>
        <v/>
      </c>
      <c r="V368" s="37" t="str">
        <f>IF(L368="","",IFERROR(MIN(100,L368/'Input &amp; Settings'!$B$10*100),""))</f>
        <v/>
      </c>
      <c r="W368" s="37" t="str">
        <f>IF(M368="","",IFERROR(IF(M368&lt;='Input &amp; Settings'!$B$11,100,MAX(0,100-(M368-'Input &amp; Settings'!$B$11)*20)),""))</f>
        <v/>
      </c>
      <c r="X368" s="37" t="str">
        <f>IF(N368="","",IFERROR(MIN(100,N368/'Input &amp; Settings'!$B$12*100),""))</f>
        <v/>
      </c>
      <c r="Y368" s="37" t="str">
        <f>IF(O368="","",IFERROR(MIN(100,O368/'Input &amp; Settings'!$B$13*100),""))</f>
        <v/>
      </c>
      <c r="Z368" s="37" t="str">
        <f>IF(P368="","",IFERROR(IF(P368&lt;='Input &amp; Settings'!$B$14,100,MAX(0,100-(P368-'Input &amp; Settings'!$B$14)*20)),""))</f>
        <v/>
      </c>
      <c r="AA368" s="37" t="str">
        <f>IF(COUNTA(G368:P368)=0,"",ROUND(Q368*'Input &amp; Settings'!$C$5+R368*'Input &amp; Settings'!$C$6+S368*'Input &amp; Settings'!$C$7+T368*'Input &amp; Settings'!$C$8+U368*'Input &amp; Settings'!$C$9+V368*'Input &amp; Settings'!$C$10+W368*'Input &amp; Settings'!$C$11+X368*'Input &amp; Settings'!$C$12+Y368*'Input &amp; Settings'!$C$13+Z368*'Input &amp; Settings'!$C$14,1))</f>
        <v/>
      </c>
      <c r="AB368" s="38" t="str">
        <f>IF(OR(AA368="",E368=""),"",IFERROR(IF(AA368&gt;=VLOOKUP(E368,'Input &amp; Settings'!$F$5:$K$10,3,FALSE),"Outstanding",IF(AA368&gt;=VLOOKUP(E368,'Input &amp; Settings'!$F$5:$K$10,4,FALSE),"Exceeds Expectations",IF(AA368&gt;=VLOOKUP(E368,'Input &amp; Settings'!$F$5:$K$10,5,FALSE),"Meets Expectations",IF(AA368&gt;=VLOOKUP(E368,'Input &amp; Settings'!$F$5:$K$10,6,FALSE),"Needs Improvement","Performance Improvement Required")))),""))</f>
        <v/>
      </c>
      <c r="AC368" s="38" t="str">
        <f t="shared" si="20"/>
        <v/>
      </c>
      <c r="AD368" s="39"/>
      <c r="AE368" s="40"/>
      <c r="AF368" s="41" t="str">
        <f t="shared" si="21"/>
        <v/>
      </c>
      <c r="AG368" s="42" t="str">
        <f t="shared" si="22"/>
        <v/>
      </c>
      <c r="AH368" s="42" t="str">
        <f t="shared" si="23"/>
        <v>Carlos Martinez Monzon|September</v>
      </c>
    </row>
    <row r="369" spans="1:34" hidden="1">
      <c r="A369" s="32">
        <v>2026</v>
      </c>
      <c r="B369" s="32" t="s">
        <v>94</v>
      </c>
      <c r="C369" s="32" t="s">
        <v>53</v>
      </c>
      <c r="D369" s="32" t="s">
        <v>68</v>
      </c>
      <c r="E369" s="33"/>
      <c r="F369" s="34" t="str">
        <f>IF(E369="","",IFERROR(VLOOKUP(E369,'Input &amp; Settings'!$F$5:$G$10,2,FALSE),""))</f>
        <v/>
      </c>
      <c r="G369" s="33"/>
      <c r="H369" s="33"/>
      <c r="I369" s="35"/>
      <c r="J369" s="33"/>
      <c r="K369" s="36"/>
      <c r="L369" s="35"/>
      <c r="M369" s="33"/>
      <c r="N369" s="33"/>
      <c r="O369" s="33"/>
      <c r="P369" s="33"/>
      <c r="Q369" s="37" t="str">
        <f>IF(G369="","",IFERROR(MIN(100,G369/'Input &amp; Settings'!$B$5*100),""))</f>
        <v/>
      </c>
      <c r="R369" s="37" t="str">
        <f>IF(H369="","",IFERROR(MIN(100,H369/'Input &amp; Settings'!$B$6*100),""))</f>
        <v/>
      </c>
      <c r="S369" s="37" t="str">
        <f>IF(I369="","",IFERROR(MIN(100,I369/'Input &amp; Settings'!$B$7*100),""))</f>
        <v/>
      </c>
      <c r="T369" s="37" t="str">
        <f>IF(J369="","",IFERROR(MIN(100,J369/'Input &amp; Settings'!$B$8*100),""))</f>
        <v/>
      </c>
      <c r="U369" s="37" t="str">
        <f>IF(K369="","",IFERROR(MIN(100,K369/'Input &amp; Settings'!$B$9*100),""))</f>
        <v/>
      </c>
      <c r="V369" s="37" t="str">
        <f>IF(L369="","",IFERROR(MIN(100,L369/'Input &amp; Settings'!$B$10*100),""))</f>
        <v/>
      </c>
      <c r="W369" s="37" t="str">
        <f>IF(M369="","",IFERROR(IF(M369&lt;='Input &amp; Settings'!$B$11,100,MAX(0,100-(M369-'Input &amp; Settings'!$B$11)*20)),""))</f>
        <v/>
      </c>
      <c r="X369" s="37" t="str">
        <f>IF(N369="","",IFERROR(MIN(100,N369/'Input &amp; Settings'!$B$12*100),""))</f>
        <v/>
      </c>
      <c r="Y369" s="37" t="str">
        <f>IF(O369="","",IFERROR(MIN(100,O369/'Input &amp; Settings'!$B$13*100),""))</f>
        <v/>
      </c>
      <c r="Z369" s="37" t="str">
        <f>IF(P369="","",IFERROR(IF(P369&lt;='Input &amp; Settings'!$B$14,100,MAX(0,100-(P369-'Input &amp; Settings'!$B$14)*20)),""))</f>
        <v/>
      </c>
      <c r="AA369" s="37" t="str">
        <f>IF(COUNTA(G369:P369)=0,"",ROUND(Q369*'Input &amp; Settings'!$C$5+R369*'Input &amp; Settings'!$C$6+S369*'Input &amp; Settings'!$C$7+T369*'Input &amp; Settings'!$C$8+U369*'Input &amp; Settings'!$C$9+V369*'Input &amp; Settings'!$C$10+W369*'Input &amp; Settings'!$C$11+X369*'Input &amp; Settings'!$C$12+Y369*'Input &amp; Settings'!$C$13+Z369*'Input &amp; Settings'!$C$14,1))</f>
        <v/>
      </c>
      <c r="AB369" s="38" t="str">
        <f>IF(OR(AA369="",E369=""),"",IFERROR(IF(AA369&gt;=VLOOKUP(E369,'Input &amp; Settings'!$F$5:$K$10,3,FALSE),"Outstanding",IF(AA369&gt;=VLOOKUP(E369,'Input &amp; Settings'!$F$5:$K$10,4,FALSE),"Exceeds Expectations",IF(AA369&gt;=VLOOKUP(E369,'Input &amp; Settings'!$F$5:$K$10,5,FALSE),"Meets Expectations",IF(AA369&gt;=VLOOKUP(E369,'Input &amp; Settings'!$F$5:$K$10,6,FALSE),"Needs Improvement","Performance Improvement Required")))),""))</f>
        <v/>
      </c>
      <c r="AC369" s="38" t="str">
        <f t="shared" si="20"/>
        <v/>
      </c>
      <c r="AD369" s="39"/>
      <c r="AE369" s="40"/>
      <c r="AF369" s="41" t="str">
        <f t="shared" si="21"/>
        <v/>
      </c>
      <c r="AG369" s="42" t="str">
        <f t="shared" si="22"/>
        <v/>
      </c>
      <c r="AH369" s="42" t="str">
        <f t="shared" si="23"/>
        <v>Carlos Sanabria|September</v>
      </c>
    </row>
    <row r="370" spans="1:34" hidden="1">
      <c r="A370" s="32">
        <v>2026</v>
      </c>
      <c r="B370" s="32" t="s">
        <v>94</v>
      </c>
      <c r="C370" s="32" t="s">
        <v>53</v>
      </c>
      <c r="D370" s="32" t="s">
        <v>69</v>
      </c>
      <c r="E370" s="33"/>
      <c r="F370" s="34" t="str">
        <f>IF(E370="","",IFERROR(VLOOKUP(E370,'Input &amp; Settings'!$F$5:$G$10,2,FALSE),""))</f>
        <v/>
      </c>
      <c r="G370" s="33"/>
      <c r="H370" s="33"/>
      <c r="I370" s="35"/>
      <c r="J370" s="33"/>
      <c r="K370" s="36"/>
      <c r="L370" s="35"/>
      <c r="M370" s="33"/>
      <c r="N370" s="33"/>
      <c r="O370" s="33"/>
      <c r="P370" s="33"/>
      <c r="Q370" s="37" t="str">
        <f>IF(G370="","",IFERROR(MIN(100,G370/'Input &amp; Settings'!$B$5*100),""))</f>
        <v/>
      </c>
      <c r="R370" s="37" t="str">
        <f>IF(H370="","",IFERROR(MIN(100,H370/'Input &amp; Settings'!$B$6*100),""))</f>
        <v/>
      </c>
      <c r="S370" s="37" t="str">
        <f>IF(I370="","",IFERROR(MIN(100,I370/'Input &amp; Settings'!$B$7*100),""))</f>
        <v/>
      </c>
      <c r="T370" s="37" t="str">
        <f>IF(J370="","",IFERROR(MIN(100,J370/'Input &amp; Settings'!$B$8*100),""))</f>
        <v/>
      </c>
      <c r="U370" s="37" t="str">
        <f>IF(K370="","",IFERROR(MIN(100,K370/'Input &amp; Settings'!$B$9*100),""))</f>
        <v/>
      </c>
      <c r="V370" s="37" t="str">
        <f>IF(L370="","",IFERROR(MIN(100,L370/'Input &amp; Settings'!$B$10*100),""))</f>
        <v/>
      </c>
      <c r="W370" s="37" t="str">
        <f>IF(M370="","",IFERROR(IF(M370&lt;='Input &amp; Settings'!$B$11,100,MAX(0,100-(M370-'Input &amp; Settings'!$B$11)*20)),""))</f>
        <v/>
      </c>
      <c r="X370" s="37" t="str">
        <f>IF(N370="","",IFERROR(MIN(100,N370/'Input &amp; Settings'!$B$12*100),""))</f>
        <v/>
      </c>
      <c r="Y370" s="37" t="str">
        <f>IF(O370="","",IFERROR(MIN(100,O370/'Input &amp; Settings'!$B$13*100),""))</f>
        <v/>
      </c>
      <c r="Z370" s="37" t="str">
        <f>IF(P370="","",IFERROR(IF(P370&lt;='Input &amp; Settings'!$B$14,100,MAX(0,100-(P370-'Input &amp; Settings'!$B$14)*20)),""))</f>
        <v/>
      </c>
      <c r="AA370" s="37" t="str">
        <f>IF(COUNTA(G370:P370)=0,"",ROUND(Q370*'Input &amp; Settings'!$C$5+R370*'Input &amp; Settings'!$C$6+S370*'Input &amp; Settings'!$C$7+T370*'Input &amp; Settings'!$C$8+U370*'Input &amp; Settings'!$C$9+V370*'Input &amp; Settings'!$C$10+W370*'Input &amp; Settings'!$C$11+X370*'Input &amp; Settings'!$C$12+Y370*'Input &amp; Settings'!$C$13+Z370*'Input &amp; Settings'!$C$14,1))</f>
        <v/>
      </c>
      <c r="AB370" s="38" t="str">
        <f>IF(OR(AA370="",E370=""),"",IFERROR(IF(AA370&gt;=VLOOKUP(E370,'Input &amp; Settings'!$F$5:$K$10,3,FALSE),"Outstanding",IF(AA370&gt;=VLOOKUP(E370,'Input &amp; Settings'!$F$5:$K$10,4,FALSE),"Exceeds Expectations",IF(AA370&gt;=VLOOKUP(E370,'Input &amp; Settings'!$F$5:$K$10,5,FALSE),"Meets Expectations",IF(AA370&gt;=VLOOKUP(E370,'Input &amp; Settings'!$F$5:$K$10,6,FALSE),"Needs Improvement","Performance Improvement Required")))),""))</f>
        <v/>
      </c>
      <c r="AC370" s="38" t="str">
        <f t="shared" si="20"/>
        <v/>
      </c>
      <c r="AD370" s="39"/>
      <c r="AE370" s="40"/>
      <c r="AF370" s="41" t="str">
        <f t="shared" si="21"/>
        <v/>
      </c>
      <c r="AG370" s="42" t="str">
        <f t="shared" si="22"/>
        <v/>
      </c>
      <c r="AH370" s="42" t="str">
        <f t="shared" si="23"/>
        <v>Alex Gomes|September</v>
      </c>
    </row>
    <row r="371" spans="1:34" hidden="1">
      <c r="A371" s="32">
        <v>2026</v>
      </c>
      <c r="B371" s="32" t="s">
        <v>94</v>
      </c>
      <c r="C371" s="32" t="s">
        <v>53</v>
      </c>
      <c r="D371" s="32" t="s">
        <v>70</v>
      </c>
      <c r="E371" s="33"/>
      <c r="F371" s="34" t="str">
        <f>IF(E371="","",IFERROR(VLOOKUP(E371,'Input &amp; Settings'!$F$5:$G$10,2,FALSE),""))</f>
        <v/>
      </c>
      <c r="G371" s="33"/>
      <c r="H371" s="33"/>
      <c r="I371" s="35"/>
      <c r="J371" s="33"/>
      <c r="K371" s="36"/>
      <c r="L371" s="35"/>
      <c r="M371" s="33"/>
      <c r="N371" s="33"/>
      <c r="O371" s="33"/>
      <c r="P371" s="33"/>
      <c r="Q371" s="37" t="str">
        <f>IF(G371="","",IFERROR(MIN(100,G371/'Input &amp; Settings'!$B$5*100),""))</f>
        <v/>
      </c>
      <c r="R371" s="37" t="str">
        <f>IF(H371="","",IFERROR(MIN(100,H371/'Input &amp; Settings'!$B$6*100),""))</f>
        <v/>
      </c>
      <c r="S371" s="37" t="str">
        <f>IF(I371="","",IFERROR(MIN(100,I371/'Input &amp; Settings'!$B$7*100),""))</f>
        <v/>
      </c>
      <c r="T371" s="37" t="str">
        <f>IF(J371="","",IFERROR(MIN(100,J371/'Input &amp; Settings'!$B$8*100),""))</f>
        <v/>
      </c>
      <c r="U371" s="37" t="str">
        <f>IF(K371="","",IFERROR(MIN(100,K371/'Input &amp; Settings'!$B$9*100),""))</f>
        <v/>
      </c>
      <c r="V371" s="37" t="str">
        <f>IF(L371="","",IFERROR(MIN(100,L371/'Input &amp; Settings'!$B$10*100),""))</f>
        <v/>
      </c>
      <c r="W371" s="37" t="str">
        <f>IF(M371="","",IFERROR(IF(M371&lt;='Input &amp; Settings'!$B$11,100,MAX(0,100-(M371-'Input &amp; Settings'!$B$11)*20)),""))</f>
        <v/>
      </c>
      <c r="X371" s="37" t="str">
        <f>IF(N371="","",IFERROR(MIN(100,N371/'Input &amp; Settings'!$B$12*100),""))</f>
        <v/>
      </c>
      <c r="Y371" s="37" t="str">
        <f>IF(O371="","",IFERROR(MIN(100,O371/'Input &amp; Settings'!$B$13*100),""))</f>
        <v/>
      </c>
      <c r="Z371" s="37" t="str">
        <f>IF(P371="","",IFERROR(IF(P371&lt;='Input &amp; Settings'!$B$14,100,MAX(0,100-(P371-'Input &amp; Settings'!$B$14)*20)),""))</f>
        <v/>
      </c>
      <c r="AA371" s="37" t="str">
        <f>IF(COUNTA(G371:P371)=0,"",ROUND(Q371*'Input &amp; Settings'!$C$5+R371*'Input &amp; Settings'!$C$6+S371*'Input &amp; Settings'!$C$7+T371*'Input &amp; Settings'!$C$8+U371*'Input &amp; Settings'!$C$9+V371*'Input &amp; Settings'!$C$10+W371*'Input &amp; Settings'!$C$11+X371*'Input &amp; Settings'!$C$12+Y371*'Input &amp; Settings'!$C$13+Z371*'Input &amp; Settings'!$C$14,1))</f>
        <v/>
      </c>
      <c r="AB371" s="38" t="str">
        <f>IF(OR(AA371="",E371=""),"",IFERROR(IF(AA371&gt;=VLOOKUP(E371,'Input &amp; Settings'!$F$5:$K$10,3,FALSE),"Outstanding",IF(AA371&gt;=VLOOKUP(E371,'Input &amp; Settings'!$F$5:$K$10,4,FALSE),"Exceeds Expectations",IF(AA371&gt;=VLOOKUP(E371,'Input &amp; Settings'!$F$5:$K$10,5,FALSE),"Meets Expectations",IF(AA371&gt;=VLOOKUP(E371,'Input &amp; Settings'!$F$5:$K$10,6,FALSE),"Needs Improvement","Performance Improvement Required")))),""))</f>
        <v/>
      </c>
      <c r="AC371" s="38" t="str">
        <f t="shared" si="20"/>
        <v/>
      </c>
      <c r="AD371" s="39"/>
      <c r="AE371" s="40"/>
      <c r="AF371" s="41" t="str">
        <f t="shared" si="21"/>
        <v/>
      </c>
      <c r="AG371" s="42" t="str">
        <f t="shared" si="22"/>
        <v/>
      </c>
      <c r="AH371" s="42" t="str">
        <f t="shared" si="23"/>
        <v>Teddy Joseph|September</v>
      </c>
    </row>
    <row r="372" spans="1:34" hidden="1">
      <c r="A372" s="32">
        <v>2026</v>
      </c>
      <c r="B372" s="32" t="s">
        <v>94</v>
      </c>
      <c r="C372" s="32" t="s">
        <v>53</v>
      </c>
      <c r="D372" s="32" t="s">
        <v>71</v>
      </c>
      <c r="E372" s="33"/>
      <c r="F372" s="34" t="str">
        <f>IF(E372="","",IFERROR(VLOOKUP(E372,'Input &amp; Settings'!$F$5:$G$10,2,FALSE),""))</f>
        <v/>
      </c>
      <c r="G372" s="33"/>
      <c r="H372" s="33"/>
      <c r="I372" s="35"/>
      <c r="J372" s="33"/>
      <c r="K372" s="36"/>
      <c r="L372" s="35"/>
      <c r="M372" s="33"/>
      <c r="N372" s="33"/>
      <c r="O372" s="33"/>
      <c r="P372" s="33"/>
      <c r="Q372" s="37" t="str">
        <f>IF(G372="","",IFERROR(MIN(100,G372/'Input &amp; Settings'!$B$5*100),""))</f>
        <v/>
      </c>
      <c r="R372" s="37" t="str">
        <f>IF(H372="","",IFERROR(MIN(100,H372/'Input &amp; Settings'!$B$6*100),""))</f>
        <v/>
      </c>
      <c r="S372" s="37" t="str">
        <f>IF(I372="","",IFERROR(MIN(100,I372/'Input &amp; Settings'!$B$7*100),""))</f>
        <v/>
      </c>
      <c r="T372" s="37" t="str">
        <f>IF(J372="","",IFERROR(MIN(100,J372/'Input &amp; Settings'!$B$8*100),""))</f>
        <v/>
      </c>
      <c r="U372" s="37" t="str">
        <f>IF(K372="","",IFERROR(MIN(100,K372/'Input &amp; Settings'!$B$9*100),""))</f>
        <v/>
      </c>
      <c r="V372" s="37" t="str">
        <f>IF(L372="","",IFERROR(MIN(100,L372/'Input &amp; Settings'!$B$10*100),""))</f>
        <v/>
      </c>
      <c r="W372" s="37" t="str">
        <f>IF(M372="","",IFERROR(IF(M372&lt;='Input &amp; Settings'!$B$11,100,MAX(0,100-(M372-'Input &amp; Settings'!$B$11)*20)),""))</f>
        <v/>
      </c>
      <c r="X372" s="37" t="str">
        <f>IF(N372="","",IFERROR(MIN(100,N372/'Input &amp; Settings'!$B$12*100),""))</f>
        <v/>
      </c>
      <c r="Y372" s="37" t="str">
        <f>IF(O372="","",IFERROR(MIN(100,O372/'Input &amp; Settings'!$B$13*100),""))</f>
        <v/>
      </c>
      <c r="Z372" s="37" t="str">
        <f>IF(P372="","",IFERROR(IF(P372&lt;='Input &amp; Settings'!$B$14,100,MAX(0,100-(P372-'Input &amp; Settings'!$B$14)*20)),""))</f>
        <v/>
      </c>
      <c r="AA372" s="37" t="str">
        <f>IF(COUNTA(G372:P372)=0,"",ROUND(Q372*'Input &amp; Settings'!$C$5+R372*'Input &amp; Settings'!$C$6+S372*'Input &amp; Settings'!$C$7+T372*'Input &amp; Settings'!$C$8+U372*'Input &amp; Settings'!$C$9+V372*'Input &amp; Settings'!$C$10+W372*'Input &amp; Settings'!$C$11+X372*'Input &amp; Settings'!$C$12+Y372*'Input &amp; Settings'!$C$13+Z372*'Input &amp; Settings'!$C$14,1))</f>
        <v/>
      </c>
      <c r="AB372" s="38" t="str">
        <f>IF(OR(AA372="",E372=""),"",IFERROR(IF(AA372&gt;=VLOOKUP(E372,'Input &amp; Settings'!$F$5:$K$10,3,FALSE),"Outstanding",IF(AA372&gt;=VLOOKUP(E372,'Input &amp; Settings'!$F$5:$K$10,4,FALSE),"Exceeds Expectations",IF(AA372&gt;=VLOOKUP(E372,'Input &amp; Settings'!$F$5:$K$10,5,FALSE),"Meets Expectations",IF(AA372&gt;=VLOOKUP(E372,'Input &amp; Settings'!$F$5:$K$10,6,FALSE),"Needs Improvement","Performance Improvement Required")))),""))</f>
        <v/>
      </c>
      <c r="AC372" s="38" t="str">
        <f t="shared" si="20"/>
        <v/>
      </c>
      <c r="AD372" s="39"/>
      <c r="AE372" s="40"/>
      <c r="AF372" s="41" t="str">
        <f t="shared" si="21"/>
        <v/>
      </c>
      <c r="AG372" s="42" t="str">
        <f t="shared" si="22"/>
        <v/>
      </c>
      <c r="AH372" s="42" t="str">
        <f t="shared" si="23"/>
        <v>Andrew Montgomery|September</v>
      </c>
    </row>
    <row r="373" spans="1:34" hidden="1">
      <c r="A373" s="32">
        <v>2026</v>
      </c>
      <c r="B373" s="32" t="s">
        <v>94</v>
      </c>
      <c r="C373" s="32" t="s">
        <v>53</v>
      </c>
      <c r="D373" s="32" t="s">
        <v>72</v>
      </c>
      <c r="E373" s="33"/>
      <c r="F373" s="34" t="str">
        <f>IF(E373="","",IFERROR(VLOOKUP(E373,'Input &amp; Settings'!$F$5:$G$10,2,FALSE),""))</f>
        <v/>
      </c>
      <c r="G373" s="33"/>
      <c r="H373" s="33"/>
      <c r="I373" s="35"/>
      <c r="J373" s="33"/>
      <c r="K373" s="36"/>
      <c r="L373" s="35"/>
      <c r="M373" s="33"/>
      <c r="N373" s="33"/>
      <c r="O373" s="33"/>
      <c r="P373" s="33"/>
      <c r="Q373" s="37" t="str">
        <f>IF(G373="","",IFERROR(MIN(100,G373/'Input &amp; Settings'!$B$5*100),""))</f>
        <v/>
      </c>
      <c r="R373" s="37" t="str">
        <f>IF(H373="","",IFERROR(MIN(100,H373/'Input &amp; Settings'!$B$6*100),""))</f>
        <v/>
      </c>
      <c r="S373" s="37" t="str">
        <f>IF(I373="","",IFERROR(MIN(100,I373/'Input &amp; Settings'!$B$7*100),""))</f>
        <v/>
      </c>
      <c r="T373" s="37" t="str">
        <f>IF(J373="","",IFERROR(MIN(100,J373/'Input &amp; Settings'!$B$8*100),""))</f>
        <v/>
      </c>
      <c r="U373" s="37" t="str">
        <f>IF(K373="","",IFERROR(MIN(100,K373/'Input &amp; Settings'!$B$9*100),""))</f>
        <v/>
      </c>
      <c r="V373" s="37" t="str">
        <f>IF(L373="","",IFERROR(MIN(100,L373/'Input &amp; Settings'!$B$10*100),""))</f>
        <v/>
      </c>
      <c r="W373" s="37" t="str">
        <f>IF(M373="","",IFERROR(IF(M373&lt;='Input &amp; Settings'!$B$11,100,MAX(0,100-(M373-'Input &amp; Settings'!$B$11)*20)),""))</f>
        <v/>
      </c>
      <c r="X373" s="37" t="str">
        <f>IF(N373="","",IFERROR(MIN(100,N373/'Input &amp; Settings'!$B$12*100),""))</f>
        <v/>
      </c>
      <c r="Y373" s="37" t="str">
        <f>IF(O373="","",IFERROR(MIN(100,O373/'Input &amp; Settings'!$B$13*100),""))</f>
        <v/>
      </c>
      <c r="Z373" s="37" t="str">
        <f>IF(P373="","",IFERROR(IF(P373&lt;='Input &amp; Settings'!$B$14,100,MAX(0,100-(P373-'Input &amp; Settings'!$B$14)*20)),""))</f>
        <v/>
      </c>
      <c r="AA373" s="37" t="str">
        <f>IF(COUNTA(G373:P373)=0,"",ROUND(Q373*'Input &amp; Settings'!$C$5+R373*'Input &amp; Settings'!$C$6+S373*'Input &amp; Settings'!$C$7+T373*'Input &amp; Settings'!$C$8+U373*'Input &amp; Settings'!$C$9+V373*'Input &amp; Settings'!$C$10+W373*'Input &amp; Settings'!$C$11+X373*'Input &amp; Settings'!$C$12+Y373*'Input &amp; Settings'!$C$13+Z373*'Input &amp; Settings'!$C$14,1))</f>
        <v/>
      </c>
      <c r="AB373" s="38" t="str">
        <f>IF(OR(AA373="",E373=""),"",IFERROR(IF(AA373&gt;=VLOOKUP(E373,'Input &amp; Settings'!$F$5:$K$10,3,FALSE),"Outstanding",IF(AA373&gt;=VLOOKUP(E373,'Input &amp; Settings'!$F$5:$K$10,4,FALSE),"Exceeds Expectations",IF(AA373&gt;=VLOOKUP(E373,'Input &amp; Settings'!$F$5:$K$10,5,FALSE),"Meets Expectations",IF(AA373&gt;=VLOOKUP(E373,'Input &amp; Settings'!$F$5:$K$10,6,FALSE),"Needs Improvement","Performance Improvement Required")))),""))</f>
        <v/>
      </c>
      <c r="AC373" s="38" t="str">
        <f t="shared" si="20"/>
        <v/>
      </c>
      <c r="AD373" s="39"/>
      <c r="AE373" s="40"/>
      <c r="AF373" s="41" t="str">
        <f t="shared" si="21"/>
        <v/>
      </c>
      <c r="AG373" s="42" t="str">
        <f t="shared" si="22"/>
        <v/>
      </c>
      <c r="AH373" s="42" t="str">
        <f t="shared" si="23"/>
        <v>Amanda Rodriguez|September</v>
      </c>
    </row>
    <row r="374" spans="1:34" hidden="1">
      <c r="A374" s="32">
        <v>2026</v>
      </c>
      <c r="B374" s="32" t="s">
        <v>94</v>
      </c>
      <c r="C374" s="32" t="s">
        <v>53</v>
      </c>
      <c r="D374" s="32" t="s">
        <v>73</v>
      </c>
      <c r="E374" s="33"/>
      <c r="F374" s="34" t="str">
        <f>IF(E374="","",IFERROR(VLOOKUP(E374,'Input &amp; Settings'!$F$5:$G$10,2,FALSE),""))</f>
        <v/>
      </c>
      <c r="G374" s="33"/>
      <c r="H374" s="33"/>
      <c r="I374" s="35"/>
      <c r="J374" s="33"/>
      <c r="K374" s="36"/>
      <c r="L374" s="35"/>
      <c r="M374" s="33"/>
      <c r="N374" s="33"/>
      <c r="O374" s="33"/>
      <c r="P374" s="33"/>
      <c r="Q374" s="37" t="str">
        <f>IF(G374="","",IFERROR(MIN(100,G374/'Input &amp; Settings'!$B$5*100),""))</f>
        <v/>
      </c>
      <c r="R374" s="37" t="str">
        <f>IF(H374="","",IFERROR(MIN(100,H374/'Input &amp; Settings'!$B$6*100),""))</f>
        <v/>
      </c>
      <c r="S374" s="37" t="str">
        <f>IF(I374="","",IFERROR(MIN(100,I374/'Input &amp; Settings'!$B$7*100),""))</f>
        <v/>
      </c>
      <c r="T374" s="37" t="str">
        <f>IF(J374="","",IFERROR(MIN(100,J374/'Input &amp; Settings'!$B$8*100),""))</f>
        <v/>
      </c>
      <c r="U374" s="37" t="str">
        <f>IF(K374="","",IFERROR(MIN(100,K374/'Input &amp; Settings'!$B$9*100),""))</f>
        <v/>
      </c>
      <c r="V374" s="37" t="str">
        <f>IF(L374="","",IFERROR(MIN(100,L374/'Input &amp; Settings'!$B$10*100),""))</f>
        <v/>
      </c>
      <c r="W374" s="37" t="str">
        <f>IF(M374="","",IFERROR(IF(M374&lt;='Input &amp; Settings'!$B$11,100,MAX(0,100-(M374-'Input &amp; Settings'!$B$11)*20)),""))</f>
        <v/>
      </c>
      <c r="X374" s="37" t="str">
        <f>IF(N374="","",IFERROR(MIN(100,N374/'Input &amp; Settings'!$B$12*100),""))</f>
        <v/>
      </c>
      <c r="Y374" s="37" t="str">
        <f>IF(O374="","",IFERROR(MIN(100,O374/'Input &amp; Settings'!$B$13*100),""))</f>
        <v/>
      </c>
      <c r="Z374" s="37" t="str">
        <f>IF(P374="","",IFERROR(IF(P374&lt;='Input &amp; Settings'!$B$14,100,MAX(0,100-(P374-'Input &amp; Settings'!$B$14)*20)),""))</f>
        <v/>
      </c>
      <c r="AA374" s="37" t="str">
        <f>IF(COUNTA(G374:P374)=0,"",ROUND(Q374*'Input &amp; Settings'!$C$5+R374*'Input &amp; Settings'!$C$6+S374*'Input &amp; Settings'!$C$7+T374*'Input &amp; Settings'!$C$8+U374*'Input &amp; Settings'!$C$9+V374*'Input &amp; Settings'!$C$10+W374*'Input &amp; Settings'!$C$11+X374*'Input &amp; Settings'!$C$12+Y374*'Input &amp; Settings'!$C$13+Z374*'Input &amp; Settings'!$C$14,1))</f>
        <v/>
      </c>
      <c r="AB374" s="38" t="str">
        <f>IF(OR(AA374="",E374=""),"",IFERROR(IF(AA374&gt;=VLOOKUP(E374,'Input &amp; Settings'!$F$5:$K$10,3,FALSE),"Outstanding",IF(AA374&gt;=VLOOKUP(E374,'Input &amp; Settings'!$F$5:$K$10,4,FALSE),"Exceeds Expectations",IF(AA374&gt;=VLOOKUP(E374,'Input &amp; Settings'!$F$5:$K$10,5,FALSE),"Meets Expectations",IF(AA374&gt;=VLOOKUP(E374,'Input &amp; Settings'!$F$5:$K$10,6,FALSE),"Needs Improvement","Performance Improvement Required")))),""))</f>
        <v/>
      </c>
      <c r="AC374" s="38" t="str">
        <f t="shared" si="20"/>
        <v/>
      </c>
      <c r="AD374" s="39"/>
      <c r="AE374" s="40"/>
      <c r="AF374" s="41" t="str">
        <f t="shared" si="21"/>
        <v/>
      </c>
      <c r="AG374" s="42" t="str">
        <f t="shared" si="22"/>
        <v/>
      </c>
      <c r="AH374" s="42" t="str">
        <f t="shared" si="23"/>
        <v>Erick Mojica|September</v>
      </c>
    </row>
    <row r="375" spans="1:34" hidden="1">
      <c r="A375" s="32">
        <v>2026</v>
      </c>
      <c r="B375" s="32" t="s">
        <v>94</v>
      </c>
      <c r="C375" s="32" t="s">
        <v>74</v>
      </c>
      <c r="D375" s="32" t="s">
        <v>75</v>
      </c>
      <c r="E375" s="33"/>
      <c r="F375" s="34" t="str">
        <f>IF(E375="","",IFERROR(VLOOKUP(E375,'Input &amp; Settings'!$F$5:$G$10,2,FALSE),""))</f>
        <v/>
      </c>
      <c r="G375" s="33"/>
      <c r="H375" s="33"/>
      <c r="I375" s="35"/>
      <c r="J375" s="33"/>
      <c r="K375" s="36"/>
      <c r="L375" s="35"/>
      <c r="M375" s="33"/>
      <c r="N375" s="33"/>
      <c r="O375" s="33"/>
      <c r="P375" s="33"/>
      <c r="Q375" s="37" t="str">
        <f>IF(G375="","",IFERROR(MIN(100,G375/'Input &amp; Settings'!$B$5*100),""))</f>
        <v/>
      </c>
      <c r="R375" s="37" t="str">
        <f>IF(H375="","",IFERROR(MIN(100,H375/'Input &amp; Settings'!$B$6*100),""))</f>
        <v/>
      </c>
      <c r="S375" s="37" t="str">
        <f>IF(I375="","",IFERROR(MIN(100,I375/'Input &amp; Settings'!$B$7*100),""))</f>
        <v/>
      </c>
      <c r="T375" s="37" t="str">
        <f>IF(J375="","",IFERROR(MIN(100,J375/'Input &amp; Settings'!$B$8*100),""))</f>
        <v/>
      </c>
      <c r="U375" s="37" t="str">
        <f>IF(K375="","",IFERROR(MIN(100,K375/'Input &amp; Settings'!$B$9*100),""))</f>
        <v/>
      </c>
      <c r="V375" s="37" t="str">
        <f>IF(L375="","",IFERROR(MIN(100,L375/'Input &amp; Settings'!$B$10*100),""))</f>
        <v/>
      </c>
      <c r="W375" s="37" t="str">
        <f>IF(M375="","",IFERROR(IF(M375&lt;='Input &amp; Settings'!$B$11,100,MAX(0,100-(M375-'Input &amp; Settings'!$B$11)*20)),""))</f>
        <v/>
      </c>
      <c r="X375" s="37" t="str">
        <f>IF(N375="","",IFERROR(MIN(100,N375/'Input &amp; Settings'!$B$12*100),""))</f>
        <v/>
      </c>
      <c r="Y375" s="37" t="str">
        <f>IF(O375="","",IFERROR(MIN(100,O375/'Input &amp; Settings'!$B$13*100),""))</f>
        <v/>
      </c>
      <c r="Z375" s="37" t="str">
        <f>IF(P375="","",IFERROR(IF(P375&lt;='Input &amp; Settings'!$B$14,100,MAX(0,100-(P375-'Input &amp; Settings'!$B$14)*20)),""))</f>
        <v/>
      </c>
      <c r="AA375" s="37" t="str">
        <f>IF(COUNTA(G375:P375)=0,"",ROUND(Q375*'Input &amp; Settings'!$C$5+R375*'Input &amp; Settings'!$C$6+S375*'Input &amp; Settings'!$C$7+T375*'Input &amp; Settings'!$C$8+U375*'Input &amp; Settings'!$C$9+V375*'Input &amp; Settings'!$C$10+W375*'Input &amp; Settings'!$C$11+X375*'Input &amp; Settings'!$C$12+Y375*'Input &amp; Settings'!$C$13+Z375*'Input &amp; Settings'!$C$14,1))</f>
        <v/>
      </c>
      <c r="AB375" s="38" t="str">
        <f>IF(OR(AA375="",E375=""),"",IFERROR(IF(AA375&gt;=VLOOKUP(E375,'Input &amp; Settings'!$F$5:$K$10,3,FALSE),"Outstanding",IF(AA375&gt;=VLOOKUP(E375,'Input &amp; Settings'!$F$5:$K$10,4,FALSE),"Exceeds Expectations",IF(AA375&gt;=VLOOKUP(E375,'Input &amp; Settings'!$F$5:$K$10,5,FALSE),"Meets Expectations",IF(AA375&gt;=VLOOKUP(E375,'Input &amp; Settings'!$F$5:$K$10,6,FALSE),"Needs Improvement","Performance Improvement Required")))),""))</f>
        <v/>
      </c>
      <c r="AC375" s="38" t="str">
        <f t="shared" si="20"/>
        <v/>
      </c>
      <c r="AD375" s="39"/>
      <c r="AE375" s="40"/>
      <c r="AF375" s="41" t="str">
        <f t="shared" si="21"/>
        <v/>
      </c>
      <c r="AG375" s="42" t="str">
        <f t="shared" si="22"/>
        <v/>
      </c>
      <c r="AH375" s="42" t="str">
        <f t="shared" si="23"/>
        <v>Raul Rama|September</v>
      </c>
    </row>
    <row r="376" spans="1:34" hidden="1">
      <c r="A376" s="32">
        <v>2026</v>
      </c>
      <c r="B376" s="32" t="s">
        <v>94</v>
      </c>
      <c r="C376" s="32" t="s">
        <v>74</v>
      </c>
      <c r="D376" s="32" t="s">
        <v>76</v>
      </c>
      <c r="E376" s="33"/>
      <c r="F376" s="34" t="str">
        <f>IF(E376="","",IFERROR(VLOOKUP(E376,'Input &amp; Settings'!$F$5:$G$10,2,FALSE),""))</f>
        <v/>
      </c>
      <c r="G376" s="33"/>
      <c r="H376" s="33"/>
      <c r="I376" s="35"/>
      <c r="J376" s="33"/>
      <c r="K376" s="36"/>
      <c r="L376" s="35"/>
      <c r="M376" s="33"/>
      <c r="N376" s="33"/>
      <c r="O376" s="33"/>
      <c r="P376" s="33"/>
      <c r="Q376" s="37" t="str">
        <f>IF(G376="","",IFERROR(MIN(100,G376/'Input &amp; Settings'!$B$5*100),""))</f>
        <v/>
      </c>
      <c r="R376" s="37" t="str">
        <f>IF(H376="","",IFERROR(MIN(100,H376/'Input &amp; Settings'!$B$6*100),""))</f>
        <v/>
      </c>
      <c r="S376" s="37" t="str">
        <f>IF(I376="","",IFERROR(MIN(100,I376/'Input &amp; Settings'!$B$7*100),""))</f>
        <v/>
      </c>
      <c r="T376" s="37" t="str">
        <f>IF(J376="","",IFERROR(MIN(100,J376/'Input &amp; Settings'!$B$8*100),""))</f>
        <v/>
      </c>
      <c r="U376" s="37" t="str">
        <f>IF(K376="","",IFERROR(MIN(100,K376/'Input &amp; Settings'!$B$9*100),""))</f>
        <v/>
      </c>
      <c r="V376" s="37" t="str">
        <f>IF(L376="","",IFERROR(MIN(100,L376/'Input &amp; Settings'!$B$10*100),""))</f>
        <v/>
      </c>
      <c r="W376" s="37" t="str">
        <f>IF(M376="","",IFERROR(IF(M376&lt;='Input &amp; Settings'!$B$11,100,MAX(0,100-(M376-'Input &amp; Settings'!$B$11)*20)),""))</f>
        <v/>
      </c>
      <c r="X376" s="37" t="str">
        <f>IF(N376="","",IFERROR(MIN(100,N376/'Input &amp; Settings'!$B$12*100),""))</f>
        <v/>
      </c>
      <c r="Y376" s="37" t="str">
        <f>IF(O376="","",IFERROR(MIN(100,O376/'Input &amp; Settings'!$B$13*100),""))</f>
        <v/>
      </c>
      <c r="Z376" s="37" t="str">
        <f>IF(P376="","",IFERROR(IF(P376&lt;='Input &amp; Settings'!$B$14,100,MAX(0,100-(P376-'Input &amp; Settings'!$B$14)*20)),""))</f>
        <v/>
      </c>
      <c r="AA376" s="37" t="str">
        <f>IF(COUNTA(G376:P376)=0,"",ROUND(Q376*'Input &amp; Settings'!$C$5+R376*'Input &amp; Settings'!$C$6+S376*'Input &amp; Settings'!$C$7+T376*'Input &amp; Settings'!$C$8+U376*'Input &amp; Settings'!$C$9+V376*'Input &amp; Settings'!$C$10+W376*'Input &amp; Settings'!$C$11+X376*'Input &amp; Settings'!$C$12+Y376*'Input &amp; Settings'!$C$13+Z376*'Input &amp; Settings'!$C$14,1))</f>
        <v/>
      </c>
      <c r="AB376" s="38" t="str">
        <f>IF(OR(AA376="",E376=""),"",IFERROR(IF(AA376&gt;=VLOOKUP(E376,'Input &amp; Settings'!$F$5:$K$10,3,FALSE),"Outstanding",IF(AA376&gt;=VLOOKUP(E376,'Input &amp; Settings'!$F$5:$K$10,4,FALSE),"Exceeds Expectations",IF(AA376&gt;=VLOOKUP(E376,'Input &amp; Settings'!$F$5:$K$10,5,FALSE),"Meets Expectations",IF(AA376&gt;=VLOOKUP(E376,'Input &amp; Settings'!$F$5:$K$10,6,FALSE),"Needs Improvement","Performance Improvement Required")))),""))</f>
        <v/>
      </c>
      <c r="AC376" s="38" t="str">
        <f t="shared" si="20"/>
        <v/>
      </c>
      <c r="AD376" s="39"/>
      <c r="AE376" s="40"/>
      <c r="AF376" s="41" t="str">
        <f t="shared" si="21"/>
        <v/>
      </c>
      <c r="AG376" s="42" t="str">
        <f t="shared" si="22"/>
        <v/>
      </c>
      <c r="AH376" s="42" t="str">
        <f t="shared" si="23"/>
        <v>Kaevon Tyler|September</v>
      </c>
    </row>
    <row r="377" spans="1:34" hidden="1">
      <c r="A377" s="32">
        <v>2026</v>
      </c>
      <c r="B377" s="32" t="s">
        <v>94</v>
      </c>
      <c r="C377" s="32" t="s">
        <v>74</v>
      </c>
      <c r="D377" s="32" t="s">
        <v>77</v>
      </c>
      <c r="E377" s="33"/>
      <c r="F377" s="34" t="str">
        <f>IF(E377="","",IFERROR(VLOOKUP(E377,'Input &amp; Settings'!$F$5:$G$10,2,FALSE),""))</f>
        <v/>
      </c>
      <c r="G377" s="33"/>
      <c r="H377" s="33"/>
      <c r="I377" s="35"/>
      <c r="J377" s="33"/>
      <c r="K377" s="36"/>
      <c r="L377" s="35"/>
      <c r="M377" s="33"/>
      <c r="N377" s="33"/>
      <c r="O377" s="33"/>
      <c r="P377" s="33"/>
      <c r="Q377" s="37" t="str">
        <f>IF(G377="","",IFERROR(MIN(100,G377/'Input &amp; Settings'!$B$5*100),""))</f>
        <v/>
      </c>
      <c r="R377" s="37" t="str">
        <f>IF(H377="","",IFERROR(MIN(100,H377/'Input &amp; Settings'!$B$6*100),""))</f>
        <v/>
      </c>
      <c r="S377" s="37" t="str">
        <f>IF(I377="","",IFERROR(MIN(100,I377/'Input &amp; Settings'!$B$7*100),""))</f>
        <v/>
      </c>
      <c r="T377" s="37" t="str">
        <f>IF(J377="","",IFERROR(MIN(100,J377/'Input &amp; Settings'!$B$8*100),""))</f>
        <v/>
      </c>
      <c r="U377" s="37" t="str">
        <f>IF(K377="","",IFERROR(MIN(100,K377/'Input &amp; Settings'!$B$9*100),""))</f>
        <v/>
      </c>
      <c r="V377" s="37" t="str">
        <f>IF(L377="","",IFERROR(MIN(100,L377/'Input &amp; Settings'!$B$10*100),""))</f>
        <v/>
      </c>
      <c r="W377" s="37" t="str">
        <f>IF(M377="","",IFERROR(IF(M377&lt;='Input &amp; Settings'!$B$11,100,MAX(0,100-(M377-'Input &amp; Settings'!$B$11)*20)),""))</f>
        <v/>
      </c>
      <c r="X377" s="37" t="str">
        <f>IF(N377="","",IFERROR(MIN(100,N377/'Input &amp; Settings'!$B$12*100),""))</f>
        <v/>
      </c>
      <c r="Y377" s="37" t="str">
        <f>IF(O377="","",IFERROR(MIN(100,O377/'Input &amp; Settings'!$B$13*100),""))</f>
        <v/>
      </c>
      <c r="Z377" s="37" t="str">
        <f>IF(P377="","",IFERROR(IF(P377&lt;='Input &amp; Settings'!$B$14,100,MAX(0,100-(P377-'Input &amp; Settings'!$B$14)*20)),""))</f>
        <v/>
      </c>
      <c r="AA377" s="37" t="str">
        <f>IF(COUNTA(G377:P377)=0,"",ROUND(Q377*'Input &amp; Settings'!$C$5+R377*'Input &amp; Settings'!$C$6+S377*'Input &amp; Settings'!$C$7+T377*'Input &amp; Settings'!$C$8+U377*'Input &amp; Settings'!$C$9+V377*'Input &amp; Settings'!$C$10+W377*'Input &amp; Settings'!$C$11+X377*'Input &amp; Settings'!$C$12+Y377*'Input &amp; Settings'!$C$13+Z377*'Input &amp; Settings'!$C$14,1))</f>
        <v/>
      </c>
      <c r="AB377" s="38" t="str">
        <f>IF(OR(AA377="",E377=""),"",IFERROR(IF(AA377&gt;=VLOOKUP(E377,'Input &amp; Settings'!$F$5:$K$10,3,FALSE),"Outstanding",IF(AA377&gt;=VLOOKUP(E377,'Input &amp; Settings'!$F$5:$K$10,4,FALSE),"Exceeds Expectations",IF(AA377&gt;=VLOOKUP(E377,'Input &amp; Settings'!$F$5:$K$10,5,FALSE),"Meets Expectations",IF(AA377&gt;=VLOOKUP(E377,'Input &amp; Settings'!$F$5:$K$10,6,FALSE),"Needs Improvement","Performance Improvement Required")))),""))</f>
        <v/>
      </c>
      <c r="AC377" s="38" t="str">
        <f t="shared" si="20"/>
        <v/>
      </c>
      <c r="AD377" s="39"/>
      <c r="AE377" s="40"/>
      <c r="AF377" s="41" t="str">
        <f t="shared" si="21"/>
        <v/>
      </c>
      <c r="AG377" s="42" t="str">
        <f t="shared" si="22"/>
        <v/>
      </c>
      <c r="AH377" s="42" t="str">
        <f t="shared" si="23"/>
        <v>Christopher Dorta|September</v>
      </c>
    </row>
    <row r="378" spans="1:34" hidden="1">
      <c r="A378" s="32">
        <v>2026</v>
      </c>
      <c r="B378" s="32" t="s">
        <v>94</v>
      </c>
      <c r="C378" s="32" t="s">
        <v>74</v>
      </c>
      <c r="D378" s="32" t="s">
        <v>78</v>
      </c>
      <c r="E378" s="33"/>
      <c r="F378" s="34" t="str">
        <f>IF(E378="","",IFERROR(VLOOKUP(E378,'Input &amp; Settings'!$F$5:$G$10,2,FALSE),""))</f>
        <v/>
      </c>
      <c r="G378" s="33"/>
      <c r="H378" s="33"/>
      <c r="I378" s="35"/>
      <c r="J378" s="33"/>
      <c r="K378" s="36"/>
      <c r="L378" s="35"/>
      <c r="M378" s="33"/>
      <c r="N378" s="33"/>
      <c r="O378" s="33"/>
      <c r="P378" s="33"/>
      <c r="Q378" s="37" t="str">
        <f>IF(G378="","",IFERROR(MIN(100,G378/'Input &amp; Settings'!$B$5*100),""))</f>
        <v/>
      </c>
      <c r="R378" s="37" t="str">
        <f>IF(H378="","",IFERROR(MIN(100,H378/'Input &amp; Settings'!$B$6*100),""))</f>
        <v/>
      </c>
      <c r="S378" s="37" t="str">
        <f>IF(I378="","",IFERROR(MIN(100,I378/'Input &amp; Settings'!$B$7*100),""))</f>
        <v/>
      </c>
      <c r="T378" s="37" t="str">
        <f>IF(J378="","",IFERROR(MIN(100,J378/'Input &amp; Settings'!$B$8*100),""))</f>
        <v/>
      </c>
      <c r="U378" s="37" t="str">
        <f>IF(K378="","",IFERROR(MIN(100,K378/'Input &amp; Settings'!$B$9*100),""))</f>
        <v/>
      </c>
      <c r="V378" s="37" t="str">
        <f>IF(L378="","",IFERROR(MIN(100,L378/'Input &amp; Settings'!$B$10*100),""))</f>
        <v/>
      </c>
      <c r="W378" s="37" t="str">
        <f>IF(M378="","",IFERROR(IF(M378&lt;='Input &amp; Settings'!$B$11,100,MAX(0,100-(M378-'Input &amp; Settings'!$B$11)*20)),""))</f>
        <v/>
      </c>
      <c r="X378" s="37" t="str">
        <f>IF(N378="","",IFERROR(MIN(100,N378/'Input &amp; Settings'!$B$12*100),""))</f>
        <v/>
      </c>
      <c r="Y378" s="37" t="str">
        <f>IF(O378="","",IFERROR(MIN(100,O378/'Input &amp; Settings'!$B$13*100),""))</f>
        <v/>
      </c>
      <c r="Z378" s="37" t="str">
        <f>IF(P378="","",IFERROR(IF(P378&lt;='Input &amp; Settings'!$B$14,100,MAX(0,100-(P378-'Input &amp; Settings'!$B$14)*20)),""))</f>
        <v/>
      </c>
      <c r="AA378" s="37" t="str">
        <f>IF(COUNTA(G378:P378)=0,"",ROUND(Q378*'Input &amp; Settings'!$C$5+R378*'Input &amp; Settings'!$C$6+S378*'Input &amp; Settings'!$C$7+T378*'Input &amp; Settings'!$C$8+U378*'Input &amp; Settings'!$C$9+V378*'Input &amp; Settings'!$C$10+W378*'Input &amp; Settings'!$C$11+X378*'Input &amp; Settings'!$C$12+Y378*'Input &amp; Settings'!$C$13+Z378*'Input &amp; Settings'!$C$14,1))</f>
        <v/>
      </c>
      <c r="AB378" s="38" t="str">
        <f>IF(OR(AA378="",E378=""),"",IFERROR(IF(AA378&gt;=VLOOKUP(E378,'Input &amp; Settings'!$F$5:$K$10,3,FALSE),"Outstanding",IF(AA378&gt;=VLOOKUP(E378,'Input &amp; Settings'!$F$5:$K$10,4,FALSE),"Exceeds Expectations",IF(AA378&gt;=VLOOKUP(E378,'Input &amp; Settings'!$F$5:$K$10,5,FALSE),"Meets Expectations",IF(AA378&gt;=VLOOKUP(E378,'Input &amp; Settings'!$F$5:$K$10,6,FALSE),"Needs Improvement","Performance Improvement Required")))),""))</f>
        <v/>
      </c>
      <c r="AC378" s="38" t="str">
        <f t="shared" si="20"/>
        <v/>
      </c>
      <c r="AD378" s="39"/>
      <c r="AE378" s="40"/>
      <c r="AF378" s="41" t="str">
        <f t="shared" si="21"/>
        <v/>
      </c>
      <c r="AG378" s="42" t="str">
        <f t="shared" si="22"/>
        <v/>
      </c>
      <c r="AH378" s="42" t="str">
        <f t="shared" si="23"/>
        <v>Andres Galvis|September</v>
      </c>
    </row>
    <row r="379" spans="1:34" hidden="1">
      <c r="A379" s="32">
        <v>2026</v>
      </c>
      <c r="B379" s="32" t="s">
        <v>94</v>
      </c>
      <c r="C379" s="32" t="s">
        <v>74</v>
      </c>
      <c r="D379" s="32" t="s">
        <v>79</v>
      </c>
      <c r="E379" s="33"/>
      <c r="F379" s="34" t="str">
        <f>IF(E379="","",IFERROR(VLOOKUP(E379,'Input &amp; Settings'!$F$5:$G$10,2,FALSE),""))</f>
        <v/>
      </c>
      <c r="G379" s="33"/>
      <c r="H379" s="33"/>
      <c r="I379" s="35"/>
      <c r="J379" s="33"/>
      <c r="K379" s="36"/>
      <c r="L379" s="35"/>
      <c r="M379" s="33"/>
      <c r="N379" s="33"/>
      <c r="O379" s="33"/>
      <c r="P379" s="33"/>
      <c r="Q379" s="37" t="str">
        <f>IF(G379="","",IFERROR(MIN(100,G379/'Input &amp; Settings'!$B$5*100),""))</f>
        <v/>
      </c>
      <c r="R379" s="37" t="str">
        <f>IF(H379="","",IFERROR(MIN(100,H379/'Input &amp; Settings'!$B$6*100),""))</f>
        <v/>
      </c>
      <c r="S379" s="37" t="str">
        <f>IF(I379="","",IFERROR(MIN(100,I379/'Input &amp; Settings'!$B$7*100),""))</f>
        <v/>
      </c>
      <c r="T379" s="37" t="str">
        <f>IF(J379="","",IFERROR(MIN(100,J379/'Input &amp; Settings'!$B$8*100),""))</f>
        <v/>
      </c>
      <c r="U379" s="37" t="str">
        <f>IF(K379="","",IFERROR(MIN(100,K379/'Input &amp; Settings'!$B$9*100),""))</f>
        <v/>
      </c>
      <c r="V379" s="37" t="str">
        <f>IF(L379="","",IFERROR(MIN(100,L379/'Input &amp; Settings'!$B$10*100),""))</f>
        <v/>
      </c>
      <c r="W379" s="37" t="str">
        <f>IF(M379="","",IFERROR(IF(M379&lt;='Input &amp; Settings'!$B$11,100,MAX(0,100-(M379-'Input &amp; Settings'!$B$11)*20)),""))</f>
        <v/>
      </c>
      <c r="X379" s="37" t="str">
        <f>IF(N379="","",IFERROR(MIN(100,N379/'Input &amp; Settings'!$B$12*100),""))</f>
        <v/>
      </c>
      <c r="Y379" s="37" t="str">
        <f>IF(O379="","",IFERROR(MIN(100,O379/'Input &amp; Settings'!$B$13*100),""))</f>
        <v/>
      </c>
      <c r="Z379" s="37" t="str">
        <f>IF(P379="","",IFERROR(IF(P379&lt;='Input &amp; Settings'!$B$14,100,MAX(0,100-(P379-'Input &amp; Settings'!$B$14)*20)),""))</f>
        <v/>
      </c>
      <c r="AA379" s="37" t="str">
        <f>IF(COUNTA(G379:P379)=0,"",ROUND(Q379*'Input &amp; Settings'!$C$5+R379*'Input &amp; Settings'!$C$6+S379*'Input &amp; Settings'!$C$7+T379*'Input &amp; Settings'!$C$8+U379*'Input &amp; Settings'!$C$9+V379*'Input &amp; Settings'!$C$10+W379*'Input &amp; Settings'!$C$11+X379*'Input &amp; Settings'!$C$12+Y379*'Input &amp; Settings'!$C$13+Z379*'Input &amp; Settings'!$C$14,1))</f>
        <v/>
      </c>
      <c r="AB379" s="38" t="str">
        <f>IF(OR(AA379="",E379=""),"",IFERROR(IF(AA379&gt;=VLOOKUP(E379,'Input &amp; Settings'!$F$5:$K$10,3,FALSE),"Outstanding",IF(AA379&gt;=VLOOKUP(E379,'Input &amp; Settings'!$F$5:$K$10,4,FALSE),"Exceeds Expectations",IF(AA379&gt;=VLOOKUP(E379,'Input &amp; Settings'!$F$5:$K$10,5,FALSE),"Meets Expectations",IF(AA379&gt;=VLOOKUP(E379,'Input &amp; Settings'!$F$5:$K$10,6,FALSE),"Needs Improvement","Performance Improvement Required")))),""))</f>
        <v/>
      </c>
      <c r="AC379" s="38" t="str">
        <f t="shared" si="20"/>
        <v/>
      </c>
      <c r="AD379" s="39"/>
      <c r="AE379" s="40"/>
      <c r="AF379" s="41" t="str">
        <f t="shared" si="21"/>
        <v/>
      </c>
      <c r="AG379" s="42" t="str">
        <f t="shared" si="22"/>
        <v/>
      </c>
      <c r="AH379" s="42" t="str">
        <f t="shared" si="23"/>
        <v>Roberto Eckardt|September</v>
      </c>
    </row>
    <row r="380" spans="1:34" hidden="1">
      <c r="A380" s="32">
        <v>2026</v>
      </c>
      <c r="B380" s="32" t="s">
        <v>94</v>
      </c>
      <c r="C380" s="32" t="s">
        <v>74</v>
      </c>
      <c r="D380" s="32" t="s">
        <v>80</v>
      </c>
      <c r="E380" s="33"/>
      <c r="F380" s="34" t="str">
        <f>IF(E380="","",IFERROR(VLOOKUP(E380,'Input &amp; Settings'!$F$5:$G$10,2,FALSE),""))</f>
        <v/>
      </c>
      <c r="G380" s="33"/>
      <c r="H380" s="33"/>
      <c r="I380" s="35"/>
      <c r="J380" s="33"/>
      <c r="K380" s="36"/>
      <c r="L380" s="35"/>
      <c r="M380" s="33"/>
      <c r="N380" s="33"/>
      <c r="O380" s="33"/>
      <c r="P380" s="33"/>
      <c r="Q380" s="37" t="str">
        <f>IF(G380="","",IFERROR(MIN(100,G380/'Input &amp; Settings'!$B$5*100),""))</f>
        <v/>
      </c>
      <c r="R380" s="37" t="str">
        <f>IF(H380="","",IFERROR(MIN(100,H380/'Input &amp; Settings'!$B$6*100),""))</f>
        <v/>
      </c>
      <c r="S380" s="37" t="str">
        <f>IF(I380="","",IFERROR(MIN(100,I380/'Input &amp; Settings'!$B$7*100),""))</f>
        <v/>
      </c>
      <c r="T380" s="37" t="str">
        <f>IF(J380="","",IFERROR(MIN(100,J380/'Input &amp; Settings'!$B$8*100),""))</f>
        <v/>
      </c>
      <c r="U380" s="37" t="str">
        <f>IF(K380="","",IFERROR(MIN(100,K380/'Input &amp; Settings'!$B$9*100),""))</f>
        <v/>
      </c>
      <c r="V380" s="37" t="str">
        <f>IF(L380="","",IFERROR(MIN(100,L380/'Input &amp; Settings'!$B$10*100),""))</f>
        <v/>
      </c>
      <c r="W380" s="37" t="str">
        <f>IF(M380="","",IFERROR(IF(M380&lt;='Input &amp; Settings'!$B$11,100,MAX(0,100-(M380-'Input &amp; Settings'!$B$11)*20)),""))</f>
        <v/>
      </c>
      <c r="X380" s="37" t="str">
        <f>IF(N380="","",IFERROR(MIN(100,N380/'Input &amp; Settings'!$B$12*100),""))</f>
        <v/>
      </c>
      <c r="Y380" s="37" t="str">
        <f>IF(O380="","",IFERROR(MIN(100,O380/'Input &amp; Settings'!$B$13*100),""))</f>
        <v/>
      </c>
      <c r="Z380" s="37" t="str">
        <f>IF(P380="","",IFERROR(IF(P380&lt;='Input &amp; Settings'!$B$14,100,MAX(0,100-(P380-'Input &amp; Settings'!$B$14)*20)),""))</f>
        <v/>
      </c>
      <c r="AA380" s="37" t="str">
        <f>IF(COUNTA(G380:P380)=0,"",ROUND(Q380*'Input &amp; Settings'!$C$5+R380*'Input &amp; Settings'!$C$6+S380*'Input &amp; Settings'!$C$7+T380*'Input &amp; Settings'!$C$8+U380*'Input &amp; Settings'!$C$9+V380*'Input &amp; Settings'!$C$10+W380*'Input &amp; Settings'!$C$11+X380*'Input &amp; Settings'!$C$12+Y380*'Input &amp; Settings'!$C$13+Z380*'Input &amp; Settings'!$C$14,1))</f>
        <v/>
      </c>
      <c r="AB380" s="38" t="str">
        <f>IF(OR(AA380="",E380=""),"",IFERROR(IF(AA380&gt;=VLOOKUP(E380,'Input &amp; Settings'!$F$5:$K$10,3,FALSE),"Outstanding",IF(AA380&gt;=VLOOKUP(E380,'Input &amp; Settings'!$F$5:$K$10,4,FALSE),"Exceeds Expectations",IF(AA380&gt;=VLOOKUP(E380,'Input &amp; Settings'!$F$5:$K$10,5,FALSE),"Meets Expectations",IF(AA380&gt;=VLOOKUP(E380,'Input &amp; Settings'!$F$5:$K$10,6,FALSE),"Needs Improvement","Performance Improvement Required")))),""))</f>
        <v/>
      </c>
      <c r="AC380" s="38" t="str">
        <f t="shared" si="20"/>
        <v/>
      </c>
      <c r="AD380" s="39"/>
      <c r="AE380" s="40"/>
      <c r="AF380" s="41" t="str">
        <f t="shared" si="21"/>
        <v/>
      </c>
      <c r="AG380" s="42" t="str">
        <f t="shared" si="22"/>
        <v/>
      </c>
      <c r="AH380" s="42" t="str">
        <f t="shared" si="23"/>
        <v>Angel Perez Martinez|September</v>
      </c>
    </row>
    <row r="381" spans="1:34" hidden="1">
      <c r="A381" s="32">
        <v>2026</v>
      </c>
      <c r="B381" s="32" t="s">
        <v>95</v>
      </c>
      <c r="C381" s="32" t="s">
        <v>36</v>
      </c>
      <c r="D381" s="32" t="s">
        <v>37</v>
      </c>
      <c r="E381" s="33"/>
      <c r="F381" s="34" t="str">
        <f>IF(E381="","",IFERROR(VLOOKUP(E381,'Input &amp; Settings'!$F$5:$G$10,2,FALSE),""))</f>
        <v/>
      </c>
      <c r="G381" s="33"/>
      <c r="H381" s="33"/>
      <c r="I381" s="35"/>
      <c r="J381" s="33"/>
      <c r="K381" s="36"/>
      <c r="L381" s="35"/>
      <c r="M381" s="33"/>
      <c r="N381" s="33"/>
      <c r="O381" s="33"/>
      <c r="P381" s="33"/>
      <c r="Q381" s="37" t="str">
        <f>IF(G381="","",IFERROR(MIN(100,G381/'Input &amp; Settings'!$B$5*100),""))</f>
        <v/>
      </c>
      <c r="R381" s="37" t="str">
        <f>IF(H381="","",IFERROR(MIN(100,H381/'Input &amp; Settings'!$B$6*100),""))</f>
        <v/>
      </c>
      <c r="S381" s="37" t="str">
        <f>IF(I381="","",IFERROR(MIN(100,I381/'Input &amp; Settings'!$B$7*100),""))</f>
        <v/>
      </c>
      <c r="T381" s="37" t="str">
        <f>IF(J381="","",IFERROR(MIN(100,J381/'Input &amp; Settings'!$B$8*100),""))</f>
        <v/>
      </c>
      <c r="U381" s="37" t="str">
        <f>IF(K381="","",IFERROR(MIN(100,K381/'Input &amp; Settings'!$B$9*100),""))</f>
        <v/>
      </c>
      <c r="V381" s="37" t="str">
        <f>IF(L381="","",IFERROR(MIN(100,L381/'Input &amp; Settings'!$B$10*100),""))</f>
        <v/>
      </c>
      <c r="W381" s="37" t="str">
        <f>IF(M381="","",IFERROR(IF(M381&lt;='Input &amp; Settings'!$B$11,100,MAX(0,100-(M381-'Input &amp; Settings'!$B$11)*20)),""))</f>
        <v/>
      </c>
      <c r="X381" s="37" t="str">
        <f>IF(N381="","",IFERROR(MIN(100,N381/'Input &amp; Settings'!$B$12*100),""))</f>
        <v/>
      </c>
      <c r="Y381" s="37" t="str">
        <f>IF(O381="","",IFERROR(MIN(100,O381/'Input &amp; Settings'!$B$13*100),""))</f>
        <v/>
      </c>
      <c r="Z381" s="37" t="str">
        <f>IF(P381="","",IFERROR(IF(P381&lt;='Input &amp; Settings'!$B$14,100,MAX(0,100-(P381-'Input &amp; Settings'!$B$14)*20)),""))</f>
        <v/>
      </c>
      <c r="AA381" s="37" t="str">
        <f>IF(COUNTA(G381:P381)=0,"",ROUND(Q381*'Input &amp; Settings'!$C$5+R381*'Input &amp; Settings'!$C$6+S381*'Input &amp; Settings'!$C$7+T381*'Input &amp; Settings'!$C$8+U381*'Input &amp; Settings'!$C$9+V381*'Input &amp; Settings'!$C$10+W381*'Input &amp; Settings'!$C$11+X381*'Input &amp; Settings'!$C$12+Y381*'Input &amp; Settings'!$C$13+Z381*'Input &amp; Settings'!$C$14,1))</f>
        <v/>
      </c>
      <c r="AB381" s="38" t="str">
        <f>IF(OR(AA381="",E381=""),"",IFERROR(IF(AA381&gt;=VLOOKUP(E381,'Input &amp; Settings'!$F$5:$K$10,3,FALSE),"Outstanding",IF(AA381&gt;=VLOOKUP(E381,'Input &amp; Settings'!$F$5:$K$10,4,FALSE),"Exceeds Expectations",IF(AA381&gt;=VLOOKUP(E381,'Input &amp; Settings'!$F$5:$K$10,5,FALSE),"Meets Expectations",IF(AA381&gt;=VLOOKUP(E381,'Input &amp; Settings'!$F$5:$K$10,6,FALSE),"Needs Improvement","Performance Improvement Required")))),""))</f>
        <v/>
      </c>
      <c r="AC381" s="38" t="str">
        <f t="shared" si="20"/>
        <v/>
      </c>
      <c r="AD381" s="39"/>
      <c r="AE381" s="40"/>
      <c r="AF381" s="41" t="str">
        <f t="shared" si="21"/>
        <v/>
      </c>
      <c r="AG381" s="42" t="str">
        <f t="shared" si="22"/>
        <v/>
      </c>
      <c r="AH381" s="42" t="str">
        <f t="shared" si="23"/>
        <v>Carly Huber|October</v>
      </c>
    </row>
    <row r="382" spans="1:34" hidden="1">
      <c r="A382" s="32">
        <v>2026</v>
      </c>
      <c r="B382" s="32" t="s">
        <v>95</v>
      </c>
      <c r="C382" s="32" t="s">
        <v>36</v>
      </c>
      <c r="D382" s="32" t="s">
        <v>38</v>
      </c>
      <c r="E382" s="33"/>
      <c r="F382" s="34" t="str">
        <f>IF(E382="","",IFERROR(VLOOKUP(E382,'Input &amp; Settings'!$F$5:$G$10,2,FALSE),""))</f>
        <v/>
      </c>
      <c r="G382" s="33"/>
      <c r="H382" s="33"/>
      <c r="I382" s="35"/>
      <c r="J382" s="33"/>
      <c r="K382" s="36"/>
      <c r="L382" s="35"/>
      <c r="M382" s="33"/>
      <c r="N382" s="33"/>
      <c r="O382" s="33"/>
      <c r="P382" s="33"/>
      <c r="Q382" s="37" t="str">
        <f>IF(G382="","",IFERROR(MIN(100,G382/'Input &amp; Settings'!$B$5*100),""))</f>
        <v/>
      </c>
      <c r="R382" s="37" t="str">
        <f>IF(H382="","",IFERROR(MIN(100,H382/'Input &amp; Settings'!$B$6*100),""))</f>
        <v/>
      </c>
      <c r="S382" s="37" t="str">
        <f>IF(I382="","",IFERROR(MIN(100,I382/'Input &amp; Settings'!$B$7*100),""))</f>
        <v/>
      </c>
      <c r="T382" s="37" t="str">
        <f>IF(J382="","",IFERROR(MIN(100,J382/'Input &amp; Settings'!$B$8*100),""))</f>
        <v/>
      </c>
      <c r="U382" s="37" t="str">
        <f>IF(K382="","",IFERROR(MIN(100,K382/'Input &amp; Settings'!$B$9*100),""))</f>
        <v/>
      </c>
      <c r="V382" s="37" t="str">
        <f>IF(L382="","",IFERROR(MIN(100,L382/'Input &amp; Settings'!$B$10*100),""))</f>
        <v/>
      </c>
      <c r="W382" s="37" t="str">
        <f>IF(M382="","",IFERROR(IF(M382&lt;='Input &amp; Settings'!$B$11,100,MAX(0,100-(M382-'Input &amp; Settings'!$B$11)*20)),""))</f>
        <v/>
      </c>
      <c r="X382" s="37" t="str">
        <f>IF(N382="","",IFERROR(MIN(100,N382/'Input &amp; Settings'!$B$12*100),""))</f>
        <v/>
      </c>
      <c r="Y382" s="37" t="str">
        <f>IF(O382="","",IFERROR(MIN(100,O382/'Input &amp; Settings'!$B$13*100),""))</f>
        <v/>
      </c>
      <c r="Z382" s="37" t="str">
        <f>IF(P382="","",IFERROR(IF(P382&lt;='Input &amp; Settings'!$B$14,100,MAX(0,100-(P382-'Input &amp; Settings'!$B$14)*20)),""))</f>
        <v/>
      </c>
      <c r="AA382" s="37" t="str">
        <f>IF(COUNTA(G382:P382)=0,"",ROUND(Q382*'Input &amp; Settings'!$C$5+R382*'Input &amp; Settings'!$C$6+S382*'Input &amp; Settings'!$C$7+T382*'Input &amp; Settings'!$C$8+U382*'Input &amp; Settings'!$C$9+V382*'Input &amp; Settings'!$C$10+W382*'Input &amp; Settings'!$C$11+X382*'Input &amp; Settings'!$C$12+Y382*'Input &amp; Settings'!$C$13+Z382*'Input &amp; Settings'!$C$14,1))</f>
        <v/>
      </c>
      <c r="AB382" s="38" t="str">
        <f>IF(OR(AA382="",E382=""),"",IFERROR(IF(AA382&gt;=VLOOKUP(E382,'Input &amp; Settings'!$F$5:$K$10,3,FALSE),"Outstanding",IF(AA382&gt;=VLOOKUP(E382,'Input &amp; Settings'!$F$5:$K$10,4,FALSE),"Exceeds Expectations",IF(AA382&gt;=VLOOKUP(E382,'Input &amp; Settings'!$F$5:$K$10,5,FALSE),"Meets Expectations",IF(AA382&gt;=VLOOKUP(E382,'Input &amp; Settings'!$F$5:$K$10,6,FALSE),"Needs Improvement","Performance Improvement Required")))),""))</f>
        <v/>
      </c>
      <c r="AC382" s="38" t="str">
        <f t="shared" si="20"/>
        <v/>
      </c>
      <c r="AD382" s="39"/>
      <c r="AE382" s="40"/>
      <c r="AF382" s="41" t="str">
        <f t="shared" si="21"/>
        <v/>
      </c>
      <c r="AG382" s="42" t="str">
        <f t="shared" si="22"/>
        <v/>
      </c>
      <c r="AH382" s="42" t="str">
        <f t="shared" si="23"/>
        <v>Julian Grier|October</v>
      </c>
    </row>
    <row r="383" spans="1:34" hidden="1">
      <c r="A383" s="32">
        <v>2026</v>
      </c>
      <c r="B383" s="32" t="s">
        <v>95</v>
      </c>
      <c r="C383" s="32" t="s">
        <v>36</v>
      </c>
      <c r="D383" s="32" t="s">
        <v>39</v>
      </c>
      <c r="E383" s="33"/>
      <c r="F383" s="34" t="str">
        <f>IF(E383="","",IFERROR(VLOOKUP(E383,'Input &amp; Settings'!$F$5:$G$10,2,FALSE),""))</f>
        <v/>
      </c>
      <c r="G383" s="33"/>
      <c r="H383" s="33"/>
      <c r="I383" s="35"/>
      <c r="J383" s="33"/>
      <c r="K383" s="36"/>
      <c r="L383" s="35"/>
      <c r="M383" s="33"/>
      <c r="N383" s="33"/>
      <c r="O383" s="33"/>
      <c r="P383" s="33"/>
      <c r="Q383" s="37" t="str">
        <f>IF(G383="","",IFERROR(MIN(100,G383/'Input &amp; Settings'!$B$5*100),""))</f>
        <v/>
      </c>
      <c r="R383" s="37" t="str">
        <f>IF(H383="","",IFERROR(MIN(100,H383/'Input &amp; Settings'!$B$6*100),""))</f>
        <v/>
      </c>
      <c r="S383" s="37" t="str">
        <f>IF(I383="","",IFERROR(MIN(100,I383/'Input &amp; Settings'!$B$7*100),""))</f>
        <v/>
      </c>
      <c r="T383" s="37" t="str">
        <f>IF(J383="","",IFERROR(MIN(100,J383/'Input &amp; Settings'!$B$8*100),""))</f>
        <v/>
      </c>
      <c r="U383" s="37" t="str">
        <f>IF(K383="","",IFERROR(MIN(100,K383/'Input &amp; Settings'!$B$9*100),""))</f>
        <v/>
      </c>
      <c r="V383" s="37" t="str">
        <f>IF(L383="","",IFERROR(MIN(100,L383/'Input &amp; Settings'!$B$10*100),""))</f>
        <v/>
      </c>
      <c r="W383" s="37" t="str">
        <f>IF(M383="","",IFERROR(IF(M383&lt;='Input &amp; Settings'!$B$11,100,MAX(0,100-(M383-'Input &amp; Settings'!$B$11)*20)),""))</f>
        <v/>
      </c>
      <c r="X383" s="37" t="str">
        <f>IF(N383="","",IFERROR(MIN(100,N383/'Input &amp; Settings'!$B$12*100),""))</f>
        <v/>
      </c>
      <c r="Y383" s="37" t="str">
        <f>IF(O383="","",IFERROR(MIN(100,O383/'Input &amp; Settings'!$B$13*100),""))</f>
        <v/>
      </c>
      <c r="Z383" s="37" t="str">
        <f>IF(P383="","",IFERROR(IF(P383&lt;='Input &amp; Settings'!$B$14,100,MAX(0,100-(P383-'Input &amp; Settings'!$B$14)*20)),""))</f>
        <v/>
      </c>
      <c r="AA383" s="37" t="str">
        <f>IF(COUNTA(G383:P383)=0,"",ROUND(Q383*'Input &amp; Settings'!$C$5+R383*'Input &amp; Settings'!$C$6+S383*'Input &amp; Settings'!$C$7+T383*'Input &amp; Settings'!$C$8+U383*'Input &amp; Settings'!$C$9+V383*'Input &amp; Settings'!$C$10+W383*'Input &amp; Settings'!$C$11+X383*'Input &amp; Settings'!$C$12+Y383*'Input &amp; Settings'!$C$13+Z383*'Input &amp; Settings'!$C$14,1))</f>
        <v/>
      </c>
      <c r="AB383" s="38" t="str">
        <f>IF(OR(AA383="",E383=""),"",IFERROR(IF(AA383&gt;=VLOOKUP(E383,'Input &amp; Settings'!$F$5:$K$10,3,FALSE),"Outstanding",IF(AA383&gt;=VLOOKUP(E383,'Input &amp; Settings'!$F$5:$K$10,4,FALSE),"Exceeds Expectations",IF(AA383&gt;=VLOOKUP(E383,'Input &amp; Settings'!$F$5:$K$10,5,FALSE),"Meets Expectations",IF(AA383&gt;=VLOOKUP(E383,'Input &amp; Settings'!$F$5:$K$10,6,FALSE),"Needs Improvement","Performance Improvement Required")))),""))</f>
        <v/>
      </c>
      <c r="AC383" s="38" t="str">
        <f t="shared" si="20"/>
        <v/>
      </c>
      <c r="AD383" s="39"/>
      <c r="AE383" s="40"/>
      <c r="AF383" s="41" t="str">
        <f t="shared" si="21"/>
        <v/>
      </c>
      <c r="AG383" s="42" t="str">
        <f t="shared" si="22"/>
        <v/>
      </c>
      <c r="AH383" s="42" t="str">
        <f t="shared" si="23"/>
        <v>Jorge Lopez|October</v>
      </c>
    </row>
    <row r="384" spans="1:34" hidden="1">
      <c r="A384" s="32">
        <v>2026</v>
      </c>
      <c r="B384" s="32" t="s">
        <v>95</v>
      </c>
      <c r="C384" s="32" t="s">
        <v>36</v>
      </c>
      <c r="D384" s="32" t="s">
        <v>40</v>
      </c>
      <c r="E384" s="33"/>
      <c r="F384" s="34" t="str">
        <f>IF(E384="","",IFERROR(VLOOKUP(E384,'Input &amp; Settings'!$F$5:$G$10,2,FALSE),""))</f>
        <v/>
      </c>
      <c r="G384" s="33"/>
      <c r="H384" s="33"/>
      <c r="I384" s="35"/>
      <c r="J384" s="33"/>
      <c r="K384" s="36"/>
      <c r="L384" s="35"/>
      <c r="M384" s="33"/>
      <c r="N384" s="33"/>
      <c r="O384" s="33"/>
      <c r="P384" s="33"/>
      <c r="Q384" s="37" t="str">
        <f>IF(G384="","",IFERROR(MIN(100,G384/'Input &amp; Settings'!$B$5*100),""))</f>
        <v/>
      </c>
      <c r="R384" s="37" t="str">
        <f>IF(H384="","",IFERROR(MIN(100,H384/'Input &amp; Settings'!$B$6*100),""))</f>
        <v/>
      </c>
      <c r="S384" s="37" t="str">
        <f>IF(I384="","",IFERROR(MIN(100,I384/'Input &amp; Settings'!$B$7*100),""))</f>
        <v/>
      </c>
      <c r="T384" s="37" t="str">
        <f>IF(J384="","",IFERROR(MIN(100,J384/'Input &amp; Settings'!$B$8*100),""))</f>
        <v/>
      </c>
      <c r="U384" s="37" t="str">
        <f>IF(K384="","",IFERROR(MIN(100,K384/'Input &amp; Settings'!$B$9*100),""))</f>
        <v/>
      </c>
      <c r="V384" s="37" t="str">
        <f>IF(L384="","",IFERROR(MIN(100,L384/'Input &amp; Settings'!$B$10*100),""))</f>
        <v/>
      </c>
      <c r="W384" s="37" t="str">
        <f>IF(M384="","",IFERROR(IF(M384&lt;='Input &amp; Settings'!$B$11,100,MAX(0,100-(M384-'Input &amp; Settings'!$B$11)*20)),""))</f>
        <v/>
      </c>
      <c r="X384" s="37" t="str">
        <f>IF(N384="","",IFERROR(MIN(100,N384/'Input &amp; Settings'!$B$12*100),""))</f>
        <v/>
      </c>
      <c r="Y384" s="37" t="str">
        <f>IF(O384="","",IFERROR(MIN(100,O384/'Input &amp; Settings'!$B$13*100),""))</f>
        <v/>
      </c>
      <c r="Z384" s="37" t="str">
        <f>IF(P384="","",IFERROR(IF(P384&lt;='Input &amp; Settings'!$B$14,100,MAX(0,100-(P384-'Input &amp; Settings'!$B$14)*20)),""))</f>
        <v/>
      </c>
      <c r="AA384" s="37" t="str">
        <f>IF(COUNTA(G384:P384)=0,"",ROUND(Q384*'Input &amp; Settings'!$C$5+R384*'Input &amp; Settings'!$C$6+S384*'Input &amp; Settings'!$C$7+T384*'Input &amp; Settings'!$C$8+U384*'Input &amp; Settings'!$C$9+V384*'Input &amp; Settings'!$C$10+W384*'Input &amp; Settings'!$C$11+X384*'Input &amp; Settings'!$C$12+Y384*'Input &amp; Settings'!$C$13+Z384*'Input &amp; Settings'!$C$14,1))</f>
        <v/>
      </c>
      <c r="AB384" s="38" t="str">
        <f>IF(OR(AA384="",E384=""),"",IFERROR(IF(AA384&gt;=VLOOKUP(E384,'Input &amp; Settings'!$F$5:$K$10,3,FALSE),"Outstanding",IF(AA384&gt;=VLOOKUP(E384,'Input &amp; Settings'!$F$5:$K$10,4,FALSE),"Exceeds Expectations",IF(AA384&gt;=VLOOKUP(E384,'Input &amp; Settings'!$F$5:$K$10,5,FALSE),"Meets Expectations",IF(AA384&gt;=VLOOKUP(E384,'Input &amp; Settings'!$F$5:$K$10,6,FALSE),"Needs Improvement","Performance Improvement Required")))),""))</f>
        <v/>
      </c>
      <c r="AC384" s="38" t="str">
        <f t="shared" si="20"/>
        <v/>
      </c>
      <c r="AD384" s="39"/>
      <c r="AE384" s="40"/>
      <c r="AF384" s="41" t="str">
        <f t="shared" si="21"/>
        <v/>
      </c>
      <c r="AG384" s="42" t="str">
        <f t="shared" si="22"/>
        <v/>
      </c>
      <c r="AH384" s="42" t="str">
        <f t="shared" si="23"/>
        <v>Juan Pablo Pique Buil (JP)|October</v>
      </c>
    </row>
    <row r="385" spans="1:34" hidden="1">
      <c r="A385" s="32">
        <v>2026</v>
      </c>
      <c r="B385" s="32" t="s">
        <v>95</v>
      </c>
      <c r="C385" s="32" t="s">
        <v>36</v>
      </c>
      <c r="D385" s="32" t="s">
        <v>41</v>
      </c>
      <c r="E385" s="33"/>
      <c r="F385" s="34" t="str">
        <f>IF(E385="","",IFERROR(VLOOKUP(E385,'Input &amp; Settings'!$F$5:$G$10,2,FALSE),""))</f>
        <v/>
      </c>
      <c r="G385" s="33"/>
      <c r="H385" s="33"/>
      <c r="I385" s="35"/>
      <c r="J385" s="33"/>
      <c r="K385" s="36"/>
      <c r="L385" s="35"/>
      <c r="M385" s="33"/>
      <c r="N385" s="33"/>
      <c r="O385" s="33"/>
      <c r="P385" s="33"/>
      <c r="Q385" s="37" t="str">
        <f>IF(G385="","",IFERROR(MIN(100,G385/'Input &amp; Settings'!$B$5*100),""))</f>
        <v/>
      </c>
      <c r="R385" s="37" t="str">
        <f>IF(H385="","",IFERROR(MIN(100,H385/'Input &amp; Settings'!$B$6*100),""))</f>
        <v/>
      </c>
      <c r="S385" s="37" t="str">
        <f>IF(I385="","",IFERROR(MIN(100,I385/'Input &amp; Settings'!$B$7*100),""))</f>
        <v/>
      </c>
      <c r="T385" s="37" t="str">
        <f>IF(J385="","",IFERROR(MIN(100,J385/'Input &amp; Settings'!$B$8*100),""))</f>
        <v/>
      </c>
      <c r="U385" s="37" t="str">
        <f>IF(K385="","",IFERROR(MIN(100,K385/'Input &amp; Settings'!$B$9*100),""))</f>
        <v/>
      </c>
      <c r="V385" s="37" t="str">
        <f>IF(L385="","",IFERROR(MIN(100,L385/'Input &amp; Settings'!$B$10*100),""))</f>
        <v/>
      </c>
      <c r="W385" s="37" t="str">
        <f>IF(M385="","",IFERROR(IF(M385&lt;='Input &amp; Settings'!$B$11,100,MAX(0,100-(M385-'Input &amp; Settings'!$B$11)*20)),""))</f>
        <v/>
      </c>
      <c r="X385" s="37" t="str">
        <f>IF(N385="","",IFERROR(MIN(100,N385/'Input &amp; Settings'!$B$12*100),""))</f>
        <v/>
      </c>
      <c r="Y385" s="37" t="str">
        <f>IF(O385="","",IFERROR(MIN(100,O385/'Input &amp; Settings'!$B$13*100),""))</f>
        <v/>
      </c>
      <c r="Z385" s="37" t="str">
        <f>IF(P385="","",IFERROR(IF(P385&lt;='Input &amp; Settings'!$B$14,100,MAX(0,100-(P385-'Input &amp; Settings'!$B$14)*20)),""))</f>
        <v/>
      </c>
      <c r="AA385" s="37" t="str">
        <f>IF(COUNTA(G385:P385)=0,"",ROUND(Q385*'Input &amp; Settings'!$C$5+R385*'Input &amp; Settings'!$C$6+S385*'Input &amp; Settings'!$C$7+T385*'Input &amp; Settings'!$C$8+U385*'Input &amp; Settings'!$C$9+V385*'Input &amp; Settings'!$C$10+W385*'Input &amp; Settings'!$C$11+X385*'Input &amp; Settings'!$C$12+Y385*'Input &amp; Settings'!$C$13+Z385*'Input &amp; Settings'!$C$14,1))</f>
        <v/>
      </c>
      <c r="AB385" s="38" t="str">
        <f>IF(OR(AA385="",E385=""),"",IFERROR(IF(AA385&gt;=VLOOKUP(E385,'Input &amp; Settings'!$F$5:$K$10,3,FALSE),"Outstanding",IF(AA385&gt;=VLOOKUP(E385,'Input &amp; Settings'!$F$5:$K$10,4,FALSE),"Exceeds Expectations",IF(AA385&gt;=VLOOKUP(E385,'Input &amp; Settings'!$F$5:$K$10,5,FALSE),"Meets Expectations",IF(AA385&gt;=VLOOKUP(E385,'Input &amp; Settings'!$F$5:$K$10,6,FALSE),"Needs Improvement","Performance Improvement Required")))),""))</f>
        <v/>
      </c>
      <c r="AC385" s="38" t="str">
        <f t="shared" si="20"/>
        <v/>
      </c>
      <c r="AD385" s="39"/>
      <c r="AE385" s="40"/>
      <c r="AF385" s="41" t="str">
        <f t="shared" si="21"/>
        <v/>
      </c>
      <c r="AG385" s="42" t="str">
        <f t="shared" si="22"/>
        <v/>
      </c>
      <c r="AH385" s="42" t="str">
        <f t="shared" si="23"/>
        <v>Peter Gonzalez|October</v>
      </c>
    </row>
    <row r="386" spans="1:34" hidden="1">
      <c r="A386" s="32">
        <v>2026</v>
      </c>
      <c r="B386" s="32" t="s">
        <v>95</v>
      </c>
      <c r="C386" s="32" t="s">
        <v>36</v>
      </c>
      <c r="D386" s="32" t="s">
        <v>42</v>
      </c>
      <c r="E386" s="33"/>
      <c r="F386" s="34" t="str">
        <f>IF(E386="","",IFERROR(VLOOKUP(E386,'Input &amp; Settings'!$F$5:$G$10,2,FALSE),""))</f>
        <v/>
      </c>
      <c r="G386" s="33"/>
      <c r="H386" s="33"/>
      <c r="I386" s="35"/>
      <c r="J386" s="33"/>
      <c r="K386" s="36"/>
      <c r="L386" s="35"/>
      <c r="M386" s="33"/>
      <c r="N386" s="33"/>
      <c r="O386" s="33"/>
      <c r="P386" s="33"/>
      <c r="Q386" s="37" t="str">
        <f>IF(G386="","",IFERROR(MIN(100,G386/'Input &amp; Settings'!$B$5*100),""))</f>
        <v/>
      </c>
      <c r="R386" s="37" t="str">
        <f>IF(H386="","",IFERROR(MIN(100,H386/'Input &amp; Settings'!$B$6*100),""))</f>
        <v/>
      </c>
      <c r="S386" s="37" t="str">
        <f>IF(I386="","",IFERROR(MIN(100,I386/'Input &amp; Settings'!$B$7*100),""))</f>
        <v/>
      </c>
      <c r="T386" s="37" t="str">
        <f>IF(J386="","",IFERROR(MIN(100,J386/'Input &amp; Settings'!$B$8*100),""))</f>
        <v/>
      </c>
      <c r="U386" s="37" t="str">
        <f>IF(K386="","",IFERROR(MIN(100,K386/'Input &amp; Settings'!$B$9*100),""))</f>
        <v/>
      </c>
      <c r="V386" s="37" t="str">
        <f>IF(L386="","",IFERROR(MIN(100,L386/'Input &amp; Settings'!$B$10*100),""))</f>
        <v/>
      </c>
      <c r="W386" s="37" t="str">
        <f>IF(M386="","",IFERROR(IF(M386&lt;='Input &amp; Settings'!$B$11,100,MAX(0,100-(M386-'Input &amp; Settings'!$B$11)*20)),""))</f>
        <v/>
      </c>
      <c r="X386" s="37" t="str">
        <f>IF(N386="","",IFERROR(MIN(100,N386/'Input &amp; Settings'!$B$12*100),""))</f>
        <v/>
      </c>
      <c r="Y386" s="37" t="str">
        <f>IF(O386="","",IFERROR(MIN(100,O386/'Input &amp; Settings'!$B$13*100),""))</f>
        <v/>
      </c>
      <c r="Z386" s="37" t="str">
        <f>IF(P386="","",IFERROR(IF(P386&lt;='Input &amp; Settings'!$B$14,100,MAX(0,100-(P386-'Input &amp; Settings'!$B$14)*20)),""))</f>
        <v/>
      </c>
      <c r="AA386" s="37" t="str">
        <f>IF(COUNTA(G386:P386)=0,"",ROUND(Q386*'Input &amp; Settings'!$C$5+R386*'Input &amp; Settings'!$C$6+S386*'Input &amp; Settings'!$C$7+T386*'Input &amp; Settings'!$C$8+U386*'Input &amp; Settings'!$C$9+V386*'Input &amp; Settings'!$C$10+W386*'Input &amp; Settings'!$C$11+X386*'Input &amp; Settings'!$C$12+Y386*'Input &amp; Settings'!$C$13+Z386*'Input &amp; Settings'!$C$14,1))</f>
        <v/>
      </c>
      <c r="AB386" s="38" t="str">
        <f>IF(OR(AA386="",E386=""),"",IFERROR(IF(AA386&gt;=VLOOKUP(E386,'Input &amp; Settings'!$F$5:$K$10,3,FALSE),"Outstanding",IF(AA386&gt;=VLOOKUP(E386,'Input &amp; Settings'!$F$5:$K$10,4,FALSE),"Exceeds Expectations",IF(AA386&gt;=VLOOKUP(E386,'Input &amp; Settings'!$F$5:$K$10,5,FALSE),"Meets Expectations",IF(AA386&gt;=VLOOKUP(E386,'Input &amp; Settings'!$F$5:$K$10,6,FALSE),"Needs Improvement","Performance Improvement Required")))),""))</f>
        <v/>
      </c>
      <c r="AC386" s="38" t="str">
        <f t="shared" si="20"/>
        <v/>
      </c>
      <c r="AD386" s="39"/>
      <c r="AE386" s="40"/>
      <c r="AF386" s="41" t="str">
        <f t="shared" si="21"/>
        <v/>
      </c>
      <c r="AG386" s="42" t="str">
        <f t="shared" si="22"/>
        <v/>
      </c>
      <c r="AH386" s="42" t="str">
        <f t="shared" si="23"/>
        <v>Dennis Hartling|October</v>
      </c>
    </row>
    <row r="387" spans="1:34" hidden="1">
      <c r="A387" s="32">
        <v>2026</v>
      </c>
      <c r="B387" s="32" t="s">
        <v>95</v>
      </c>
      <c r="C387" s="32" t="s">
        <v>36</v>
      </c>
      <c r="D387" s="32" t="s">
        <v>43</v>
      </c>
      <c r="E387" s="33"/>
      <c r="F387" s="34" t="str">
        <f>IF(E387="","",IFERROR(VLOOKUP(E387,'Input &amp; Settings'!$F$5:$G$10,2,FALSE),""))</f>
        <v/>
      </c>
      <c r="G387" s="33"/>
      <c r="H387" s="33"/>
      <c r="I387" s="35"/>
      <c r="J387" s="33"/>
      <c r="K387" s="36"/>
      <c r="L387" s="35"/>
      <c r="M387" s="33"/>
      <c r="N387" s="33"/>
      <c r="O387" s="33"/>
      <c r="P387" s="33"/>
      <c r="Q387" s="37" t="str">
        <f>IF(G387="","",IFERROR(MIN(100,G387/'Input &amp; Settings'!$B$5*100),""))</f>
        <v/>
      </c>
      <c r="R387" s="37" t="str">
        <f>IF(H387="","",IFERROR(MIN(100,H387/'Input &amp; Settings'!$B$6*100),""))</f>
        <v/>
      </c>
      <c r="S387" s="37" t="str">
        <f>IF(I387="","",IFERROR(MIN(100,I387/'Input &amp; Settings'!$B$7*100),""))</f>
        <v/>
      </c>
      <c r="T387" s="37" t="str">
        <f>IF(J387="","",IFERROR(MIN(100,J387/'Input &amp; Settings'!$B$8*100),""))</f>
        <v/>
      </c>
      <c r="U387" s="37" t="str">
        <f>IF(K387="","",IFERROR(MIN(100,K387/'Input &amp; Settings'!$B$9*100),""))</f>
        <v/>
      </c>
      <c r="V387" s="37" t="str">
        <f>IF(L387="","",IFERROR(MIN(100,L387/'Input &amp; Settings'!$B$10*100),""))</f>
        <v/>
      </c>
      <c r="W387" s="37" t="str">
        <f>IF(M387="","",IFERROR(IF(M387&lt;='Input &amp; Settings'!$B$11,100,MAX(0,100-(M387-'Input &amp; Settings'!$B$11)*20)),""))</f>
        <v/>
      </c>
      <c r="X387" s="37" t="str">
        <f>IF(N387="","",IFERROR(MIN(100,N387/'Input &amp; Settings'!$B$12*100),""))</f>
        <v/>
      </c>
      <c r="Y387" s="37" t="str">
        <f>IF(O387="","",IFERROR(MIN(100,O387/'Input &amp; Settings'!$B$13*100),""))</f>
        <v/>
      </c>
      <c r="Z387" s="37" t="str">
        <f>IF(P387="","",IFERROR(IF(P387&lt;='Input &amp; Settings'!$B$14,100,MAX(0,100-(P387-'Input &amp; Settings'!$B$14)*20)),""))</f>
        <v/>
      </c>
      <c r="AA387" s="37" t="str">
        <f>IF(COUNTA(G387:P387)=0,"",ROUND(Q387*'Input &amp; Settings'!$C$5+R387*'Input &amp; Settings'!$C$6+S387*'Input &amp; Settings'!$C$7+T387*'Input &amp; Settings'!$C$8+U387*'Input &amp; Settings'!$C$9+V387*'Input &amp; Settings'!$C$10+W387*'Input &amp; Settings'!$C$11+X387*'Input &amp; Settings'!$C$12+Y387*'Input &amp; Settings'!$C$13+Z387*'Input &amp; Settings'!$C$14,1))</f>
        <v/>
      </c>
      <c r="AB387" s="38" t="str">
        <f>IF(OR(AA387="",E387=""),"",IFERROR(IF(AA387&gt;=VLOOKUP(E387,'Input &amp; Settings'!$F$5:$K$10,3,FALSE),"Outstanding",IF(AA387&gt;=VLOOKUP(E387,'Input &amp; Settings'!$F$5:$K$10,4,FALSE),"Exceeds Expectations",IF(AA387&gt;=VLOOKUP(E387,'Input &amp; Settings'!$F$5:$K$10,5,FALSE),"Meets Expectations",IF(AA387&gt;=VLOOKUP(E387,'Input &amp; Settings'!$F$5:$K$10,6,FALSE),"Needs Improvement","Performance Improvement Required")))),""))</f>
        <v/>
      </c>
      <c r="AC387" s="38" t="str">
        <f t="shared" ref="AC387:AC450" si="24">IF(COUNTA(G387:P387)+COUNTA(AD387:AE387)&gt;0,"Entered","")</f>
        <v/>
      </c>
      <c r="AD387" s="39"/>
      <c r="AE387" s="40"/>
      <c r="AF387" s="41" t="str">
        <f t="shared" ref="AF387:AF450" si="25">IF(AD387&lt;&gt;"",AD387,AA387)</f>
        <v/>
      </c>
      <c r="AG387" s="42" t="str">
        <f t="shared" ref="AG387:AG450" si="26">IF(AE387&lt;&gt;"",AE387,AB387)</f>
        <v/>
      </c>
      <c r="AH387" s="42" t="str">
        <f t="shared" ref="AH387:AH450" si="27">D387&amp;"|"&amp;B387</f>
        <v>Gilbert Eugene|October</v>
      </c>
    </row>
    <row r="388" spans="1:34" hidden="1">
      <c r="A388" s="32">
        <v>2026</v>
      </c>
      <c r="B388" s="32" t="s">
        <v>95</v>
      </c>
      <c r="C388" s="32" t="s">
        <v>36</v>
      </c>
      <c r="D388" s="32" t="s">
        <v>44</v>
      </c>
      <c r="E388" s="33"/>
      <c r="F388" s="34" t="str">
        <f>IF(E388="","",IFERROR(VLOOKUP(E388,'Input &amp; Settings'!$F$5:$G$10,2,FALSE),""))</f>
        <v/>
      </c>
      <c r="G388" s="33"/>
      <c r="H388" s="33"/>
      <c r="I388" s="35"/>
      <c r="J388" s="33"/>
      <c r="K388" s="36"/>
      <c r="L388" s="35"/>
      <c r="M388" s="33"/>
      <c r="N388" s="33"/>
      <c r="O388" s="33"/>
      <c r="P388" s="33"/>
      <c r="Q388" s="37" t="str">
        <f>IF(G388="","",IFERROR(MIN(100,G388/'Input &amp; Settings'!$B$5*100),""))</f>
        <v/>
      </c>
      <c r="R388" s="37" t="str">
        <f>IF(H388="","",IFERROR(MIN(100,H388/'Input &amp; Settings'!$B$6*100),""))</f>
        <v/>
      </c>
      <c r="S388" s="37" t="str">
        <f>IF(I388="","",IFERROR(MIN(100,I388/'Input &amp; Settings'!$B$7*100),""))</f>
        <v/>
      </c>
      <c r="T388" s="37" t="str">
        <f>IF(J388="","",IFERROR(MIN(100,J388/'Input &amp; Settings'!$B$8*100),""))</f>
        <v/>
      </c>
      <c r="U388" s="37" t="str">
        <f>IF(K388="","",IFERROR(MIN(100,K388/'Input &amp; Settings'!$B$9*100),""))</f>
        <v/>
      </c>
      <c r="V388" s="37" t="str">
        <f>IF(L388="","",IFERROR(MIN(100,L388/'Input &amp; Settings'!$B$10*100),""))</f>
        <v/>
      </c>
      <c r="W388" s="37" t="str">
        <f>IF(M388="","",IFERROR(IF(M388&lt;='Input &amp; Settings'!$B$11,100,MAX(0,100-(M388-'Input &amp; Settings'!$B$11)*20)),""))</f>
        <v/>
      </c>
      <c r="X388" s="37" t="str">
        <f>IF(N388="","",IFERROR(MIN(100,N388/'Input &amp; Settings'!$B$12*100),""))</f>
        <v/>
      </c>
      <c r="Y388" s="37" t="str">
        <f>IF(O388="","",IFERROR(MIN(100,O388/'Input &amp; Settings'!$B$13*100),""))</f>
        <v/>
      </c>
      <c r="Z388" s="37" t="str">
        <f>IF(P388="","",IFERROR(IF(P388&lt;='Input &amp; Settings'!$B$14,100,MAX(0,100-(P388-'Input &amp; Settings'!$B$14)*20)),""))</f>
        <v/>
      </c>
      <c r="AA388" s="37" t="str">
        <f>IF(COUNTA(G388:P388)=0,"",ROUND(Q388*'Input &amp; Settings'!$C$5+R388*'Input &amp; Settings'!$C$6+S388*'Input &amp; Settings'!$C$7+T388*'Input &amp; Settings'!$C$8+U388*'Input &amp; Settings'!$C$9+V388*'Input &amp; Settings'!$C$10+W388*'Input &amp; Settings'!$C$11+X388*'Input &amp; Settings'!$C$12+Y388*'Input &amp; Settings'!$C$13+Z388*'Input &amp; Settings'!$C$14,1))</f>
        <v/>
      </c>
      <c r="AB388" s="38" t="str">
        <f>IF(OR(AA388="",E388=""),"",IFERROR(IF(AA388&gt;=VLOOKUP(E388,'Input &amp; Settings'!$F$5:$K$10,3,FALSE),"Outstanding",IF(AA388&gt;=VLOOKUP(E388,'Input &amp; Settings'!$F$5:$K$10,4,FALSE),"Exceeds Expectations",IF(AA388&gt;=VLOOKUP(E388,'Input &amp; Settings'!$F$5:$K$10,5,FALSE),"Meets Expectations",IF(AA388&gt;=VLOOKUP(E388,'Input &amp; Settings'!$F$5:$K$10,6,FALSE),"Needs Improvement","Performance Improvement Required")))),""))</f>
        <v/>
      </c>
      <c r="AC388" s="38" t="str">
        <f t="shared" si="24"/>
        <v/>
      </c>
      <c r="AD388" s="39"/>
      <c r="AE388" s="40"/>
      <c r="AF388" s="41" t="str">
        <f t="shared" si="25"/>
        <v/>
      </c>
      <c r="AG388" s="42" t="str">
        <f t="shared" si="26"/>
        <v/>
      </c>
      <c r="AH388" s="42" t="str">
        <f t="shared" si="27"/>
        <v>Cory Colstock|October</v>
      </c>
    </row>
    <row r="389" spans="1:34" hidden="1">
      <c r="A389" s="32">
        <v>2026</v>
      </c>
      <c r="B389" s="32" t="s">
        <v>95</v>
      </c>
      <c r="C389" s="32" t="s">
        <v>36</v>
      </c>
      <c r="D389" s="32" t="s">
        <v>45</v>
      </c>
      <c r="E389" s="33"/>
      <c r="F389" s="34" t="str">
        <f>IF(E389="","",IFERROR(VLOOKUP(E389,'Input &amp; Settings'!$F$5:$G$10,2,FALSE),""))</f>
        <v/>
      </c>
      <c r="G389" s="33"/>
      <c r="H389" s="33"/>
      <c r="I389" s="35"/>
      <c r="J389" s="33"/>
      <c r="K389" s="36"/>
      <c r="L389" s="35"/>
      <c r="M389" s="33"/>
      <c r="N389" s="33"/>
      <c r="O389" s="33"/>
      <c r="P389" s="33"/>
      <c r="Q389" s="37" t="str">
        <f>IF(G389="","",IFERROR(MIN(100,G389/'Input &amp; Settings'!$B$5*100),""))</f>
        <v/>
      </c>
      <c r="R389" s="37" t="str">
        <f>IF(H389="","",IFERROR(MIN(100,H389/'Input &amp; Settings'!$B$6*100),""))</f>
        <v/>
      </c>
      <c r="S389" s="37" t="str">
        <f>IF(I389="","",IFERROR(MIN(100,I389/'Input &amp; Settings'!$B$7*100),""))</f>
        <v/>
      </c>
      <c r="T389" s="37" t="str">
        <f>IF(J389="","",IFERROR(MIN(100,J389/'Input &amp; Settings'!$B$8*100),""))</f>
        <v/>
      </c>
      <c r="U389" s="37" t="str">
        <f>IF(K389="","",IFERROR(MIN(100,K389/'Input &amp; Settings'!$B$9*100),""))</f>
        <v/>
      </c>
      <c r="V389" s="37" t="str">
        <f>IF(L389="","",IFERROR(MIN(100,L389/'Input &amp; Settings'!$B$10*100),""))</f>
        <v/>
      </c>
      <c r="W389" s="37" t="str">
        <f>IF(M389="","",IFERROR(IF(M389&lt;='Input &amp; Settings'!$B$11,100,MAX(0,100-(M389-'Input &amp; Settings'!$B$11)*20)),""))</f>
        <v/>
      </c>
      <c r="X389" s="37" t="str">
        <f>IF(N389="","",IFERROR(MIN(100,N389/'Input &amp; Settings'!$B$12*100),""))</f>
        <v/>
      </c>
      <c r="Y389" s="37" t="str">
        <f>IF(O389="","",IFERROR(MIN(100,O389/'Input &amp; Settings'!$B$13*100),""))</f>
        <v/>
      </c>
      <c r="Z389" s="37" t="str">
        <f>IF(P389="","",IFERROR(IF(P389&lt;='Input &amp; Settings'!$B$14,100,MAX(0,100-(P389-'Input &amp; Settings'!$B$14)*20)),""))</f>
        <v/>
      </c>
      <c r="AA389" s="37" t="str">
        <f>IF(COUNTA(G389:P389)=0,"",ROUND(Q389*'Input &amp; Settings'!$C$5+R389*'Input &amp; Settings'!$C$6+S389*'Input &amp; Settings'!$C$7+T389*'Input &amp; Settings'!$C$8+U389*'Input &amp; Settings'!$C$9+V389*'Input &amp; Settings'!$C$10+W389*'Input &amp; Settings'!$C$11+X389*'Input &amp; Settings'!$C$12+Y389*'Input &amp; Settings'!$C$13+Z389*'Input &amp; Settings'!$C$14,1))</f>
        <v/>
      </c>
      <c r="AB389" s="38" t="str">
        <f>IF(OR(AA389="",E389=""),"",IFERROR(IF(AA389&gt;=VLOOKUP(E389,'Input &amp; Settings'!$F$5:$K$10,3,FALSE),"Outstanding",IF(AA389&gt;=VLOOKUP(E389,'Input &amp; Settings'!$F$5:$K$10,4,FALSE),"Exceeds Expectations",IF(AA389&gt;=VLOOKUP(E389,'Input &amp; Settings'!$F$5:$K$10,5,FALSE),"Meets Expectations",IF(AA389&gt;=VLOOKUP(E389,'Input &amp; Settings'!$F$5:$K$10,6,FALSE),"Needs Improvement","Performance Improvement Required")))),""))</f>
        <v/>
      </c>
      <c r="AC389" s="38" t="str">
        <f t="shared" si="24"/>
        <v/>
      </c>
      <c r="AD389" s="39"/>
      <c r="AE389" s="40"/>
      <c r="AF389" s="41" t="str">
        <f t="shared" si="25"/>
        <v/>
      </c>
      <c r="AG389" s="42" t="str">
        <f t="shared" si="26"/>
        <v/>
      </c>
      <c r="AH389" s="42" t="str">
        <f t="shared" si="27"/>
        <v>Jerald Woodward (Jerry)|October</v>
      </c>
    </row>
    <row r="390" spans="1:34" hidden="1">
      <c r="A390" s="32">
        <v>2026</v>
      </c>
      <c r="B390" s="32" t="s">
        <v>95</v>
      </c>
      <c r="C390" s="32" t="s">
        <v>36</v>
      </c>
      <c r="D390" s="32" t="s">
        <v>46</v>
      </c>
      <c r="E390" s="33"/>
      <c r="F390" s="34" t="str">
        <f>IF(E390="","",IFERROR(VLOOKUP(E390,'Input &amp; Settings'!$F$5:$G$10,2,FALSE),""))</f>
        <v/>
      </c>
      <c r="G390" s="33"/>
      <c r="H390" s="33"/>
      <c r="I390" s="35"/>
      <c r="J390" s="33"/>
      <c r="K390" s="36"/>
      <c r="L390" s="35"/>
      <c r="M390" s="33"/>
      <c r="N390" s="33"/>
      <c r="O390" s="33"/>
      <c r="P390" s="33"/>
      <c r="Q390" s="37" t="str">
        <f>IF(G390="","",IFERROR(MIN(100,G390/'Input &amp; Settings'!$B$5*100),""))</f>
        <v/>
      </c>
      <c r="R390" s="37" t="str">
        <f>IF(H390="","",IFERROR(MIN(100,H390/'Input &amp; Settings'!$B$6*100),""))</f>
        <v/>
      </c>
      <c r="S390" s="37" t="str">
        <f>IF(I390="","",IFERROR(MIN(100,I390/'Input &amp; Settings'!$B$7*100),""))</f>
        <v/>
      </c>
      <c r="T390" s="37" t="str">
        <f>IF(J390="","",IFERROR(MIN(100,J390/'Input &amp; Settings'!$B$8*100),""))</f>
        <v/>
      </c>
      <c r="U390" s="37" t="str">
        <f>IF(K390="","",IFERROR(MIN(100,K390/'Input &amp; Settings'!$B$9*100),""))</f>
        <v/>
      </c>
      <c r="V390" s="37" t="str">
        <f>IF(L390="","",IFERROR(MIN(100,L390/'Input &amp; Settings'!$B$10*100),""))</f>
        <v/>
      </c>
      <c r="W390" s="37" t="str">
        <f>IF(M390="","",IFERROR(IF(M390&lt;='Input &amp; Settings'!$B$11,100,MAX(0,100-(M390-'Input &amp; Settings'!$B$11)*20)),""))</f>
        <v/>
      </c>
      <c r="X390" s="37" t="str">
        <f>IF(N390="","",IFERROR(MIN(100,N390/'Input &amp; Settings'!$B$12*100),""))</f>
        <v/>
      </c>
      <c r="Y390" s="37" t="str">
        <f>IF(O390="","",IFERROR(MIN(100,O390/'Input &amp; Settings'!$B$13*100),""))</f>
        <v/>
      </c>
      <c r="Z390" s="37" t="str">
        <f>IF(P390="","",IFERROR(IF(P390&lt;='Input &amp; Settings'!$B$14,100,MAX(0,100-(P390-'Input &amp; Settings'!$B$14)*20)),""))</f>
        <v/>
      </c>
      <c r="AA390" s="37" t="str">
        <f>IF(COUNTA(G390:P390)=0,"",ROUND(Q390*'Input &amp; Settings'!$C$5+R390*'Input &amp; Settings'!$C$6+S390*'Input &amp; Settings'!$C$7+T390*'Input &amp; Settings'!$C$8+U390*'Input &amp; Settings'!$C$9+V390*'Input &amp; Settings'!$C$10+W390*'Input &amp; Settings'!$C$11+X390*'Input &amp; Settings'!$C$12+Y390*'Input &amp; Settings'!$C$13+Z390*'Input &amp; Settings'!$C$14,1))</f>
        <v/>
      </c>
      <c r="AB390" s="38" t="str">
        <f>IF(OR(AA390="",E390=""),"",IFERROR(IF(AA390&gt;=VLOOKUP(E390,'Input &amp; Settings'!$F$5:$K$10,3,FALSE),"Outstanding",IF(AA390&gt;=VLOOKUP(E390,'Input &amp; Settings'!$F$5:$K$10,4,FALSE),"Exceeds Expectations",IF(AA390&gt;=VLOOKUP(E390,'Input &amp; Settings'!$F$5:$K$10,5,FALSE),"Meets Expectations",IF(AA390&gt;=VLOOKUP(E390,'Input &amp; Settings'!$F$5:$K$10,6,FALSE),"Needs Improvement","Performance Improvement Required")))),""))</f>
        <v/>
      </c>
      <c r="AC390" s="38" t="str">
        <f t="shared" si="24"/>
        <v/>
      </c>
      <c r="AD390" s="39"/>
      <c r="AE390" s="40"/>
      <c r="AF390" s="41" t="str">
        <f t="shared" si="25"/>
        <v/>
      </c>
      <c r="AG390" s="42" t="str">
        <f t="shared" si="26"/>
        <v/>
      </c>
      <c r="AH390" s="42" t="str">
        <f t="shared" si="27"/>
        <v>Alvaro Hernandez|October</v>
      </c>
    </row>
    <row r="391" spans="1:34" hidden="1">
      <c r="A391" s="32">
        <v>2026</v>
      </c>
      <c r="B391" s="32" t="s">
        <v>95</v>
      </c>
      <c r="C391" s="32" t="s">
        <v>36</v>
      </c>
      <c r="D391" s="32" t="s">
        <v>47</v>
      </c>
      <c r="E391" s="33"/>
      <c r="F391" s="34" t="str">
        <f>IF(E391="","",IFERROR(VLOOKUP(E391,'Input &amp; Settings'!$F$5:$G$10,2,FALSE),""))</f>
        <v/>
      </c>
      <c r="G391" s="33"/>
      <c r="H391" s="33"/>
      <c r="I391" s="35"/>
      <c r="J391" s="33"/>
      <c r="K391" s="36"/>
      <c r="L391" s="35"/>
      <c r="M391" s="33"/>
      <c r="N391" s="33"/>
      <c r="O391" s="33"/>
      <c r="P391" s="33"/>
      <c r="Q391" s="37" t="str">
        <f>IF(G391="","",IFERROR(MIN(100,G391/'Input &amp; Settings'!$B$5*100),""))</f>
        <v/>
      </c>
      <c r="R391" s="37" t="str">
        <f>IF(H391="","",IFERROR(MIN(100,H391/'Input &amp; Settings'!$B$6*100),""))</f>
        <v/>
      </c>
      <c r="S391" s="37" t="str">
        <f>IF(I391="","",IFERROR(MIN(100,I391/'Input &amp; Settings'!$B$7*100),""))</f>
        <v/>
      </c>
      <c r="T391" s="37" t="str">
        <f>IF(J391="","",IFERROR(MIN(100,J391/'Input &amp; Settings'!$B$8*100),""))</f>
        <v/>
      </c>
      <c r="U391" s="37" t="str">
        <f>IF(K391="","",IFERROR(MIN(100,K391/'Input &amp; Settings'!$B$9*100),""))</f>
        <v/>
      </c>
      <c r="V391" s="37" t="str">
        <f>IF(L391="","",IFERROR(MIN(100,L391/'Input &amp; Settings'!$B$10*100),""))</f>
        <v/>
      </c>
      <c r="W391" s="37" t="str">
        <f>IF(M391="","",IFERROR(IF(M391&lt;='Input &amp; Settings'!$B$11,100,MAX(0,100-(M391-'Input &amp; Settings'!$B$11)*20)),""))</f>
        <v/>
      </c>
      <c r="X391" s="37" t="str">
        <f>IF(N391="","",IFERROR(MIN(100,N391/'Input &amp; Settings'!$B$12*100),""))</f>
        <v/>
      </c>
      <c r="Y391" s="37" t="str">
        <f>IF(O391="","",IFERROR(MIN(100,O391/'Input &amp; Settings'!$B$13*100),""))</f>
        <v/>
      </c>
      <c r="Z391" s="37" t="str">
        <f>IF(P391="","",IFERROR(IF(P391&lt;='Input &amp; Settings'!$B$14,100,MAX(0,100-(P391-'Input &amp; Settings'!$B$14)*20)),""))</f>
        <v/>
      </c>
      <c r="AA391" s="37" t="str">
        <f>IF(COUNTA(G391:P391)=0,"",ROUND(Q391*'Input &amp; Settings'!$C$5+R391*'Input &amp; Settings'!$C$6+S391*'Input &amp; Settings'!$C$7+T391*'Input &amp; Settings'!$C$8+U391*'Input &amp; Settings'!$C$9+V391*'Input &amp; Settings'!$C$10+W391*'Input &amp; Settings'!$C$11+X391*'Input &amp; Settings'!$C$12+Y391*'Input &amp; Settings'!$C$13+Z391*'Input &amp; Settings'!$C$14,1))</f>
        <v/>
      </c>
      <c r="AB391" s="38" t="str">
        <f>IF(OR(AA391="",E391=""),"",IFERROR(IF(AA391&gt;=VLOOKUP(E391,'Input &amp; Settings'!$F$5:$K$10,3,FALSE),"Outstanding",IF(AA391&gt;=VLOOKUP(E391,'Input &amp; Settings'!$F$5:$K$10,4,FALSE),"Exceeds Expectations",IF(AA391&gt;=VLOOKUP(E391,'Input &amp; Settings'!$F$5:$K$10,5,FALSE),"Meets Expectations",IF(AA391&gt;=VLOOKUP(E391,'Input &amp; Settings'!$F$5:$K$10,6,FALSE),"Needs Improvement","Performance Improvement Required")))),""))</f>
        <v/>
      </c>
      <c r="AC391" s="38" t="str">
        <f t="shared" si="24"/>
        <v/>
      </c>
      <c r="AD391" s="39"/>
      <c r="AE391" s="40"/>
      <c r="AF391" s="41" t="str">
        <f t="shared" si="25"/>
        <v/>
      </c>
      <c r="AG391" s="42" t="str">
        <f t="shared" si="26"/>
        <v/>
      </c>
      <c r="AH391" s="42" t="str">
        <f t="shared" si="27"/>
        <v>Sarah Clervil|October</v>
      </c>
    </row>
    <row r="392" spans="1:34" hidden="1">
      <c r="A392" s="32">
        <v>2026</v>
      </c>
      <c r="B392" s="32" t="s">
        <v>95</v>
      </c>
      <c r="C392" s="32" t="s">
        <v>36</v>
      </c>
      <c r="D392" s="32" t="s">
        <v>48</v>
      </c>
      <c r="E392" s="33"/>
      <c r="F392" s="34" t="str">
        <f>IF(E392="","",IFERROR(VLOOKUP(E392,'Input &amp; Settings'!$F$5:$G$10,2,FALSE),""))</f>
        <v/>
      </c>
      <c r="G392" s="33"/>
      <c r="H392" s="33"/>
      <c r="I392" s="35"/>
      <c r="J392" s="33"/>
      <c r="K392" s="36"/>
      <c r="L392" s="35"/>
      <c r="M392" s="33"/>
      <c r="N392" s="33"/>
      <c r="O392" s="33"/>
      <c r="P392" s="33"/>
      <c r="Q392" s="37" t="str">
        <f>IF(G392="","",IFERROR(MIN(100,G392/'Input &amp; Settings'!$B$5*100),""))</f>
        <v/>
      </c>
      <c r="R392" s="37" t="str">
        <f>IF(H392="","",IFERROR(MIN(100,H392/'Input &amp; Settings'!$B$6*100),""))</f>
        <v/>
      </c>
      <c r="S392" s="37" t="str">
        <f>IF(I392="","",IFERROR(MIN(100,I392/'Input &amp; Settings'!$B$7*100),""))</f>
        <v/>
      </c>
      <c r="T392" s="37" t="str">
        <f>IF(J392="","",IFERROR(MIN(100,J392/'Input &amp; Settings'!$B$8*100),""))</f>
        <v/>
      </c>
      <c r="U392" s="37" t="str">
        <f>IF(K392="","",IFERROR(MIN(100,K392/'Input &amp; Settings'!$B$9*100),""))</f>
        <v/>
      </c>
      <c r="V392" s="37" t="str">
        <f>IF(L392="","",IFERROR(MIN(100,L392/'Input &amp; Settings'!$B$10*100),""))</f>
        <v/>
      </c>
      <c r="W392" s="37" t="str">
        <f>IF(M392="","",IFERROR(IF(M392&lt;='Input &amp; Settings'!$B$11,100,MAX(0,100-(M392-'Input &amp; Settings'!$B$11)*20)),""))</f>
        <v/>
      </c>
      <c r="X392" s="37" t="str">
        <f>IF(N392="","",IFERROR(MIN(100,N392/'Input &amp; Settings'!$B$12*100),""))</f>
        <v/>
      </c>
      <c r="Y392" s="37" t="str">
        <f>IF(O392="","",IFERROR(MIN(100,O392/'Input &amp; Settings'!$B$13*100),""))</f>
        <v/>
      </c>
      <c r="Z392" s="37" t="str">
        <f>IF(P392="","",IFERROR(IF(P392&lt;='Input &amp; Settings'!$B$14,100,MAX(0,100-(P392-'Input &amp; Settings'!$B$14)*20)),""))</f>
        <v/>
      </c>
      <c r="AA392" s="37" t="str">
        <f>IF(COUNTA(G392:P392)=0,"",ROUND(Q392*'Input &amp; Settings'!$C$5+R392*'Input &amp; Settings'!$C$6+S392*'Input &amp; Settings'!$C$7+T392*'Input &amp; Settings'!$C$8+U392*'Input &amp; Settings'!$C$9+V392*'Input &amp; Settings'!$C$10+W392*'Input &amp; Settings'!$C$11+X392*'Input &amp; Settings'!$C$12+Y392*'Input &amp; Settings'!$C$13+Z392*'Input &amp; Settings'!$C$14,1))</f>
        <v/>
      </c>
      <c r="AB392" s="38" t="str">
        <f>IF(OR(AA392="",E392=""),"",IFERROR(IF(AA392&gt;=VLOOKUP(E392,'Input &amp; Settings'!$F$5:$K$10,3,FALSE),"Outstanding",IF(AA392&gt;=VLOOKUP(E392,'Input &amp; Settings'!$F$5:$K$10,4,FALSE),"Exceeds Expectations",IF(AA392&gt;=VLOOKUP(E392,'Input &amp; Settings'!$F$5:$K$10,5,FALSE),"Meets Expectations",IF(AA392&gt;=VLOOKUP(E392,'Input &amp; Settings'!$F$5:$K$10,6,FALSE),"Needs Improvement","Performance Improvement Required")))),""))</f>
        <v/>
      </c>
      <c r="AC392" s="38" t="str">
        <f t="shared" si="24"/>
        <v/>
      </c>
      <c r="AD392" s="39"/>
      <c r="AE392" s="40"/>
      <c r="AF392" s="41" t="str">
        <f t="shared" si="25"/>
        <v/>
      </c>
      <c r="AG392" s="42" t="str">
        <f t="shared" si="26"/>
        <v/>
      </c>
      <c r="AH392" s="42" t="str">
        <f t="shared" si="27"/>
        <v>Christopher Ovid|October</v>
      </c>
    </row>
    <row r="393" spans="1:34" hidden="1">
      <c r="A393" s="32">
        <v>2026</v>
      </c>
      <c r="B393" s="32" t="s">
        <v>95</v>
      </c>
      <c r="C393" s="32" t="s">
        <v>36</v>
      </c>
      <c r="D393" s="32" t="s">
        <v>49</v>
      </c>
      <c r="E393" s="33"/>
      <c r="F393" s="34" t="str">
        <f>IF(E393="","",IFERROR(VLOOKUP(E393,'Input &amp; Settings'!$F$5:$G$10,2,FALSE),""))</f>
        <v/>
      </c>
      <c r="G393" s="33"/>
      <c r="H393" s="33"/>
      <c r="I393" s="35"/>
      <c r="J393" s="33"/>
      <c r="K393" s="36"/>
      <c r="L393" s="35"/>
      <c r="M393" s="33"/>
      <c r="N393" s="33"/>
      <c r="O393" s="33"/>
      <c r="P393" s="33"/>
      <c r="Q393" s="37" t="str">
        <f>IF(G393="","",IFERROR(MIN(100,G393/'Input &amp; Settings'!$B$5*100),""))</f>
        <v/>
      </c>
      <c r="R393" s="37" t="str">
        <f>IF(H393="","",IFERROR(MIN(100,H393/'Input &amp; Settings'!$B$6*100),""))</f>
        <v/>
      </c>
      <c r="S393" s="37" t="str">
        <f>IF(I393="","",IFERROR(MIN(100,I393/'Input &amp; Settings'!$B$7*100),""))</f>
        <v/>
      </c>
      <c r="T393" s="37" t="str">
        <f>IF(J393="","",IFERROR(MIN(100,J393/'Input &amp; Settings'!$B$8*100),""))</f>
        <v/>
      </c>
      <c r="U393" s="37" t="str">
        <f>IF(K393="","",IFERROR(MIN(100,K393/'Input &amp; Settings'!$B$9*100),""))</f>
        <v/>
      </c>
      <c r="V393" s="37" t="str">
        <f>IF(L393="","",IFERROR(MIN(100,L393/'Input &amp; Settings'!$B$10*100),""))</f>
        <v/>
      </c>
      <c r="W393" s="37" t="str">
        <f>IF(M393="","",IFERROR(IF(M393&lt;='Input &amp; Settings'!$B$11,100,MAX(0,100-(M393-'Input &amp; Settings'!$B$11)*20)),""))</f>
        <v/>
      </c>
      <c r="X393" s="37" t="str">
        <f>IF(N393="","",IFERROR(MIN(100,N393/'Input &amp; Settings'!$B$12*100),""))</f>
        <v/>
      </c>
      <c r="Y393" s="37" t="str">
        <f>IF(O393="","",IFERROR(MIN(100,O393/'Input &amp; Settings'!$B$13*100),""))</f>
        <v/>
      </c>
      <c r="Z393" s="37" t="str">
        <f>IF(P393="","",IFERROR(IF(P393&lt;='Input &amp; Settings'!$B$14,100,MAX(0,100-(P393-'Input &amp; Settings'!$B$14)*20)),""))</f>
        <v/>
      </c>
      <c r="AA393" s="37" t="str">
        <f>IF(COUNTA(G393:P393)=0,"",ROUND(Q393*'Input &amp; Settings'!$C$5+R393*'Input &amp; Settings'!$C$6+S393*'Input &amp; Settings'!$C$7+T393*'Input &amp; Settings'!$C$8+U393*'Input &amp; Settings'!$C$9+V393*'Input &amp; Settings'!$C$10+W393*'Input &amp; Settings'!$C$11+X393*'Input &amp; Settings'!$C$12+Y393*'Input &amp; Settings'!$C$13+Z393*'Input &amp; Settings'!$C$14,1))</f>
        <v/>
      </c>
      <c r="AB393" s="38" t="str">
        <f>IF(OR(AA393="",E393=""),"",IFERROR(IF(AA393&gt;=VLOOKUP(E393,'Input &amp; Settings'!$F$5:$K$10,3,FALSE),"Outstanding",IF(AA393&gt;=VLOOKUP(E393,'Input &amp; Settings'!$F$5:$K$10,4,FALSE),"Exceeds Expectations",IF(AA393&gt;=VLOOKUP(E393,'Input &amp; Settings'!$F$5:$K$10,5,FALSE),"Meets Expectations",IF(AA393&gt;=VLOOKUP(E393,'Input &amp; Settings'!$F$5:$K$10,6,FALSE),"Needs Improvement","Performance Improvement Required")))),""))</f>
        <v/>
      </c>
      <c r="AC393" s="38" t="str">
        <f t="shared" si="24"/>
        <v/>
      </c>
      <c r="AD393" s="39"/>
      <c r="AE393" s="40"/>
      <c r="AF393" s="41" t="str">
        <f t="shared" si="25"/>
        <v/>
      </c>
      <c r="AG393" s="42" t="str">
        <f t="shared" si="26"/>
        <v/>
      </c>
      <c r="AH393" s="42" t="str">
        <f t="shared" si="27"/>
        <v>Rafael Godinez|October</v>
      </c>
    </row>
    <row r="394" spans="1:34" hidden="1">
      <c r="A394" s="32">
        <v>2026</v>
      </c>
      <c r="B394" s="32" t="s">
        <v>95</v>
      </c>
      <c r="C394" s="32" t="s">
        <v>36</v>
      </c>
      <c r="D394" s="32" t="s">
        <v>50</v>
      </c>
      <c r="E394" s="33"/>
      <c r="F394" s="34" t="str">
        <f>IF(E394="","",IFERROR(VLOOKUP(E394,'Input &amp; Settings'!$F$5:$G$10,2,FALSE),""))</f>
        <v/>
      </c>
      <c r="G394" s="33"/>
      <c r="H394" s="33"/>
      <c r="I394" s="35"/>
      <c r="J394" s="33"/>
      <c r="K394" s="36"/>
      <c r="L394" s="35"/>
      <c r="M394" s="33"/>
      <c r="N394" s="33"/>
      <c r="O394" s="33"/>
      <c r="P394" s="33"/>
      <c r="Q394" s="37" t="str">
        <f>IF(G394="","",IFERROR(MIN(100,G394/'Input &amp; Settings'!$B$5*100),""))</f>
        <v/>
      </c>
      <c r="R394" s="37" t="str">
        <f>IF(H394="","",IFERROR(MIN(100,H394/'Input &amp; Settings'!$B$6*100),""))</f>
        <v/>
      </c>
      <c r="S394" s="37" t="str">
        <f>IF(I394="","",IFERROR(MIN(100,I394/'Input &amp; Settings'!$B$7*100),""))</f>
        <v/>
      </c>
      <c r="T394" s="37" t="str">
        <f>IF(J394="","",IFERROR(MIN(100,J394/'Input &amp; Settings'!$B$8*100),""))</f>
        <v/>
      </c>
      <c r="U394" s="37" t="str">
        <f>IF(K394="","",IFERROR(MIN(100,K394/'Input &amp; Settings'!$B$9*100),""))</f>
        <v/>
      </c>
      <c r="V394" s="37" t="str">
        <f>IF(L394="","",IFERROR(MIN(100,L394/'Input &amp; Settings'!$B$10*100),""))</f>
        <v/>
      </c>
      <c r="W394" s="37" t="str">
        <f>IF(M394="","",IFERROR(IF(M394&lt;='Input &amp; Settings'!$B$11,100,MAX(0,100-(M394-'Input &amp; Settings'!$B$11)*20)),""))</f>
        <v/>
      </c>
      <c r="X394" s="37" t="str">
        <f>IF(N394="","",IFERROR(MIN(100,N394/'Input &amp; Settings'!$B$12*100),""))</f>
        <v/>
      </c>
      <c r="Y394" s="37" t="str">
        <f>IF(O394="","",IFERROR(MIN(100,O394/'Input &amp; Settings'!$B$13*100),""))</f>
        <v/>
      </c>
      <c r="Z394" s="37" t="str">
        <f>IF(P394="","",IFERROR(IF(P394&lt;='Input &amp; Settings'!$B$14,100,MAX(0,100-(P394-'Input &amp; Settings'!$B$14)*20)),""))</f>
        <v/>
      </c>
      <c r="AA394" s="37" t="str">
        <f>IF(COUNTA(G394:P394)=0,"",ROUND(Q394*'Input &amp; Settings'!$C$5+R394*'Input &amp; Settings'!$C$6+S394*'Input &amp; Settings'!$C$7+T394*'Input &amp; Settings'!$C$8+U394*'Input &amp; Settings'!$C$9+V394*'Input &amp; Settings'!$C$10+W394*'Input &amp; Settings'!$C$11+X394*'Input &amp; Settings'!$C$12+Y394*'Input &amp; Settings'!$C$13+Z394*'Input &amp; Settings'!$C$14,1))</f>
        <v/>
      </c>
      <c r="AB394" s="38" t="str">
        <f>IF(OR(AA394="",E394=""),"",IFERROR(IF(AA394&gt;=VLOOKUP(E394,'Input &amp; Settings'!$F$5:$K$10,3,FALSE),"Outstanding",IF(AA394&gt;=VLOOKUP(E394,'Input &amp; Settings'!$F$5:$K$10,4,FALSE),"Exceeds Expectations",IF(AA394&gt;=VLOOKUP(E394,'Input &amp; Settings'!$F$5:$K$10,5,FALSE),"Meets Expectations",IF(AA394&gt;=VLOOKUP(E394,'Input &amp; Settings'!$F$5:$K$10,6,FALSE),"Needs Improvement","Performance Improvement Required")))),""))</f>
        <v/>
      </c>
      <c r="AC394" s="38" t="str">
        <f t="shared" si="24"/>
        <v/>
      </c>
      <c r="AD394" s="39"/>
      <c r="AE394" s="40"/>
      <c r="AF394" s="41" t="str">
        <f t="shared" si="25"/>
        <v/>
      </c>
      <c r="AG394" s="42" t="str">
        <f t="shared" si="26"/>
        <v/>
      </c>
      <c r="AH394" s="42" t="str">
        <f t="shared" si="27"/>
        <v>Dennis Mayorga|October</v>
      </c>
    </row>
    <row r="395" spans="1:34" hidden="1">
      <c r="A395" s="32">
        <v>2026</v>
      </c>
      <c r="B395" s="32" t="s">
        <v>95</v>
      </c>
      <c r="C395" s="32" t="s">
        <v>36</v>
      </c>
      <c r="D395" s="32" t="s">
        <v>51</v>
      </c>
      <c r="E395" s="33"/>
      <c r="F395" s="34" t="str">
        <f>IF(E395="","",IFERROR(VLOOKUP(E395,'Input &amp; Settings'!$F$5:$G$10,2,FALSE),""))</f>
        <v/>
      </c>
      <c r="G395" s="33"/>
      <c r="H395" s="33"/>
      <c r="I395" s="35"/>
      <c r="J395" s="33"/>
      <c r="K395" s="36"/>
      <c r="L395" s="35"/>
      <c r="M395" s="33"/>
      <c r="N395" s="33"/>
      <c r="O395" s="33"/>
      <c r="P395" s="33"/>
      <c r="Q395" s="37" t="str">
        <f>IF(G395="","",IFERROR(MIN(100,G395/'Input &amp; Settings'!$B$5*100),""))</f>
        <v/>
      </c>
      <c r="R395" s="37" t="str">
        <f>IF(H395="","",IFERROR(MIN(100,H395/'Input &amp; Settings'!$B$6*100),""))</f>
        <v/>
      </c>
      <c r="S395" s="37" t="str">
        <f>IF(I395="","",IFERROR(MIN(100,I395/'Input &amp; Settings'!$B$7*100),""))</f>
        <v/>
      </c>
      <c r="T395" s="37" t="str">
        <f>IF(J395="","",IFERROR(MIN(100,J395/'Input &amp; Settings'!$B$8*100),""))</f>
        <v/>
      </c>
      <c r="U395" s="37" t="str">
        <f>IF(K395="","",IFERROR(MIN(100,K395/'Input &amp; Settings'!$B$9*100),""))</f>
        <v/>
      </c>
      <c r="V395" s="37" t="str">
        <f>IF(L395="","",IFERROR(MIN(100,L395/'Input &amp; Settings'!$B$10*100),""))</f>
        <v/>
      </c>
      <c r="W395" s="37" t="str">
        <f>IF(M395="","",IFERROR(IF(M395&lt;='Input &amp; Settings'!$B$11,100,MAX(0,100-(M395-'Input &amp; Settings'!$B$11)*20)),""))</f>
        <v/>
      </c>
      <c r="X395" s="37" t="str">
        <f>IF(N395="","",IFERROR(MIN(100,N395/'Input &amp; Settings'!$B$12*100),""))</f>
        <v/>
      </c>
      <c r="Y395" s="37" t="str">
        <f>IF(O395="","",IFERROR(MIN(100,O395/'Input &amp; Settings'!$B$13*100),""))</f>
        <v/>
      </c>
      <c r="Z395" s="37" t="str">
        <f>IF(P395="","",IFERROR(IF(P395&lt;='Input &amp; Settings'!$B$14,100,MAX(0,100-(P395-'Input &amp; Settings'!$B$14)*20)),""))</f>
        <v/>
      </c>
      <c r="AA395" s="37" t="str">
        <f>IF(COUNTA(G395:P395)=0,"",ROUND(Q395*'Input &amp; Settings'!$C$5+R395*'Input &amp; Settings'!$C$6+S395*'Input &amp; Settings'!$C$7+T395*'Input &amp; Settings'!$C$8+U395*'Input &amp; Settings'!$C$9+V395*'Input &amp; Settings'!$C$10+W395*'Input &amp; Settings'!$C$11+X395*'Input &amp; Settings'!$C$12+Y395*'Input &amp; Settings'!$C$13+Z395*'Input &amp; Settings'!$C$14,1))</f>
        <v/>
      </c>
      <c r="AB395" s="38" t="str">
        <f>IF(OR(AA395="",E395=""),"",IFERROR(IF(AA395&gt;=VLOOKUP(E395,'Input &amp; Settings'!$F$5:$K$10,3,FALSE),"Outstanding",IF(AA395&gt;=VLOOKUP(E395,'Input &amp; Settings'!$F$5:$K$10,4,FALSE),"Exceeds Expectations",IF(AA395&gt;=VLOOKUP(E395,'Input &amp; Settings'!$F$5:$K$10,5,FALSE),"Meets Expectations",IF(AA395&gt;=VLOOKUP(E395,'Input &amp; Settings'!$F$5:$K$10,6,FALSE),"Needs Improvement","Performance Improvement Required")))),""))</f>
        <v/>
      </c>
      <c r="AC395" s="38" t="str">
        <f t="shared" si="24"/>
        <v/>
      </c>
      <c r="AD395" s="39"/>
      <c r="AE395" s="40"/>
      <c r="AF395" s="41" t="str">
        <f t="shared" si="25"/>
        <v/>
      </c>
      <c r="AG395" s="42" t="str">
        <f t="shared" si="26"/>
        <v/>
      </c>
      <c r="AH395" s="42" t="str">
        <f t="shared" si="27"/>
        <v>Jose Reyes-Navolskyi (Ivan)|October</v>
      </c>
    </row>
    <row r="396" spans="1:34" hidden="1">
      <c r="A396" s="32">
        <v>2026</v>
      </c>
      <c r="B396" s="32" t="s">
        <v>95</v>
      </c>
      <c r="C396" s="32" t="s">
        <v>36</v>
      </c>
      <c r="D396" s="32" t="s">
        <v>52</v>
      </c>
      <c r="E396" s="33"/>
      <c r="F396" s="34" t="str">
        <f>IF(E396="","",IFERROR(VLOOKUP(E396,'Input &amp; Settings'!$F$5:$G$10,2,FALSE),""))</f>
        <v/>
      </c>
      <c r="G396" s="33"/>
      <c r="H396" s="33"/>
      <c r="I396" s="35"/>
      <c r="J396" s="33"/>
      <c r="K396" s="36"/>
      <c r="L396" s="35"/>
      <c r="M396" s="33"/>
      <c r="N396" s="33"/>
      <c r="O396" s="33"/>
      <c r="P396" s="33"/>
      <c r="Q396" s="37" t="str">
        <f>IF(G396="","",IFERROR(MIN(100,G396/'Input &amp; Settings'!$B$5*100),""))</f>
        <v/>
      </c>
      <c r="R396" s="37" t="str">
        <f>IF(H396="","",IFERROR(MIN(100,H396/'Input &amp; Settings'!$B$6*100),""))</f>
        <v/>
      </c>
      <c r="S396" s="37" t="str">
        <f>IF(I396="","",IFERROR(MIN(100,I396/'Input &amp; Settings'!$B$7*100),""))</f>
        <v/>
      </c>
      <c r="T396" s="37" t="str">
        <f>IF(J396="","",IFERROR(MIN(100,J396/'Input &amp; Settings'!$B$8*100),""))</f>
        <v/>
      </c>
      <c r="U396" s="37" t="str">
        <f>IF(K396="","",IFERROR(MIN(100,K396/'Input &amp; Settings'!$B$9*100),""))</f>
        <v/>
      </c>
      <c r="V396" s="37" t="str">
        <f>IF(L396="","",IFERROR(MIN(100,L396/'Input &amp; Settings'!$B$10*100),""))</f>
        <v/>
      </c>
      <c r="W396" s="37" t="str">
        <f>IF(M396="","",IFERROR(IF(M396&lt;='Input &amp; Settings'!$B$11,100,MAX(0,100-(M396-'Input &amp; Settings'!$B$11)*20)),""))</f>
        <v/>
      </c>
      <c r="X396" s="37" t="str">
        <f>IF(N396="","",IFERROR(MIN(100,N396/'Input &amp; Settings'!$B$12*100),""))</f>
        <v/>
      </c>
      <c r="Y396" s="37" t="str">
        <f>IF(O396="","",IFERROR(MIN(100,O396/'Input &amp; Settings'!$B$13*100),""))</f>
        <v/>
      </c>
      <c r="Z396" s="37" t="str">
        <f>IF(P396="","",IFERROR(IF(P396&lt;='Input &amp; Settings'!$B$14,100,MAX(0,100-(P396-'Input &amp; Settings'!$B$14)*20)),""))</f>
        <v/>
      </c>
      <c r="AA396" s="37" t="str">
        <f>IF(COUNTA(G396:P396)=0,"",ROUND(Q396*'Input &amp; Settings'!$C$5+R396*'Input &amp; Settings'!$C$6+S396*'Input &amp; Settings'!$C$7+T396*'Input &amp; Settings'!$C$8+U396*'Input &amp; Settings'!$C$9+V396*'Input &amp; Settings'!$C$10+W396*'Input &amp; Settings'!$C$11+X396*'Input &amp; Settings'!$C$12+Y396*'Input &amp; Settings'!$C$13+Z396*'Input &amp; Settings'!$C$14,1))</f>
        <v/>
      </c>
      <c r="AB396" s="38" t="str">
        <f>IF(OR(AA396="",E396=""),"",IFERROR(IF(AA396&gt;=VLOOKUP(E396,'Input &amp; Settings'!$F$5:$K$10,3,FALSE),"Outstanding",IF(AA396&gt;=VLOOKUP(E396,'Input &amp; Settings'!$F$5:$K$10,4,FALSE),"Exceeds Expectations",IF(AA396&gt;=VLOOKUP(E396,'Input &amp; Settings'!$F$5:$K$10,5,FALSE),"Meets Expectations",IF(AA396&gt;=VLOOKUP(E396,'Input &amp; Settings'!$F$5:$K$10,6,FALSE),"Needs Improvement","Performance Improvement Required")))),""))</f>
        <v/>
      </c>
      <c r="AC396" s="38" t="str">
        <f t="shared" si="24"/>
        <v/>
      </c>
      <c r="AD396" s="39"/>
      <c r="AE396" s="40"/>
      <c r="AF396" s="41" t="str">
        <f t="shared" si="25"/>
        <v/>
      </c>
      <c r="AG396" s="42" t="str">
        <f t="shared" si="26"/>
        <v/>
      </c>
      <c r="AH396" s="42" t="str">
        <f t="shared" si="27"/>
        <v>Jonathan Davila|October</v>
      </c>
    </row>
    <row r="397" spans="1:34" hidden="1">
      <c r="A397" s="32">
        <v>2026</v>
      </c>
      <c r="B397" s="32" t="s">
        <v>95</v>
      </c>
      <c r="C397" s="32" t="s">
        <v>53</v>
      </c>
      <c r="D397" s="32" t="s">
        <v>54</v>
      </c>
      <c r="E397" s="33"/>
      <c r="F397" s="34" t="str">
        <f>IF(E397="","",IFERROR(VLOOKUP(E397,'Input &amp; Settings'!$F$5:$G$10,2,FALSE),""))</f>
        <v/>
      </c>
      <c r="G397" s="33"/>
      <c r="H397" s="33"/>
      <c r="I397" s="35"/>
      <c r="J397" s="33"/>
      <c r="K397" s="36"/>
      <c r="L397" s="35"/>
      <c r="M397" s="33"/>
      <c r="N397" s="33"/>
      <c r="O397" s="33"/>
      <c r="P397" s="33"/>
      <c r="Q397" s="37" t="str">
        <f>IF(G397="","",IFERROR(MIN(100,G397/'Input &amp; Settings'!$B$5*100),""))</f>
        <v/>
      </c>
      <c r="R397" s="37" t="str">
        <f>IF(H397="","",IFERROR(MIN(100,H397/'Input &amp; Settings'!$B$6*100),""))</f>
        <v/>
      </c>
      <c r="S397" s="37" t="str">
        <f>IF(I397="","",IFERROR(MIN(100,I397/'Input &amp; Settings'!$B$7*100),""))</f>
        <v/>
      </c>
      <c r="T397" s="37" t="str">
        <f>IF(J397="","",IFERROR(MIN(100,J397/'Input &amp; Settings'!$B$8*100),""))</f>
        <v/>
      </c>
      <c r="U397" s="37" t="str">
        <f>IF(K397="","",IFERROR(MIN(100,K397/'Input &amp; Settings'!$B$9*100),""))</f>
        <v/>
      </c>
      <c r="V397" s="37" t="str">
        <f>IF(L397="","",IFERROR(MIN(100,L397/'Input &amp; Settings'!$B$10*100),""))</f>
        <v/>
      </c>
      <c r="W397" s="37" t="str">
        <f>IF(M397="","",IFERROR(IF(M397&lt;='Input &amp; Settings'!$B$11,100,MAX(0,100-(M397-'Input &amp; Settings'!$B$11)*20)),""))</f>
        <v/>
      </c>
      <c r="X397" s="37" t="str">
        <f>IF(N397="","",IFERROR(MIN(100,N397/'Input &amp; Settings'!$B$12*100),""))</f>
        <v/>
      </c>
      <c r="Y397" s="37" t="str">
        <f>IF(O397="","",IFERROR(MIN(100,O397/'Input &amp; Settings'!$B$13*100),""))</f>
        <v/>
      </c>
      <c r="Z397" s="37" t="str">
        <f>IF(P397="","",IFERROR(IF(P397&lt;='Input &amp; Settings'!$B$14,100,MAX(0,100-(P397-'Input &amp; Settings'!$B$14)*20)),""))</f>
        <v/>
      </c>
      <c r="AA397" s="37" t="str">
        <f>IF(COUNTA(G397:P397)=0,"",ROUND(Q397*'Input &amp; Settings'!$C$5+R397*'Input &amp; Settings'!$C$6+S397*'Input &amp; Settings'!$C$7+T397*'Input &amp; Settings'!$C$8+U397*'Input &amp; Settings'!$C$9+V397*'Input &amp; Settings'!$C$10+W397*'Input &amp; Settings'!$C$11+X397*'Input &amp; Settings'!$C$12+Y397*'Input &amp; Settings'!$C$13+Z397*'Input &amp; Settings'!$C$14,1))</f>
        <v/>
      </c>
      <c r="AB397" s="38" t="str">
        <f>IF(OR(AA397="",E397=""),"",IFERROR(IF(AA397&gt;=VLOOKUP(E397,'Input &amp; Settings'!$F$5:$K$10,3,FALSE),"Outstanding",IF(AA397&gt;=VLOOKUP(E397,'Input &amp; Settings'!$F$5:$K$10,4,FALSE),"Exceeds Expectations",IF(AA397&gt;=VLOOKUP(E397,'Input &amp; Settings'!$F$5:$K$10,5,FALSE),"Meets Expectations",IF(AA397&gt;=VLOOKUP(E397,'Input &amp; Settings'!$F$5:$K$10,6,FALSE),"Needs Improvement","Performance Improvement Required")))),""))</f>
        <v/>
      </c>
      <c r="AC397" s="38" t="str">
        <f t="shared" si="24"/>
        <v/>
      </c>
      <c r="AD397" s="39"/>
      <c r="AE397" s="40"/>
      <c r="AF397" s="41" t="str">
        <f t="shared" si="25"/>
        <v/>
      </c>
      <c r="AG397" s="42" t="str">
        <f t="shared" si="26"/>
        <v/>
      </c>
      <c r="AH397" s="42" t="str">
        <f t="shared" si="27"/>
        <v>Kevin Luburd|October</v>
      </c>
    </row>
    <row r="398" spans="1:34" hidden="1">
      <c r="A398" s="32">
        <v>2026</v>
      </c>
      <c r="B398" s="32" t="s">
        <v>95</v>
      </c>
      <c r="C398" s="32" t="s">
        <v>53</v>
      </c>
      <c r="D398" s="32" t="s">
        <v>55</v>
      </c>
      <c r="E398" s="33"/>
      <c r="F398" s="34" t="str">
        <f>IF(E398="","",IFERROR(VLOOKUP(E398,'Input &amp; Settings'!$F$5:$G$10,2,FALSE),""))</f>
        <v/>
      </c>
      <c r="G398" s="33"/>
      <c r="H398" s="33"/>
      <c r="I398" s="35"/>
      <c r="J398" s="33"/>
      <c r="K398" s="36"/>
      <c r="L398" s="35"/>
      <c r="M398" s="33"/>
      <c r="N398" s="33"/>
      <c r="O398" s="33"/>
      <c r="P398" s="33"/>
      <c r="Q398" s="37" t="str">
        <f>IF(G398="","",IFERROR(MIN(100,G398/'Input &amp; Settings'!$B$5*100),""))</f>
        <v/>
      </c>
      <c r="R398" s="37" t="str">
        <f>IF(H398="","",IFERROR(MIN(100,H398/'Input &amp; Settings'!$B$6*100),""))</f>
        <v/>
      </c>
      <c r="S398" s="37" t="str">
        <f>IF(I398="","",IFERROR(MIN(100,I398/'Input &amp; Settings'!$B$7*100),""))</f>
        <v/>
      </c>
      <c r="T398" s="37" t="str">
        <f>IF(J398="","",IFERROR(MIN(100,J398/'Input &amp; Settings'!$B$8*100),""))</f>
        <v/>
      </c>
      <c r="U398" s="37" t="str">
        <f>IF(K398="","",IFERROR(MIN(100,K398/'Input &amp; Settings'!$B$9*100),""))</f>
        <v/>
      </c>
      <c r="V398" s="37" t="str">
        <f>IF(L398="","",IFERROR(MIN(100,L398/'Input &amp; Settings'!$B$10*100),""))</f>
        <v/>
      </c>
      <c r="W398" s="37" t="str">
        <f>IF(M398="","",IFERROR(IF(M398&lt;='Input &amp; Settings'!$B$11,100,MAX(0,100-(M398-'Input &amp; Settings'!$B$11)*20)),""))</f>
        <v/>
      </c>
      <c r="X398" s="37" t="str">
        <f>IF(N398="","",IFERROR(MIN(100,N398/'Input &amp; Settings'!$B$12*100),""))</f>
        <v/>
      </c>
      <c r="Y398" s="37" t="str">
        <f>IF(O398="","",IFERROR(MIN(100,O398/'Input &amp; Settings'!$B$13*100),""))</f>
        <v/>
      </c>
      <c r="Z398" s="37" t="str">
        <f>IF(P398="","",IFERROR(IF(P398&lt;='Input &amp; Settings'!$B$14,100,MAX(0,100-(P398-'Input &amp; Settings'!$B$14)*20)),""))</f>
        <v/>
      </c>
      <c r="AA398" s="37" t="str">
        <f>IF(COUNTA(G398:P398)=0,"",ROUND(Q398*'Input &amp; Settings'!$C$5+R398*'Input &amp; Settings'!$C$6+S398*'Input &amp; Settings'!$C$7+T398*'Input &amp; Settings'!$C$8+U398*'Input &amp; Settings'!$C$9+V398*'Input &amp; Settings'!$C$10+W398*'Input &amp; Settings'!$C$11+X398*'Input &amp; Settings'!$C$12+Y398*'Input &amp; Settings'!$C$13+Z398*'Input &amp; Settings'!$C$14,1))</f>
        <v/>
      </c>
      <c r="AB398" s="38" t="str">
        <f>IF(OR(AA398="",E398=""),"",IFERROR(IF(AA398&gt;=VLOOKUP(E398,'Input &amp; Settings'!$F$5:$K$10,3,FALSE),"Outstanding",IF(AA398&gt;=VLOOKUP(E398,'Input &amp; Settings'!$F$5:$K$10,4,FALSE),"Exceeds Expectations",IF(AA398&gt;=VLOOKUP(E398,'Input &amp; Settings'!$F$5:$K$10,5,FALSE),"Meets Expectations",IF(AA398&gt;=VLOOKUP(E398,'Input &amp; Settings'!$F$5:$K$10,6,FALSE),"Needs Improvement","Performance Improvement Required")))),""))</f>
        <v/>
      </c>
      <c r="AC398" s="38" t="str">
        <f t="shared" si="24"/>
        <v/>
      </c>
      <c r="AD398" s="39"/>
      <c r="AE398" s="40"/>
      <c r="AF398" s="41" t="str">
        <f t="shared" si="25"/>
        <v/>
      </c>
      <c r="AG398" s="42" t="str">
        <f t="shared" si="26"/>
        <v/>
      </c>
      <c r="AH398" s="42" t="str">
        <f t="shared" si="27"/>
        <v>Anthony Thompson|October</v>
      </c>
    </row>
    <row r="399" spans="1:34" hidden="1">
      <c r="A399" s="32">
        <v>2026</v>
      </c>
      <c r="B399" s="32" t="s">
        <v>95</v>
      </c>
      <c r="C399" s="32" t="s">
        <v>53</v>
      </c>
      <c r="D399" s="32" t="s">
        <v>56</v>
      </c>
      <c r="E399" s="33"/>
      <c r="F399" s="34" t="str">
        <f>IF(E399="","",IFERROR(VLOOKUP(E399,'Input &amp; Settings'!$F$5:$G$10,2,FALSE),""))</f>
        <v/>
      </c>
      <c r="G399" s="33"/>
      <c r="H399" s="33"/>
      <c r="I399" s="35"/>
      <c r="J399" s="33"/>
      <c r="K399" s="36"/>
      <c r="L399" s="35"/>
      <c r="M399" s="33"/>
      <c r="N399" s="33"/>
      <c r="O399" s="33"/>
      <c r="P399" s="33"/>
      <c r="Q399" s="37" t="str">
        <f>IF(G399="","",IFERROR(MIN(100,G399/'Input &amp; Settings'!$B$5*100),""))</f>
        <v/>
      </c>
      <c r="R399" s="37" t="str">
        <f>IF(H399="","",IFERROR(MIN(100,H399/'Input &amp; Settings'!$B$6*100),""))</f>
        <v/>
      </c>
      <c r="S399" s="37" t="str">
        <f>IF(I399="","",IFERROR(MIN(100,I399/'Input &amp; Settings'!$B$7*100),""))</f>
        <v/>
      </c>
      <c r="T399" s="37" t="str">
        <f>IF(J399="","",IFERROR(MIN(100,J399/'Input &amp; Settings'!$B$8*100),""))</f>
        <v/>
      </c>
      <c r="U399" s="37" t="str">
        <f>IF(K399="","",IFERROR(MIN(100,K399/'Input &amp; Settings'!$B$9*100),""))</f>
        <v/>
      </c>
      <c r="V399" s="37" t="str">
        <f>IF(L399="","",IFERROR(MIN(100,L399/'Input &amp; Settings'!$B$10*100),""))</f>
        <v/>
      </c>
      <c r="W399" s="37" t="str">
        <f>IF(M399="","",IFERROR(IF(M399&lt;='Input &amp; Settings'!$B$11,100,MAX(0,100-(M399-'Input &amp; Settings'!$B$11)*20)),""))</f>
        <v/>
      </c>
      <c r="X399" s="37" t="str">
        <f>IF(N399="","",IFERROR(MIN(100,N399/'Input &amp; Settings'!$B$12*100),""))</f>
        <v/>
      </c>
      <c r="Y399" s="37" t="str">
        <f>IF(O399="","",IFERROR(MIN(100,O399/'Input &amp; Settings'!$B$13*100),""))</f>
        <v/>
      </c>
      <c r="Z399" s="37" t="str">
        <f>IF(P399="","",IFERROR(IF(P399&lt;='Input &amp; Settings'!$B$14,100,MAX(0,100-(P399-'Input &amp; Settings'!$B$14)*20)),""))</f>
        <v/>
      </c>
      <c r="AA399" s="37" t="str">
        <f>IF(COUNTA(G399:P399)=0,"",ROUND(Q399*'Input &amp; Settings'!$C$5+R399*'Input &amp; Settings'!$C$6+S399*'Input &amp; Settings'!$C$7+T399*'Input &amp; Settings'!$C$8+U399*'Input &amp; Settings'!$C$9+V399*'Input &amp; Settings'!$C$10+W399*'Input &amp; Settings'!$C$11+X399*'Input &amp; Settings'!$C$12+Y399*'Input &amp; Settings'!$C$13+Z399*'Input &amp; Settings'!$C$14,1))</f>
        <v/>
      </c>
      <c r="AB399" s="38" t="str">
        <f>IF(OR(AA399="",E399=""),"",IFERROR(IF(AA399&gt;=VLOOKUP(E399,'Input &amp; Settings'!$F$5:$K$10,3,FALSE),"Outstanding",IF(AA399&gt;=VLOOKUP(E399,'Input &amp; Settings'!$F$5:$K$10,4,FALSE),"Exceeds Expectations",IF(AA399&gt;=VLOOKUP(E399,'Input &amp; Settings'!$F$5:$K$10,5,FALSE),"Meets Expectations",IF(AA399&gt;=VLOOKUP(E399,'Input &amp; Settings'!$F$5:$K$10,6,FALSE),"Needs Improvement","Performance Improvement Required")))),""))</f>
        <v/>
      </c>
      <c r="AC399" s="38" t="str">
        <f t="shared" si="24"/>
        <v/>
      </c>
      <c r="AD399" s="39"/>
      <c r="AE399" s="40"/>
      <c r="AF399" s="41" t="str">
        <f t="shared" si="25"/>
        <v/>
      </c>
      <c r="AG399" s="42" t="str">
        <f t="shared" si="26"/>
        <v/>
      </c>
      <c r="AH399" s="42" t="str">
        <f t="shared" si="27"/>
        <v>Shamar Modeste|October</v>
      </c>
    </row>
    <row r="400" spans="1:34" hidden="1">
      <c r="A400" s="32">
        <v>2026</v>
      </c>
      <c r="B400" s="32" t="s">
        <v>95</v>
      </c>
      <c r="C400" s="32" t="s">
        <v>53</v>
      </c>
      <c r="D400" s="32" t="s">
        <v>57</v>
      </c>
      <c r="E400" s="33"/>
      <c r="F400" s="34" t="str">
        <f>IF(E400="","",IFERROR(VLOOKUP(E400,'Input &amp; Settings'!$F$5:$G$10,2,FALSE),""))</f>
        <v/>
      </c>
      <c r="G400" s="33"/>
      <c r="H400" s="33"/>
      <c r="I400" s="35"/>
      <c r="J400" s="33"/>
      <c r="K400" s="36"/>
      <c r="L400" s="35"/>
      <c r="M400" s="33"/>
      <c r="N400" s="33"/>
      <c r="O400" s="33"/>
      <c r="P400" s="33"/>
      <c r="Q400" s="37" t="str">
        <f>IF(G400="","",IFERROR(MIN(100,G400/'Input &amp; Settings'!$B$5*100),""))</f>
        <v/>
      </c>
      <c r="R400" s="37" t="str">
        <f>IF(H400="","",IFERROR(MIN(100,H400/'Input &amp; Settings'!$B$6*100),""))</f>
        <v/>
      </c>
      <c r="S400" s="37" t="str">
        <f>IF(I400="","",IFERROR(MIN(100,I400/'Input &amp; Settings'!$B$7*100),""))</f>
        <v/>
      </c>
      <c r="T400" s="37" t="str">
        <f>IF(J400="","",IFERROR(MIN(100,J400/'Input &amp; Settings'!$B$8*100),""))</f>
        <v/>
      </c>
      <c r="U400" s="37" t="str">
        <f>IF(K400="","",IFERROR(MIN(100,K400/'Input &amp; Settings'!$B$9*100),""))</f>
        <v/>
      </c>
      <c r="V400" s="37" t="str">
        <f>IF(L400="","",IFERROR(MIN(100,L400/'Input &amp; Settings'!$B$10*100),""))</f>
        <v/>
      </c>
      <c r="W400" s="37" t="str">
        <f>IF(M400="","",IFERROR(IF(M400&lt;='Input &amp; Settings'!$B$11,100,MAX(0,100-(M400-'Input &amp; Settings'!$B$11)*20)),""))</f>
        <v/>
      </c>
      <c r="X400" s="37" t="str">
        <f>IF(N400="","",IFERROR(MIN(100,N400/'Input &amp; Settings'!$B$12*100),""))</f>
        <v/>
      </c>
      <c r="Y400" s="37" t="str">
        <f>IF(O400="","",IFERROR(MIN(100,O400/'Input &amp; Settings'!$B$13*100),""))</f>
        <v/>
      </c>
      <c r="Z400" s="37" t="str">
        <f>IF(P400="","",IFERROR(IF(P400&lt;='Input &amp; Settings'!$B$14,100,MAX(0,100-(P400-'Input &amp; Settings'!$B$14)*20)),""))</f>
        <v/>
      </c>
      <c r="AA400" s="37" t="str">
        <f>IF(COUNTA(G400:P400)=0,"",ROUND(Q400*'Input &amp; Settings'!$C$5+R400*'Input &amp; Settings'!$C$6+S400*'Input &amp; Settings'!$C$7+T400*'Input &amp; Settings'!$C$8+U400*'Input &amp; Settings'!$C$9+V400*'Input &amp; Settings'!$C$10+W400*'Input &amp; Settings'!$C$11+X400*'Input &amp; Settings'!$C$12+Y400*'Input &amp; Settings'!$C$13+Z400*'Input &amp; Settings'!$C$14,1))</f>
        <v/>
      </c>
      <c r="AB400" s="38" t="str">
        <f>IF(OR(AA400="",E400=""),"",IFERROR(IF(AA400&gt;=VLOOKUP(E400,'Input &amp; Settings'!$F$5:$K$10,3,FALSE),"Outstanding",IF(AA400&gt;=VLOOKUP(E400,'Input &amp; Settings'!$F$5:$K$10,4,FALSE),"Exceeds Expectations",IF(AA400&gt;=VLOOKUP(E400,'Input &amp; Settings'!$F$5:$K$10,5,FALSE),"Meets Expectations",IF(AA400&gt;=VLOOKUP(E400,'Input &amp; Settings'!$F$5:$K$10,6,FALSE),"Needs Improvement","Performance Improvement Required")))),""))</f>
        <v/>
      </c>
      <c r="AC400" s="38" t="str">
        <f t="shared" si="24"/>
        <v/>
      </c>
      <c r="AD400" s="39"/>
      <c r="AE400" s="40"/>
      <c r="AF400" s="41" t="str">
        <f t="shared" si="25"/>
        <v/>
      </c>
      <c r="AG400" s="42" t="str">
        <f t="shared" si="26"/>
        <v/>
      </c>
      <c r="AH400" s="42" t="str">
        <f t="shared" si="27"/>
        <v>Steven Morejon|October</v>
      </c>
    </row>
    <row r="401" spans="1:34" hidden="1">
      <c r="A401" s="32">
        <v>2026</v>
      </c>
      <c r="B401" s="32" t="s">
        <v>95</v>
      </c>
      <c r="C401" s="32" t="s">
        <v>53</v>
      </c>
      <c r="D401" s="32" t="s">
        <v>58</v>
      </c>
      <c r="E401" s="33"/>
      <c r="F401" s="34" t="str">
        <f>IF(E401="","",IFERROR(VLOOKUP(E401,'Input &amp; Settings'!$F$5:$G$10,2,FALSE),""))</f>
        <v/>
      </c>
      <c r="G401" s="33"/>
      <c r="H401" s="33"/>
      <c r="I401" s="35"/>
      <c r="J401" s="33"/>
      <c r="K401" s="36"/>
      <c r="L401" s="35"/>
      <c r="M401" s="33"/>
      <c r="N401" s="33"/>
      <c r="O401" s="33"/>
      <c r="P401" s="33"/>
      <c r="Q401" s="37" t="str">
        <f>IF(G401="","",IFERROR(MIN(100,G401/'Input &amp; Settings'!$B$5*100),""))</f>
        <v/>
      </c>
      <c r="R401" s="37" t="str">
        <f>IF(H401="","",IFERROR(MIN(100,H401/'Input &amp; Settings'!$B$6*100),""))</f>
        <v/>
      </c>
      <c r="S401" s="37" t="str">
        <f>IF(I401="","",IFERROR(MIN(100,I401/'Input &amp; Settings'!$B$7*100),""))</f>
        <v/>
      </c>
      <c r="T401" s="37" t="str">
        <f>IF(J401="","",IFERROR(MIN(100,J401/'Input &amp; Settings'!$B$8*100),""))</f>
        <v/>
      </c>
      <c r="U401" s="37" t="str">
        <f>IF(K401="","",IFERROR(MIN(100,K401/'Input &amp; Settings'!$B$9*100),""))</f>
        <v/>
      </c>
      <c r="V401" s="37" t="str">
        <f>IF(L401="","",IFERROR(MIN(100,L401/'Input &amp; Settings'!$B$10*100),""))</f>
        <v/>
      </c>
      <c r="W401" s="37" t="str">
        <f>IF(M401="","",IFERROR(IF(M401&lt;='Input &amp; Settings'!$B$11,100,MAX(0,100-(M401-'Input &amp; Settings'!$B$11)*20)),""))</f>
        <v/>
      </c>
      <c r="X401" s="37" t="str">
        <f>IF(N401="","",IFERROR(MIN(100,N401/'Input &amp; Settings'!$B$12*100),""))</f>
        <v/>
      </c>
      <c r="Y401" s="37" t="str">
        <f>IF(O401="","",IFERROR(MIN(100,O401/'Input &amp; Settings'!$B$13*100),""))</f>
        <v/>
      </c>
      <c r="Z401" s="37" t="str">
        <f>IF(P401="","",IFERROR(IF(P401&lt;='Input &amp; Settings'!$B$14,100,MAX(0,100-(P401-'Input &amp; Settings'!$B$14)*20)),""))</f>
        <v/>
      </c>
      <c r="AA401" s="37" t="str">
        <f>IF(COUNTA(G401:P401)=0,"",ROUND(Q401*'Input &amp; Settings'!$C$5+R401*'Input &amp; Settings'!$C$6+S401*'Input &amp; Settings'!$C$7+T401*'Input &amp; Settings'!$C$8+U401*'Input &amp; Settings'!$C$9+V401*'Input &amp; Settings'!$C$10+W401*'Input &amp; Settings'!$C$11+X401*'Input &amp; Settings'!$C$12+Y401*'Input &amp; Settings'!$C$13+Z401*'Input &amp; Settings'!$C$14,1))</f>
        <v/>
      </c>
      <c r="AB401" s="38" t="str">
        <f>IF(OR(AA401="",E401=""),"",IFERROR(IF(AA401&gt;=VLOOKUP(E401,'Input &amp; Settings'!$F$5:$K$10,3,FALSE),"Outstanding",IF(AA401&gt;=VLOOKUP(E401,'Input &amp; Settings'!$F$5:$K$10,4,FALSE),"Exceeds Expectations",IF(AA401&gt;=VLOOKUP(E401,'Input &amp; Settings'!$F$5:$K$10,5,FALSE),"Meets Expectations",IF(AA401&gt;=VLOOKUP(E401,'Input &amp; Settings'!$F$5:$K$10,6,FALSE),"Needs Improvement","Performance Improvement Required")))),""))</f>
        <v/>
      </c>
      <c r="AC401" s="38" t="str">
        <f t="shared" si="24"/>
        <v/>
      </c>
      <c r="AD401" s="39"/>
      <c r="AE401" s="40"/>
      <c r="AF401" s="41" t="str">
        <f t="shared" si="25"/>
        <v/>
      </c>
      <c r="AG401" s="42" t="str">
        <f t="shared" si="26"/>
        <v/>
      </c>
      <c r="AH401" s="42" t="str">
        <f t="shared" si="27"/>
        <v>Nicolas Abello|October</v>
      </c>
    </row>
    <row r="402" spans="1:34" hidden="1">
      <c r="A402" s="32">
        <v>2026</v>
      </c>
      <c r="B402" s="32" t="s">
        <v>95</v>
      </c>
      <c r="C402" s="32" t="s">
        <v>53</v>
      </c>
      <c r="D402" s="32" t="s">
        <v>59</v>
      </c>
      <c r="E402" s="33"/>
      <c r="F402" s="34" t="str">
        <f>IF(E402="","",IFERROR(VLOOKUP(E402,'Input &amp; Settings'!$F$5:$G$10,2,FALSE),""))</f>
        <v/>
      </c>
      <c r="G402" s="33"/>
      <c r="H402" s="33"/>
      <c r="I402" s="35"/>
      <c r="J402" s="33"/>
      <c r="K402" s="36"/>
      <c r="L402" s="35"/>
      <c r="M402" s="33"/>
      <c r="N402" s="33"/>
      <c r="O402" s="33"/>
      <c r="P402" s="33"/>
      <c r="Q402" s="37" t="str">
        <f>IF(G402="","",IFERROR(MIN(100,G402/'Input &amp; Settings'!$B$5*100),""))</f>
        <v/>
      </c>
      <c r="R402" s="37" t="str">
        <f>IF(H402="","",IFERROR(MIN(100,H402/'Input &amp; Settings'!$B$6*100),""))</f>
        <v/>
      </c>
      <c r="S402" s="37" t="str">
        <f>IF(I402="","",IFERROR(MIN(100,I402/'Input &amp; Settings'!$B$7*100),""))</f>
        <v/>
      </c>
      <c r="T402" s="37" t="str">
        <f>IF(J402="","",IFERROR(MIN(100,J402/'Input &amp; Settings'!$B$8*100),""))</f>
        <v/>
      </c>
      <c r="U402" s="37" t="str">
        <f>IF(K402="","",IFERROR(MIN(100,K402/'Input &amp; Settings'!$B$9*100),""))</f>
        <v/>
      </c>
      <c r="V402" s="37" t="str">
        <f>IF(L402="","",IFERROR(MIN(100,L402/'Input &amp; Settings'!$B$10*100),""))</f>
        <v/>
      </c>
      <c r="W402" s="37" t="str">
        <f>IF(M402="","",IFERROR(IF(M402&lt;='Input &amp; Settings'!$B$11,100,MAX(0,100-(M402-'Input &amp; Settings'!$B$11)*20)),""))</f>
        <v/>
      </c>
      <c r="X402" s="37" t="str">
        <f>IF(N402="","",IFERROR(MIN(100,N402/'Input &amp; Settings'!$B$12*100),""))</f>
        <v/>
      </c>
      <c r="Y402" s="37" t="str">
        <f>IF(O402="","",IFERROR(MIN(100,O402/'Input &amp; Settings'!$B$13*100),""))</f>
        <v/>
      </c>
      <c r="Z402" s="37" t="str">
        <f>IF(P402="","",IFERROR(IF(P402&lt;='Input &amp; Settings'!$B$14,100,MAX(0,100-(P402-'Input &amp; Settings'!$B$14)*20)),""))</f>
        <v/>
      </c>
      <c r="AA402" s="37" t="str">
        <f>IF(COUNTA(G402:P402)=0,"",ROUND(Q402*'Input &amp; Settings'!$C$5+R402*'Input &amp; Settings'!$C$6+S402*'Input &amp; Settings'!$C$7+T402*'Input &amp; Settings'!$C$8+U402*'Input &amp; Settings'!$C$9+V402*'Input &amp; Settings'!$C$10+W402*'Input &amp; Settings'!$C$11+X402*'Input &amp; Settings'!$C$12+Y402*'Input &amp; Settings'!$C$13+Z402*'Input &amp; Settings'!$C$14,1))</f>
        <v/>
      </c>
      <c r="AB402" s="38" t="str">
        <f>IF(OR(AA402="",E402=""),"",IFERROR(IF(AA402&gt;=VLOOKUP(E402,'Input &amp; Settings'!$F$5:$K$10,3,FALSE),"Outstanding",IF(AA402&gt;=VLOOKUP(E402,'Input &amp; Settings'!$F$5:$K$10,4,FALSE),"Exceeds Expectations",IF(AA402&gt;=VLOOKUP(E402,'Input &amp; Settings'!$F$5:$K$10,5,FALSE),"Meets Expectations",IF(AA402&gt;=VLOOKUP(E402,'Input &amp; Settings'!$F$5:$K$10,6,FALSE),"Needs Improvement","Performance Improvement Required")))),""))</f>
        <v/>
      </c>
      <c r="AC402" s="38" t="str">
        <f t="shared" si="24"/>
        <v/>
      </c>
      <c r="AD402" s="39"/>
      <c r="AE402" s="40"/>
      <c r="AF402" s="41" t="str">
        <f t="shared" si="25"/>
        <v/>
      </c>
      <c r="AG402" s="42" t="str">
        <f t="shared" si="26"/>
        <v/>
      </c>
      <c r="AH402" s="42" t="str">
        <f t="shared" si="27"/>
        <v>Carlos Espinosa|October</v>
      </c>
    </row>
    <row r="403" spans="1:34" hidden="1">
      <c r="A403" s="32">
        <v>2026</v>
      </c>
      <c r="B403" s="32" t="s">
        <v>95</v>
      </c>
      <c r="C403" s="32" t="s">
        <v>53</v>
      </c>
      <c r="D403" s="32" t="s">
        <v>60</v>
      </c>
      <c r="E403" s="33"/>
      <c r="F403" s="34" t="str">
        <f>IF(E403="","",IFERROR(VLOOKUP(E403,'Input &amp; Settings'!$F$5:$G$10,2,FALSE),""))</f>
        <v/>
      </c>
      <c r="G403" s="33"/>
      <c r="H403" s="33"/>
      <c r="I403" s="35"/>
      <c r="J403" s="33"/>
      <c r="K403" s="36"/>
      <c r="L403" s="35"/>
      <c r="M403" s="33"/>
      <c r="N403" s="33"/>
      <c r="O403" s="33"/>
      <c r="P403" s="33"/>
      <c r="Q403" s="37" t="str">
        <f>IF(G403="","",IFERROR(MIN(100,G403/'Input &amp; Settings'!$B$5*100),""))</f>
        <v/>
      </c>
      <c r="R403" s="37" t="str">
        <f>IF(H403="","",IFERROR(MIN(100,H403/'Input &amp; Settings'!$B$6*100),""))</f>
        <v/>
      </c>
      <c r="S403" s="37" t="str">
        <f>IF(I403="","",IFERROR(MIN(100,I403/'Input &amp; Settings'!$B$7*100),""))</f>
        <v/>
      </c>
      <c r="T403" s="37" t="str">
        <f>IF(J403="","",IFERROR(MIN(100,J403/'Input &amp; Settings'!$B$8*100),""))</f>
        <v/>
      </c>
      <c r="U403" s="37" t="str">
        <f>IF(K403="","",IFERROR(MIN(100,K403/'Input &amp; Settings'!$B$9*100),""))</f>
        <v/>
      </c>
      <c r="V403" s="37" t="str">
        <f>IF(L403="","",IFERROR(MIN(100,L403/'Input &amp; Settings'!$B$10*100),""))</f>
        <v/>
      </c>
      <c r="W403" s="37" t="str">
        <f>IF(M403="","",IFERROR(IF(M403&lt;='Input &amp; Settings'!$B$11,100,MAX(0,100-(M403-'Input &amp; Settings'!$B$11)*20)),""))</f>
        <v/>
      </c>
      <c r="X403" s="37" t="str">
        <f>IF(N403="","",IFERROR(MIN(100,N403/'Input &amp; Settings'!$B$12*100),""))</f>
        <v/>
      </c>
      <c r="Y403" s="37" t="str">
        <f>IF(O403="","",IFERROR(MIN(100,O403/'Input &amp; Settings'!$B$13*100),""))</f>
        <v/>
      </c>
      <c r="Z403" s="37" t="str">
        <f>IF(P403="","",IFERROR(IF(P403&lt;='Input &amp; Settings'!$B$14,100,MAX(0,100-(P403-'Input &amp; Settings'!$B$14)*20)),""))</f>
        <v/>
      </c>
      <c r="AA403" s="37" t="str">
        <f>IF(COUNTA(G403:P403)=0,"",ROUND(Q403*'Input &amp; Settings'!$C$5+R403*'Input &amp; Settings'!$C$6+S403*'Input &amp; Settings'!$C$7+T403*'Input &amp; Settings'!$C$8+U403*'Input &amp; Settings'!$C$9+V403*'Input &amp; Settings'!$C$10+W403*'Input &amp; Settings'!$C$11+X403*'Input &amp; Settings'!$C$12+Y403*'Input &amp; Settings'!$C$13+Z403*'Input &amp; Settings'!$C$14,1))</f>
        <v/>
      </c>
      <c r="AB403" s="38" t="str">
        <f>IF(OR(AA403="",E403=""),"",IFERROR(IF(AA403&gt;=VLOOKUP(E403,'Input &amp; Settings'!$F$5:$K$10,3,FALSE),"Outstanding",IF(AA403&gt;=VLOOKUP(E403,'Input &amp; Settings'!$F$5:$K$10,4,FALSE),"Exceeds Expectations",IF(AA403&gt;=VLOOKUP(E403,'Input &amp; Settings'!$F$5:$K$10,5,FALSE),"Meets Expectations",IF(AA403&gt;=VLOOKUP(E403,'Input &amp; Settings'!$F$5:$K$10,6,FALSE),"Needs Improvement","Performance Improvement Required")))),""))</f>
        <v/>
      </c>
      <c r="AC403" s="38" t="str">
        <f t="shared" si="24"/>
        <v/>
      </c>
      <c r="AD403" s="39"/>
      <c r="AE403" s="40"/>
      <c r="AF403" s="41" t="str">
        <f t="shared" si="25"/>
        <v/>
      </c>
      <c r="AG403" s="42" t="str">
        <f t="shared" si="26"/>
        <v/>
      </c>
      <c r="AH403" s="42" t="str">
        <f t="shared" si="27"/>
        <v>Fernando Barbera - Boyer|October</v>
      </c>
    </row>
    <row r="404" spans="1:34" hidden="1">
      <c r="A404" s="32">
        <v>2026</v>
      </c>
      <c r="B404" s="32" t="s">
        <v>95</v>
      </c>
      <c r="C404" s="32" t="s">
        <v>53</v>
      </c>
      <c r="D404" s="32" t="s">
        <v>61</v>
      </c>
      <c r="E404" s="33"/>
      <c r="F404" s="34" t="str">
        <f>IF(E404="","",IFERROR(VLOOKUP(E404,'Input &amp; Settings'!$F$5:$G$10,2,FALSE),""))</f>
        <v/>
      </c>
      <c r="G404" s="33"/>
      <c r="H404" s="33"/>
      <c r="I404" s="35"/>
      <c r="J404" s="33"/>
      <c r="K404" s="36"/>
      <c r="L404" s="35"/>
      <c r="M404" s="33"/>
      <c r="N404" s="33"/>
      <c r="O404" s="33"/>
      <c r="P404" s="33"/>
      <c r="Q404" s="37" t="str">
        <f>IF(G404="","",IFERROR(MIN(100,G404/'Input &amp; Settings'!$B$5*100),""))</f>
        <v/>
      </c>
      <c r="R404" s="37" t="str">
        <f>IF(H404="","",IFERROR(MIN(100,H404/'Input &amp; Settings'!$B$6*100),""))</f>
        <v/>
      </c>
      <c r="S404" s="37" t="str">
        <f>IF(I404="","",IFERROR(MIN(100,I404/'Input &amp; Settings'!$B$7*100),""))</f>
        <v/>
      </c>
      <c r="T404" s="37" t="str">
        <f>IF(J404="","",IFERROR(MIN(100,J404/'Input &amp; Settings'!$B$8*100),""))</f>
        <v/>
      </c>
      <c r="U404" s="37" t="str">
        <f>IF(K404="","",IFERROR(MIN(100,K404/'Input &amp; Settings'!$B$9*100),""))</f>
        <v/>
      </c>
      <c r="V404" s="37" t="str">
        <f>IF(L404="","",IFERROR(MIN(100,L404/'Input &amp; Settings'!$B$10*100),""))</f>
        <v/>
      </c>
      <c r="W404" s="37" t="str">
        <f>IF(M404="","",IFERROR(IF(M404&lt;='Input &amp; Settings'!$B$11,100,MAX(0,100-(M404-'Input &amp; Settings'!$B$11)*20)),""))</f>
        <v/>
      </c>
      <c r="X404" s="37" t="str">
        <f>IF(N404="","",IFERROR(MIN(100,N404/'Input &amp; Settings'!$B$12*100),""))</f>
        <v/>
      </c>
      <c r="Y404" s="37" t="str">
        <f>IF(O404="","",IFERROR(MIN(100,O404/'Input &amp; Settings'!$B$13*100),""))</f>
        <v/>
      </c>
      <c r="Z404" s="37" t="str">
        <f>IF(P404="","",IFERROR(IF(P404&lt;='Input &amp; Settings'!$B$14,100,MAX(0,100-(P404-'Input &amp; Settings'!$B$14)*20)),""))</f>
        <v/>
      </c>
      <c r="AA404" s="37" t="str">
        <f>IF(COUNTA(G404:P404)=0,"",ROUND(Q404*'Input &amp; Settings'!$C$5+R404*'Input &amp; Settings'!$C$6+S404*'Input &amp; Settings'!$C$7+T404*'Input &amp; Settings'!$C$8+U404*'Input &amp; Settings'!$C$9+V404*'Input &amp; Settings'!$C$10+W404*'Input &amp; Settings'!$C$11+X404*'Input &amp; Settings'!$C$12+Y404*'Input &amp; Settings'!$C$13+Z404*'Input &amp; Settings'!$C$14,1))</f>
        <v/>
      </c>
      <c r="AB404" s="38" t="str">
        <f>IF(OR(AA404="",E404=""),"",IFERROR(IF(AA404&gt;=VLOOKUP(E404,'Input &amp; Settings'!$F$5:$K$10,3,FALSE),"Outstanding",IF(AA404&gt;=VLOOKUP(E404,'Input &amp; Settings'!$F$5:$K$10,4,FALSE),"Exceeds Expectations",IF(AA404&gt;=VLOOKUP(E404,'Input &amp; Settings'!$F$5:$K$10,5,FALSE),"Meets Expectations",IF(AA404&gt;=VLOOKUP(E404,'Input &amp; Settings'!$F$5:$K$10,6,FALSE),"Needs Improvement","Performance Improvement Required")))),""))</f>
        <v/>
      </c>
      <c r="AC404" s="38" t="str">
        <f t="shared" si="24"/>
        <v/>
      </c>
      <c r="AD404" s="39"/>
      <c r="AE404" s="40"/>
      <c r="AF404" s="41" t="str">
        <f t="shared" si="25"/>
        <v/>
      </c>
      <c r="AG404" s="42" t="str">
        <f t="shared" si="26"/>
        <v/>
      </c>
      <c r="AH404" s="42" t="str">
        <f t="shared" si="27"/>
        <v>Miquelle Cordova|October</v>
      </c>
    </row>
    <row r="405" spans="1:34" hidden="1">
      <c r="A405" s="32">
        <v>2026</v>
      </c>
      <c r="B405" s="32" t="s">
        <v>95</v>
      </c>
      <c r="C405" s="32" t="s">
        <v>53</v>
      </c>
      <c r="D405" s="32" t="s">
        <v>62</v>
      </c>
      <c r="E405" s="33"/>
      <c r="F405" s="34" t="str">
        <f>IF(E405="","",IFERROR(VLOOKUP(E405,'Input &amp; Settings'!$F$5:$G$10,2,FALSE),""))</f>
        <v/>
      </c>
      <c r="G405" s="33"/>
      <c r="H405" s="33"/>
      <c r="I405" s="35"/>
      <c r="J405" s="33"/>
      <c r="K405" s="36"/>
      <c r="L405" s="35"/>
      <c r="M405" s="33"/>
      <c r="N405" s="33"/>
      <c r="O405" s="33"/>
      <c r="P405" s="33"/>
      <c r="Q405" s="37" t="str">
        <f>IF(G405="","",IFERROR(MIN(100,G405/'Input &amp; Settings'!$B$5*100),""))</f>
        <v/>
      </c>
      <c r="R405" s="37" t="str">
        <f>IF(H405="","",IFERROR(MIN(100,H405/'Input &amp; Settings'!$B$6*100),""))</f>
        <v/>
      </c>
      <c r="S405" s="37" t="str">
        <f>IF(I405="","",IFERROR(MIN(100,I405/'Input &amp; Settings'!$B$7*100),""))</f>
        <v/>
      </c>
      <c r="T405" s="37" t="str">
        <f>IF(J405="","",IFERROR(MIN(100,J405/'Input &amp; Settings'!$B$8*100),""))</f>
        <v/>
      </c>
      <c r="U405" s="37" t="str">
        <f>IF(K405="","",IFERROR(MIN(100,K405/'Input &amp; Settings'!$B$9*100),""))</f>
        <v/>
      </c>
      <c r="V405" s="37" t="str">
        <f>IF(L405="","",IFERROR(MIN(100,L405/'Input &amp; Settings'!$B$10*100),""))</f>
        <v/>
      </c>
      <c r="W405" s="37" t="str">
        <f>IF(M405="","",IFERROR(IF(M405&lt;='Input &amp; Settings'!$B$11,100,MAX(0,100-(M405-'Input &amp; Settings'!$B$11)*20)),""))</f>
        <v/>
      </c>
      <c r="X405" s="37" t="str">
        <f>IF(N405="","",IFERROR(MIN(100,N405/'Input &amp; Settings'!$B$12*100),""))</f>
        <v/>
      </c>
      <c r="Y405" s="37" t="str">
        <f>IF(O405="","",IFERROR(MIN(100,O405/'Input &amp; Settings'!$B$13*100),""))</f>
        <v/>
      </c>
      <c r="Z405" s="37" t="str">
        <f>IF(P405="","",IFERROR(IF(P405&lt;='Input &amp; Settings'!$B$14,100,MAX(0,100-(P405-'Input &amp; Settings'!$B$14)*20)),""))</f>
        <v/>
      </c>
      <c r="AA405" s="37" t="str">
        <f>IF(COUNTA(G405:P405)=0,"",ROUND(Q405*'Input &amp; Settings'!$C$5+R405*'Input &amp; Settings'!$C$6+S405*'Input &amp; Settings'!$C$7+T405*'Input &amp; Settings'!$C$8+U405*'Input &amp; Settings'!$C$9+V405*'Input &amp; Settings'!$C$10+W405*'Input &amp; Settings'!$C$11+X405*'Input &amp; Settings'!$C$12+Y405*'Input &amp; Settings'!$C$13+Z405*'Input &amp; Settings'!$C$14,1))</f>
        <v/>
      </c>
      <c r="AB405" s="38" t="str">
        <f>IF(OR(AA405="",E405=""),"",IFERROR(IF(AA405&gt;=VLOOKUP(E405,'Input &amp; Settings'!$F$5:$K$10,3,FALSE),"Outstanding",IF(AA405&gt;=VLOOKUP(E405,'Input &amp; Settings'!$F$5:$K$10,4,FALSE),"Exceeds Expectations",IF(AA405&gt;=VLOOKUP(E405,'Input &amp; Settings'!$F$5:$K$10,5,FALSE),"Meets Expectations",IF(AA405&gt;=VLOOKUP(E405,'Input &amp; Settings'!$F$5:$K$10,6,FALSE),"Needs Improvement","Performance Improvement Required")))),""))</f>
        <v/>
      </c>
      <c r="AC405" s="38" t="str">
        <f t="shared" si="24"/>
        <v/>
      </c>
      <c r="AD405" s="39"/>
      <c r="AE405" s="40"/>
      <c r="AF405" s="41" t="str">
        <f t="shared" si="25"/>
        <v/>
      </c>
      <c r="AG405" s="42" t="str">
        <f t="shared" si="26"/>
        <v/>
      </c>
      <c r="AH405" s="42" t="str">
        <f t="shared" si="27"/>
        <v>Daniel Sanchez|October</v>
      </c>
    </row>
    <row r="406" spans="1:34" hidden="1">
      <c r="A406" s="32">
        <v>2026</v>
      </c>
      <c r="B406" s="32" t="s">
        <v>95</v>
      </c>
      <c r="C406" s="32" t="s">
        <v>53</v>
      </c>
      <c r="D406" s="32" t="s">
        <v>63</v>
      </c>
      <c r="E406" s="33"/>
      <c r="F406" s="34" t="str">
        <f>IF(E406="","",IFERROR(VLOOKUP(E406,'Input &amp; Settings'!$F$5:$G$10,2,FALSE),""))</f>
        <v/>
      </c>
      <c r="G406" s="33"/>
      <c r="H406" s="33"/>
      <c r="I406" s="35"/>
      <c r="J406" s="33"/>
      <c r="K406" s="36"/>
      <c r="L406" s="35"/>
      <c r="M406" s="33"/>
      <c r="N406" s="33"/>
      <c r="O406" s="33"/>
      <c r="P406" s="33"/>
      <c r="Q406" s="37" t="str">
        <f>IF(G406="","",IFERROR(MIN(100,G406/'Input &amp; Settings'!$B$5*100),""))</f>
        <v/>
      </c>
      <c r="R406" s="37" t="str">
        <f>IF(H406="","",IFERROR(MIN(100,H406/'Input &amp; Settings'!$B$6*100),""))</f>
        <v/>
      </c>
      <c r="S406" s="37" t="str">
        <f>IF(I406="","",IFERROR(MIN(100,I406/'Input &amp; Settings'!$B$7*100),""))</f>
        <v/>
      </c>
      <c r="T406" s="37" t="str">
        <f>IF(J406="","",IFERROR(MIN(100,J406/'Input &amp; Settings'!$B$8*100),""))</f>
        <v/>
      </c>
      <c r="U406" s="37" t="str">
        <f>IF(K406="","",IFERROR(MIN(100,K406/'Input &amp; Settings'!$B$9*100),""))</f>
        <v/>
      </c>
      <c r="V406" s="37" t="str">
        <f>IF(L406="","",IFERROR(MIN(100,L406/'Input &amp; Settings'!$B$10*100),""))</f>
        <v/>
      </c>
      <c r="W406" s="37" t="str">
        <f>IF(M406="","",IFERROR(IF(M406&lt;='Input &amp; Settings'!$B$11,100,MAX(0,100-(M406-'Input &amp; Settings'!$B$11)*20)),""))</f>
        <v/>
      </c>
      <c r="X406" s="37" t="str">
        <f>IF(N406="","",IFERROR(MIN(100,N406/'Input &amp; Settings'!$B$12*100),""))</f>
        <v/>
      </c>
      <c r="Y406" s="37" t="str">
        <f>IF(O406="","",IFERROR(MIN(100,O406/'Input &amp; Settings'!$B$13*100),""))</f>
        <v/>
      </c>
      <c r="Z406" s="37" t="str">
        <f>IF(P406="","",IFERROR(IF(P406&lt;='Input &amp; Settings'!$B$14,100,MAX(0,100-(P406-'Input &amp; Settings'!$B$14)*20)),""))</f>
        <v/>
      </c>
      <c r="AA406" s="37" t="str">
        <f>IF(COUNTA(G406:P406)=0,"",ROUND(Q406*'Input &amp; Settings'!$C$5+R406*'Input &amp; Settings'!$C$6+S406*'Input &amp; Settings'!$C$7+T406*'Input &amp; Settings'!$C$8+U406*'Input &amp; Settings'!$C$9+V406*'Input &amp; Settings'!$C$10+W406*'Input &amp; Settings'!$C$11+X406*'Input &amp; Settings'!$C$12+Y406*'Input &amp; Settings'!$C$13+Z406*'Input &amp; Settings'!$C$14,1))</f>
        <v/>
      </c>
      <c r="AB406" s="38" t="str">
        <f>IF(OR(AA406="",E406=""),"",IFERROR(IF(AA406&gt;=VLOOKUP(E406,'Input &amp; Settings'!$F$5:$K$10,3,FALSE),"Outstanding",IF(AA406&gt;=VLOOKUP(E406,'Input &amp; Settings'!$F$5:$K$10,4,FALSE),"Exceeds Expectations",IF(AA406&gt;=VLOOKUP(E406,'Input &amp; Settings'!$F$5:$K$10,5,FALSE),"Meets Expectations",IF(AA406&gt;=VLOOKUP(E406,'Input &amp; Settings'!$F$5:$K$10,6,FALSE),"Needs Improvement","Performance Improvement Required")))),""))</f>
        <v/>
      </c>
      <c r="AC406" s="38" t="str">
        <f t="shared" si="24"/>
        <v/>
      </c>
      <c r="AD406" s="39"/>
      <c r="AE406" s="40"/>
      <c r="AF406" s="41" t="str">
        <f t="shared" si="25"/>
        <v/>
      </c>
      <c r="AG406" s="42" t="str">
        <f t="shared" si="26"/>
        <v/>
      </c>
      <c r="AH406" s="42" t="str">
        <f t="shared" si="27"/>
        <v>Braynon Edwards|October</v>
      </c>
    </row>
    <row r="407" spans="1:34" hidden="1">
      <c r="A407" s="32">
        <v>2026</v>
      </c>
      <c r="B407" s="32" t="s">
        <v>95</v>
      </c>
      <c r="C407" s="32" t="s">
        <v>53</v>
      </c>
      <c r="D407" s="32" t="s">
        <v>64</v>
      </c>
      <c r="E407" s="33"/>
      <c r="F407" s="34" t="str">
        <f>IF(E407="","",IFERROR(VLOOKUP(E407,'Input &amp; Settings'!$F$5:$G$10,2,FALSE),""))</f>
        <v/>
      </c>
      <c r="G407" s="33"/>
      <c r="H407" s="33"/>
      <c r="I407" s="35"/>
      <c r="J407" s="33"/>
      <c r="K407" s="36"/>
      <c r="L407" s="35"/>
      <c r="M407" s="33"/>
      <c r="N407" s="33"/>
      <c r="O407" s="33"/>
      <c r="P407" s="33"/>
      <c r="Q407" s="37" t="str">
        <f>IF(G407="","",IFERROR(MIN(100,G407/'Input &amp; Settings'!$B$5*100),""))</f>
        <v/>
      </c>
      <c r="R407" s="37" t="str">
        <f>IF(H407="","",IFERROR(MIN(100,H407/'Input &amp; Settings'!$B$6*100),""))</f>
        <v/>
      </c>
      <c r="S407" s="37" t="str">
        <f>IF(I407="","",IFERROR(MIN(100,I407/'Input &amp; Settings'!$B$7*100),""))</f>
        <v/>
      </c>
      <c r="T407" s="37" t="str">
        <f>IF(J407="","",IFERROR(MIN(100,J407/'Input &amp; Settings'!$B$8*100),""))</f>
        <v/>
      </c>
      <c r="U407" s="37" t="str">
        <f>IF(K407="","",IFERROR(MIN(100,K407/'Input &amp; Settings'!$B$9*100),""))</f>
        <v/>
      </c>
      <c r="V407" s="37" t="str">
        <f>IF(L407="","",IFERROR(MIN(100,L407/'Input &amp; Settings'!$B$10*100),""))</f>
        <v/>
      </c>
      <c r="W407" s="37" t="str">
        <f>IF(M407="","",IFERROR(IF(M407&lt;='Input &amp; Settings'!$B$11,100,MAX(0,100-(M407-'Input &amp; Settings'!$B$11)*20)),""))</f>
        <v/>
      </c>
      <c r="X407" s="37" t="str">
        <f>IF(N407="","",IFERROR(MIN(100,N407/'Input &amp; Settings'!$B$12*100),""))</f>
        <v/>
      </c>
      <c r="Y407" s="37" t="str">
        <f>IF(O407="","",IFERROR(MIN(100,O407/'Input &amp; Settings'!$B$13*100),""))</f>
        <v/>
      </c>
      <c r="Z407" s="37" t="str">
        <f>IF(P407="","",IFERROR(IF(P407&lt;='Input &amp; Settings'!$B$14,100,MAX(0,100-(P407-'Input &amp; Settings'!$B$14)*20)),""))</f>
        <v/>
      </c>
      <c r="AA407" s="37" t="str">
        <f>IF(COUNTA(G407:P407)=0,"",ROUND(Q407*'Input &amp; Settings'!$C$5+R407*'Input &amp; Settings'!$C$6+S407*'Input &amp; Settings'!$C$7+T407*'Input &amp; Settings'!$C$8+U407*'Input &amp; Settings'!$C$9+V407*'Input &amp; Settings'!$C$10+W407*'Input &amp; Settings'!$C$11+X407*'Input &amp; Settings'!$C$12+Y407*'Input &amp; Settings'!$C$13+Z407*'Input &amp; Settings'!$C$14,1))</f>
        <v/>
      </c>
      <c r="AB407" s="38" t="str">
        <f>IF(OR(AA407="",E407=""),"",IFERROR(IF(AA407&gt;=VLOOKUP(E407,'Input &amp; Settings'!$F$5:$K$10,3,FALSE),"Outstanding",IF(AA407&gt;=VLOOKUP(E407,'Input &amp; Settings'!$F$5:$K$10,4,FALSE),"Exceeds Expectations",IF(AA407&gt;=VLOOKUP(E407,'Input &amp; Settings'!$F$5:$K$10,5,FALSE),"Meets Expectations",IF(AA407&gt;=VLOOKUP(E407,'Input &amp; Settings'!$F$5:$K$10,6,FALSE),"Needs Improvement","Performance Improvement Required")))),""))</f>
        <v/>
      </c>
      <c r="AC407" s="38" t="str">
        <f t="shared" si="24"/>
        <v/>
      </c>
      <c r="AD407" s="39"/>
      <c r="AE407" s="40"/>
      <c r="AF407" s="41" t="str">
        <f t="shared" si="25"/>
        <v/>
      </c>
      <c r="AG407" s="42" t="str">
        <f t="shared" si="26"/>
        <v/>
      </c>
      <c r="AH407" s="42" t="str">
        <f t="shared" si="27"/>
        <v>Sebastian Lopez|October</v>
      </c>
    </row>
    <row r="408" spans="1:34" hidden="1">
      <c r="A408" s="32">
        <v>2026</v>
      </c>
      <c r="B408" s="32" t="s">
        <v>95</v>
      </c>
      <c r="C408" s="32" t="s">
        <v>53</v>
      </c>
      <c r="D408" s="32" t="s">
        <v>65</v>
      </c>
      <c r="E408" s="33"/>
      <c r="F408" s="34" t="str">
        <f>IF(E408="","",IFERROR(VLOOKUP(E408,'Input &amp; Settings'!$F$5:$G$10,2,FALSE),""))</f>
        <v/>
      </c>
      <c r="G408" s="33"/>
      <c r="H408" s="33"/>
      <c r="I408" s="35"/>
      <c r="J408" s="33"/>
      <c r="K408" s="36"/>
      <c r="L408" s="35"/>
      <c r="M408" s="33"/>
      <c r="N408" s="33"/>
      <c r="O408" s="33"/>
      <c r="P408" s="33"/>
      <c r="Q408" s="37" t="str">
        <f>IF(G408="","",IFERROR(MIN(100,G408/'Input &amp; Settings'!$B$5*100),""))</f>
        <v/>
      </c>
      <c r="R408" s="37" t="str">
        <f>IF(H408="","",IFERROR(MIN(100,H408/'Input &amp; Settings'!$B$6*100),""))</f>
        <v/>
      </c>
      <c r="S408" s="37" t="str">
        <f>IF(I408="","",IFERROR(MIN(100,I408/'Input &amp; Settings'!$B$7*100),""))</f>
        <v/>
      </c>
      <c r="T408" s="37" t="str">
        <f>IF(J408="","",IFERROR(MIN(100,J408/'Input &amp; Settings'!$B$8*100),""))</f>
        <v/>
      </c>
      <c r="U408" s="37" t="str">
        <f>IF(K408="","",IFERROR(MIN(100,K408/'Input &amp; Settings'!$B$9*100),""))</f>
        <v/>
      </c>
      <c r="V408" s="37" t="str">
        <f>IF(L408="","",IFERROR(MIN(100,L408/'Input &amp; Settings'!$B$10*100),""))</f>
        <v/>
      </c>
      <c r="W408" s="37" t="str">
        <f>IF(M408="","",IFERROR(IF(M408&lt;='Input &amp; Settings'!$B$11,100,MAX(0,100-(M408-'Input &amp; Settings'!$B$11)*20)),""))</f>
        <v/>
      </c>
      <c r="X408" s="37" t="str">
        <f>IF(N408="","",IFERROR(MIN(100,N408/'Input &amp; Settings'!$B$12*100),""))</f>
        <v/>
      </c>
      <c r="Y408" s="37" t="str">
        <f>IF(O408="","",IFERROR(MIN(100,O408/'Input &amp; Settings'!$B$13*100),""))</f>
        <v/>
      </c>
      <c r="Z408" s="37" t="str">
        <f>IF(P408="","",IFERROR(IF(P408&lt;='Input &amp; Settings'!$B$14,100,MAX(0,100-(P408-'Input &amp; Settings'!$B$14)*20)),""))</f>
        <v/>
      </c>
      <c r="AA408" s="37" t="str">
        <f>IF(COUNTA(G408:P408)=0,"",ROUND(Q408*'Input &amp; Settings'!$C$5+R408*'Input &amp; Settings'!$C$6+S408*'Input &amp; Settings'!$C$7+T408*'Input &amp; Settings'!$C$8+U408*'Input &amp; Settings'!$C$9+V408*'Input &amp; Settings'!$C$10+W408*'Input &amp; Settings'!$C$11+X408*'Input &amp; Settings'!$C$12+Y408*'Input &amp; Settings'!$C$13+Z408*'Input &amp; Settings'!$C$14,1))</f>
        <v/>
      </c>
      <c r="AB408" s="38" t="str">
        <f>IF(OR(AA408="",E408=""),"",IFERROR(IF(AA408&gt;=VLOOKUP(E408,'Input &amp; Settings'!$F$5:$K$10,3,FALSE),"Outstanding",IF(AA408&gt;=VLOOKUP(E408,'Input &amp; Settings'!$F$5:$K$10,4,FALSE),"Exceeds Expectations",IF(AA408&gt;=VLOOKUP(E408,'Input &amp; Settings'!$F$5:$K$10,5,FALSE),"Meets Expectations",IF(AA408&gt;=VLOOKUP(E408,'Input &amp; Settings'!$F$5:$K$10,6,FALSE),"Needs Improvement","Performance Improvement Required")))),""))</f>
        <v/>
      </c>
      <c r="AC408" s="38" t="str">
        <f t="shared" si="24"/>
        <v/>
      </c>
      <c r="AD408" s="39"/>
      <c r="AE408" s="40"/>
      <c r="AF408" s="41" t="str">
        <f t="shared" si="25"/>
        <v/>
      </c>
      <c r="AG408" s="42" t="str">
        <f t="shared" si="26"/>
        <v/>
      </c>
      <c r="AH408" s="42" t="str">
        <f t="shared" si="27"/>
        <v>Lucas Degomme|October</v>
      </c>
    </row>
    <row r="409" spans="1:34" hidden="1">
      <c r="A409" s="32">
        <v>2026</v>
      </c>
      <c r="B409" s="32" t="s">
        <v>95</v>
      </c>
      <c r="C409" s="32" t="s">
        <v>53</v>
      </c>
      <c r="D409" s="32" t="s">
        <v>66</v>
      </c>
      <c r="E409" s="33"/>
      <c r="F409" s="34" t="str">
        <f>IF(E409="","",IFERROR(VLOOKUP(E409,'Input &amp; Settings'!$F$5:$G$10,2,FALSE),""))</f>
        <v/>
      </c>
      <c r="G409" s="33"/>
      <c r="H409" s="33"/>
      <c r="I409" s="35"/>
      <c r="J409" s="33"/>
      <c r="K409" s="36"/>
      <c r="L409" s="35"/>
      <c r="M409" s="33"/>
      <c r="N409" s="33"/>
      <c r="O409" s="33"/>
      <c r="P409" s="33"/>
      <c r="Q409" s="37" t="str">
        <f>IF(G409="","",IFERROR(MIN(100,G409/'Input &amp; Settings'!$B$5*100),""))</f>
        <v/>
      </c>
      <c r="R409" s="37" t="str">
        <f>IF(H409="","",IFERROR(MIN(100,H409/'Input &amp; Settings'!$B$6*100),""))</f>
        <v/>
      </c>
      <c r="S409" s="37" t="str">
        <f>IF(I409="","",IFERROR(MIN(100,I409/'Input &amp; Settings'!$B$7*100),""))</f>
        <v/>
      </c>
      <c r="T409" s="37" t="str">
        <f>IF(J409="","",IFERROR(MIN(100,J409/'Input &amp; Settings'!$B$8*100),""))</f>
        <v/>
      </c>
      <c r="U409" s="37" t="str">
        <f>IF(K409="","",IFERROR(MIN(100,K409/'Input &amp; Settings'!$B$9*100),""))</f>
        <v/>
      </c>
      <c r="V409" s="37" t="str">
        <f>IF(L409="","",IFERROR(MIN(100,L409/'Input &amp; Settings'!$B$10*100),""))</f>
        <v/>
      </c>
      <c r="W409" s="37" t="str">
        <f>IF(M409="","",IFERROR(IF(M409&lt;='Input &amp; Settings'!$B$11,100,MAX(0,100-(M409-'Input &amp; Settings'!$B$11)*20)),""))</f>
        <v/>
      </c>
      <c r="X409" s="37" t="str">
        <f>IF(N409="","",IFERROR(MIN(100,N409/'Input &amp; Settings'!$B$12*100),""))</f>
        <v/>
      </c>
      <c r="Y409" s="37" t="str">
        <f>IF(O409="","",IFERROR(MIN(100,O409/'Input &amp; Settings'!$B$13*100),""))</f>
        <v/>
      </c>
      <c r="Z409" s="37" t="str">
        <f>IF(P409="","",IFERROR(IF(P409&lt;='Input &amp; Settings'!$B$14,100,MAX(0,100-(P409-'Input &amp; Settings'!$B$14)*20)),""))</f>
        <v/>
      </c>
      <c r="AA409" s="37" t="str">
        <f>IF(COUNTA(G409:P409)=0,"",ROUND(Q409*'Input &amp; Settings'!$C$5+R409*'Input &amp; Settings'!$C$6+S409*'Input &amp; Settings'!$C$7+T409*'Input &amp; Settings'!$C$8+U409*'Input &amp; Settings'!$C$9+V409*'Input &amp; Settings'!$C$10+W409*'Input &amp; Settings'!$C$11+X409*'Input &amp; Settings'!$C$12+Y409*'Input &amp; Settings'!$C$13+Z409*'Input &amp; Settings'!$C$14,1))</f>
        <v/>
      </c>
      <c r="AB409" s="38" t="str">
        <f>IF(OR(AA409="",E409=""),"",IFERROR(IF(AA409&gt;=VLOOKUP(E409,'Input &amp; Settings'!$F$5:$K$10,3,FALSE),"Outstanding",IF(AA409&gt;=VLOOKUP(E409,'Input &amp; Settings'!$F$5:$K$10,4,FALSE),"Exceeds Expectations",IF(AA409&gt;=VLOOKUP(E409,'Input &amp; Settings'!$F$5:$K$10,5,FALSE),"Meets Expectations",IF(AA409&gt;=VLOOKUP(E409,'Input &amp; Settings'!$F$5:$K$10,6,FALSE),"Needs Improvement","Performance Improvement Required")))),""))</f>
        <v/>
      </c>
      <c r="AC409" s="38" t="str">
        <f t="shared" si="24"/>
        <v/>
      </c>
      <c r="AD409" s="39"/>
      <c r="AE409" s="40"/>
      <c r="AF409" s="41" t="str">
        <f t="shared" si="25"/>
        <v/>
      </c>
      <c r="AG409" s="42" t="str">
        <f t="shared" si="26"/>
        <v/>
      </c>
      <c r="AH409" s="42" t="str">
        <f t="shared" si="27"/>
        <v>Alexander Chinea|October</v>
      </c>
    </row>
    <row r="410" spans="1:34" hidden="1">
      <c r="A410" s="32">
        <v>2026</v>
      </c>
      <c r="B410" s="32" t="s">
        <v>95</v>
      </c>
      <c r="C410" s="32" t="s">
        <v>53</v>
      </c>
      <c r="D410" s="32" t="s">
        <v>67</v>
      </c>
      <c r="E410" s="33"/>
      <c r="F410" s="34" t="str">
        <f>IF(E410="","",IFERROR(VLOOKUP(E410,'Input &amp; Settings'!$F$5:$G$10,2,FALSE),""))</f>
        <v/>
      </c>
      <c r="G410" s="33"/>
      <c r="H410" s="33"/>
      <c r="I410" s="35"/>
      <c r="J410" s="33"/>
      <c r="K410" s="36"/>
      <c r="L410" s="35"/>
      <c r="M410" s="33"/>
      <c r="N410" s="33"/>
      <c r="O410" s="33"/>
      <c r="P410" s="33"/>
      <c r="Q410" s="37" t="str">
        <f>IF(G410="","",IFERROR(MIN(100,G410/'Input &amp; Settings'!$B$5*100),""))</f>
        <v/>
      </c>
      <c r="R410" s="37" t="str">
        <f>IF(H410="","",IFERROR(MIN(100,H410/'Input &amp; Settings'!$B$6*100),""))</f>
        <v/>
      </c>
      <c r="S410" s="37" t="str">
        <f>IF(I410="","",IFERROR(MIN(100,I410/'Input &amp; Settings'!$B$7*100),""))</f>
        <v/>
      </c>
      <c r="T410" s="37" t="str">
        <f>IF(J410="","",IFERROR(MIN(100,J410/'Input &amp; Settings'!$B$8*100),""))</f>
        <v/>
      </c>
      <c r="U410" s="37" t="str">
        <f>IF(K410="","",IFERROR(MIN(100,K410/'Input &amp; Settings'!$B$9*100),""))</f>
        <v/>
      </c>
      <c r="V410" s="37" t="str">
        <f>IF(L410="","",IFERROR(MIN(100,L410/'Input &amp; Settings'!$B$10*100),""))</f>
        <v/>
      </c>
      <c r="W410" s="37" t="str">
        <f>IF(M410="","",IFERROR(IF(M410&lt;='Input &amp; Settings'!$B$11,100,MAX(0,100-(M410-'Input &amp; Settings'!$B$11)*20)),""))</f>
        <v/>
      </c>
      <c r="X410" s="37" t="str">
        <f>IF(N410="","",IFERROR(MIN(100,N410/'Input &amp; Settings'!$B$12*100),""))</f>
        <v/>
      </c>
      <c r="Y410" s="37" t="str">
        <f>IF(O410="","",IFERROR(MIN(100,O410/'Input &amp; Settings'!$B$13*100),""))</f>
        <v/>
      </c>
      <c r="Z410" s="37" t="str">
        <f>IF(P410="","",IFERROR(IF(P410&lt;='Input &amp; Settings'!$B$14,100,MAX(0,100-(P410-'Input &amp; Settings'!$B$14)*20)),""))</f>
        <v/>
      </c>
      <c r="AA410" s="37" t="str">
        <f>IF(COUNTA(G410:P410)=0,"",ROUND(Q410*'Input &amp; Settings'!$C$5+R410*'Input &amp; Settings'!$C$6+S410*'Input &amp; Settings'!$C$7+T410*'Input &amp; Settings'!$C$8+U410*'Input &amp; Settings'!$C$9+V410*'Input &amp; Settings'!$C$10+W410*'Input &amp; Settings'!$C$11+X410*'Input &amp; Settings'!$C$12+Y410*'Input &amp; Settings'!$C$13+Z410*'Input &amp; Settings'!$C$14,1))</f>
        <v/>
      </c>
      <c r="AB410" s="38" t="str">
        <f>IF(OR(AA410="",E410=""),"",IFERROR(IF(AA410&gt;=VLOOKUP(E410,'Input &amp; Settings'!$F$5:$K$10,3,FALSE),"Outstanding",IF(AA410&gt;=VLOOKUP(E410,'Input &amp; Settings'!$F$5:$K$10,4,FALSE),"Exceeds Expectations",IF(AA410&gt;=VLOOKUP(E410,'Input &amp; Settings'!$F$5:$K$10,5,FALSE),"Meets Expectations",IF(AA410&gt;=VLOOKUP(E410,'Input &amp; Settings'!$F$5:$K$10,6,FALSE),"Needs Improvement","Performance Improvement Required")))),""))</f>
        <v/>
      </c>
      <c r="AC410" s="38" t="str">
        <f t="shared" si="24"/>
        <v/>
      </c>
      <c r="AD410" s="39"/>
      <c r="AE410" s="40"/>
      <c r="AF410" s="41" t="str">
        <f t="shared" si="25"/>
        <v/>
      </c>
      <c r="AG410" s="42" t="str">
        <f t="shared" si="26"/>
        <v/>
      </c>
      <c r="AH410" s="42" t="str">
        <f t="shared" si="27"/>
        <v>Carlos Martinez Monzon|October</v>
      </c>
    </row>
    <row r="411" spans="1:34" hidden="1">
      <c r="A411" s="32">
        <v>2026</v>
      </c>
      <c r="B411" s="32" t="s">
        <v>95</v>
      </c>
      <c r="C411" s="32" t="s">
        <v>53</v>
      </c>
      <c r="D411" s="32" t="s">
        <v>68</v>
      </c>
      <c r="E411" s="33"/>
      <c r="F411" s="34" t="str">
        <f>IF(E411="","",IFERROR(VLOOKUP(E411,'Input &amp; Settings'!$F$5:$G$10,2,FALSE),""))</f>
        <v/>
      </c>
      <c r="G411" s="33"/>
      <c r="H411" s="33"/>
      <c r="I411" s="35"/>
      <c r="J411" s="33"/>
      <c r="K411" s="36"/>
      <c r="L411" s="35"/>
      <c r="M411" s="33"/>
      <c r="N411" s="33"/>
      <c r="O411" s="33"/>
      <c r="P411" s="33"/>
      <c r="Q411" s="37" t="str">
        <f>IF(G411="","",IFERROR(MIN(100,G411/'Input &amp; Settings'!$B$5*100),""))</f>
        <v/>
      </c>
      <c r="R411" s="37" t="str">
        <f>IF(H411="","",IFERROR(MIN(100,H411/'Input &amp; Settings'!$B$6*100),""))</f>
        <v/>
      </c>
      <c r="S411" s="37" t="str">
        <f>IF(I411="","",IFERROR(MIN(100,I411/'Input &amp; Settings'!$B$7*100),""))</f>
        <v/>
      </c>
      <c r="T411" s="37" t="str">
        <f>IF(J411="","",IFERROR(MIN(100,J411/'Input &amp; Settings'!$B$8*100),""))</f>
        <v/>
      </c>
      <c r="U411" s="37" t="str">
        <f>IF(K411="","",IFERROR(MIN(100,K411/'Input &amp; Settings'!$B$9*100),""))</f>
        <v/>
      </c>
      <c r="V411" s="37" t="str">
        <f>IF(L411="","",IFERROR(MIN(100,L411/'Input &amp; Settings'!$B$10*100),""))</f>
        <v/>
      </c>
      <c r="W411" s="37" t="str">
        <f>IF(M411="","",IFERROR(IF(M411&lt;='Input &amp; Settings'!$B$11,100,MAX(0,100-(M411-'Input &amp; Settings'!$B$11)*20)),""))</f>
        <v/>
      </c>
      <c r="X411" s="37" t="str">
        <f>IF(N411="","",IFERROR(MIN(100,N411/'Input &amp; Settings'!$B$12*100),""))</f>
        <v/>
      </c>
      <c r="Y411" s="37" t="str">
        <f>IF(O411="","",IFERROR(MIN(100,O411/'Input &amp; Settings'!$B$13*100),""))</f>
        <v/>
      </c>
      <c r="Z411" s="37" t="str">
        <f>IF(P411="","",IFERROR(IF(P411&lt;='Input &amp; Settings'!$B$14,100,MAX(0,100-(P411-'Input &amp; Settings'!$B$14)*20)),""))</f>
        <v/>
      </c>
      <c r="AA411" s="37" t="str">
        <f>IF(COUNTA(G411:P411)=0,"",ROUND(Q411*'Input &amp; Settings'!$C$5+R411*'Input &amp; Settings'!$C$6+S411*'Input &amp; Settings'!$C$7+T411*'Input &amp; Settings'!$C$8+U411*'Input &amp; Settings'!$C$9+V411*'Input &amp; Settings'!$C$10+W411*'Input &amp; Settings'!$C$11+X411*'Input &amp; Settings'!$C$12+Y411*'Input &amp; Settings'!$C$13+Z411*'Input &amp; Settings'!$C$14,1))</f>
        <v/>
      </c>
      <c r="AB411" s="38" t="str">
        <f>IF(OR(AA411="",E411=""),"",IFERROR(IF(AA411&gt;=VLOOKUP(E411,'Input &amp; Settings'!$F$5:$K$10,3,FALSE),"Outstanding",IF(AA411&gt;=VLOOKUP(E411,'Input &amp; Settings'!$F$5:$K$10,4,FALSE),"Exceeds Expectations",IF(AA411&gt;=VLOOKUP(E411,'Input &amp; Settings'!$F$5:$K$10,5,FALSE),"Meets Expectations",IF(AA411&gt;=VLOOKUP(E411,'Input &amp; Settings'!$F$5:$K$10,6,FALSE),"Needs Improvement","Performance Improvement Required")))),""))</f>
        <v/>
      </c>
      <c r="AC411" s="38" t="str">
        <f t="shared" si="24"/>
        <v/>
      </c>
      <c r="AD411" s="39"/>
      <c r="AE411" s="40"/>
      <c r="AF411" s="41" t="str">
        <f t="shared" si="25"/>
        <v/>
      </c>
      <c r="AG411" s="42" t="str">
        <f t="shared" si="26"/>
        <v/>
      </c>
      <c r="AH411" s="42" t="str">
        <f t="shared" si="27"/>
        <v>Carlos Sanabria|October</v>
      </c>
    </row>
    <row r="412" spans="1:34" hidden="1">
      <c r="A412" s="32">
        <v>2026</v>
      </c>
      <c r="B412" s="32" t="s">
        <v>95</v>
      </c>
      <c r="C412" s="32" t="s">
        <v>53</v>
      </c>
      <c r="D412" s="32" t="s">
        <v>69</v>
      </c>
      <c r="E412" s="33"/>
      <c r="F412" s="34" t="str">
        <f>IF(E412="","",IFERROR(VLOOKUP(E412,'Input &amp; Settings'!$F$5:$G$10,2,FALSE),""))</f>
        <v/>
      </c>
      <c r="G412" s="33"/>
      <c r="H412" s="33"/>
      <c r="I412" s="35"/>
      <c r="J412" s="33"/>
      <c r="K412" s="36"/>
      <c r="L412" s="35"/>
      <c r="M412" s="33"/>
      <c r="N412" s="33"/>
      <c r="O412" s="33"/>
      <c r="P412" s="33"/>
      <c r="Q412" s="37" t="str">
        <f>IF(G412="","",IFERROR(MIN(100,G412/'Input &amp; Settings'!$B$5*100),""))</f>
        <v/>
      </c>
      <c r="R412" s="37" t="str">
        <f>IF(H412="","",IFERROR(MIN(100,H412/'Input &amp; Settings'!$B$6*100),""))</f>
        <v/>
      </c>
      <c r="S412" s="37" t="str">
        <f>IF(I412="","",IFERROR(MIN(100,I412/'Input &amp; Settings'!$B$7*100),""))</f>
        <v/>
      </c>
      <c r="T412" s="37" t="str">
        <f>IF(J412="","",IFERROR(MIN(100,J412/'Input &amp; Settings'!$B$8*100),""))</f>
        <v/>
      </c>
      <c r="U412" s="37" t="str">
        <f>IF(K412="","",IFERROR(MIN(100,K412/'Input &amp; Settings'!$B$9*100),""))</f>
        <v/>
      </c>
      <c r="V412" s="37" t="str">
        <f>IF(L412="","",IFERROR(MIN(100,L412/'Input &amp; Settings'!$B$10*100),""))</f>
        <v/>
      </c>
      <c r="W412" s="37" t="str">
        <f>IF(M412="","",IFERROR(IF(M412&lt;='Input &amp; Settings'!$B$11,100,MAX(0,100-(M412-'Input &amp; Settings'!$B$11)*20)),""))</f>
        <v/>
      </c>
      <c r="X412" s="37" t="str">
        <f>IF(N412="","",IFERROR(MIN(100,N412/'Input &amp; Settings'!$B$12*100),""))</f>
        <v/>
      </c>
      <c r="Y412" s="37" t="str">
        <f>IF(O412="","",IFERROR(MIN(100,O412/'Input &amp; Settings'!$B$13*100),""))</f>
        <v/>
      </c>
      <c r="Z412" s="37" t="str">
        <f>IF(P412="","",IFERROR(IF(P412&lt;='Input &amp; Settings'!$B$14,100,MAX(0,100-(P412-'Input &amp; Settings'!$B$14)*20)),""))</f>
        <v/>
      </c>
      <c r="AA412" s="37" t="str">
        <f>IF(COUNTA(G412:P412)=0,"",ROUND(Q412*'Input &amp; Settings'!$C$5+R412*'Input &amp; Settings'!$C$6+S412*'Input &amp; Settings'!$C$7+T412*'Input &amp; Settings'!$C$8+U412*'Input &amp; Settings'!$C$9+V412*'Input &amp; Settings'!$C$10+W412*'Input &amp; Settings'!$C$11+X412*'Input &amp; Settings'!$C$12+Y412*'Input &amp; Settings'!$C$13+Z412*'Input &amp; Settings'!$C$14,1))</f>
        <v/>
      </c>
      <c r="AB412" s="38" t="str">
        <f>IF(OR(AA412="",E412=""),"",IFERROR(IF(AA412&gt;=VLOOKUP(E412,'Input &amp; Settings'!$F$5:$K$10,3,FALSE),"Outstanding",IF(AA412&gt;=VLOOKUP(E412,'Input &amp; Settings'!$F$5:$K$10,4,FALSE),"Exceeds Expectations",IF(AA412&gt;=VLOOKUP(E412,'Input &amp; Settings'!$F$5:$K$10,5,FALSE),"Meets Expectations",IF(AA412&gt;=VLOOKUP(E412,'Input &amp; Settings'!$F$5:$K$10,6,FALSE),"Needs Improvement","Performance Improvement Required")))),""))</f>
        <v/>
      </c>
      <c r="AC412" s="38" t="str">
        <f t="shared" si="24"/>
        <v/>
      </c>
      <c r="AD412" s="39"/>
      <c r="AE412" s="40"/>
      <c r="AF412" s="41" t="str">
        <f t="shared" si="25"/>
        <v/>
      </c>
      <c r="AG412" s="42" t="str">
        <f t="shared" si="26"/>
        <v/>
      </c>
      <c r="AH412" s="42" t="str">
        <f t="shared" si="27"/>
        <v>Alex Gomes|October</v>
      </c>
    </row>
    <row r="413" spans="1:34" hidden="1">
      <c r="A413" s="32">
        <v>2026</v>
      </c>
      <c r="B413" s="32" t="s">
        <v>95</v>
      </c>
      <c r="C413" s="32" t="s">
        <v>53</v>
      </c>
      <c r="D413" s="32" t="s">
        <v>70</v>
      </c>
      <c r="E413" s="33"/>
      <c r="F413" s="34" t="str">
        <f>IF(E413="","",IFERROR(VLOOKUP(E413,'Input &amp; Settings'!$F$5:$G$10,2,FALSE),""))</f>
        <v/>
      </c>
      <c r="G413" s="33"/>
      <c r="H413" s="33"/>
      <c r="I413" s="35"/>
      <c r="J413" s="33"/>
      <c r="K413" s="36"/>
      <c r="L413" s="35"/>
      <c r="M413" s="33"/>
      <c r="N413" s="33"/>
      <c r="O413" s="33"/>
      <c r="P413" s="33"/>
      <c r="Q413" s="37" t="str">
        <f>IF(G413="","",IFERROR(MIN(100,G413/'Input &amp; Settings'!$B$5*100),""))</f>
        <v/>
      </c>
      <c r="R413" s="37" t="str">
        <f>IF(H413="","",IFERROR(MIN(100,H413/'Input &amp; Settings'!$B$6*100),""))</f>
        <v/>
      </c>
      <c r="S413" s="37" t="str">
        <f>IF(I413="","",IFERROR(MIN(100,I413/'Input &amp; Settings'!$B$7*100),""))</f>
        <v/>
      </c>
      <c r="T413" s="37" t="str">
        <f>IF(J413="","",IFERROR(MIN(100,J413/'Input &amp; Settings'!$B$8*100),""))</f>
        <v/>
      </c>
      <c r="U413" s="37" t="str">
        <f>IF(K413="","",IFERROR(MIN(100,K413/'Input &amp; Settings'!$B$9*100),""))</f>
        <v/>
      </c>
      <c r="V413" s="37" t="str">
        <f>IF(L413="","",IFERROR(MIN(100,L413/'Input &amp; Settings'!$B$10*100),""))</f>
        <v/>
      </c>
      <c r="W413" s="37" t="str">
        <f>IF(M413="","",IFERROR(IF(M413&lt;='Input &amp; Settings'!$B$11,100,MAX(0,100-(M413-'Input &amp; Settings'!$B$11)*20)),""))</f>
        <v/>
      </c>
      <c r="X413" s="37" t="str">
        <f>IF(N413="","",IFERROR(MIN(100,N413/'Input &amp; Settings'!$B$12*100),""))</f>
        <v/>
      </c>
      <c r="Y413" s="37" t="str">
        <f>IF(O413="","",IFERROR(MIN(100,O413/'Input &amp; Settings'!$B$13*100),""))</f>
        <v/>
      </c>
      <c r="Z413" s="37" t="str">
        <f>IF(P413="","",IFERROR(IF(P413&lt;='Input &amp; Settings'!$B$14,100,MAX(0,100-(P413-'Input &amp; Settings'!$B$14)*20)),""))</f>
        <v/>
      </c>
      <c r="AA413" s="37" t="str">
        <f>IF(COUNTA(G413:P413)=0,"",ROUND(Q413*'Input &amp; Settings'!$C$5+R413*'Input &amp; Settings'!$C$6+S413*'Input &amp; Settings'!$C$7+T413*'Input &amp; Settings'!$C$8+U413*'Input &amp; Settings'!$C$9+V413*'Input &amp; Settings'!$C$10+W413*'Input &amp; Settings'!$C$11+X413*'Input &amp; Settings'!$C$12+Y413*'Input &amp; Settings'!$C$13+Z413*'Input &amp; Settings'!$C$14,1))</f>
        <v/>
      </c>
      <c r="AB413" s="38" t="str">
        <f>IF(OR(AA413="",E413=""),"",IFERROR(IF(AA413&gt;=VLOOKUP(E413,'Input &amp; Settings'!$F$5:$K$10,3,FALSE),"Outstanding",IF(AA413&gt;=VLOOKUP(E413,'Input &amp; Settings'!$F$5:$K$10,4,FALSE),"Exceeds Expectations",IF(AA413&gt;=VLOOKUP(E413,'Input &amp; Settings'!$F$5:$K$10,5,FALSE),"Meets Expectations",IF(AA413&gt;=VLOOKUP(E413,'Input &amp; Settings'!$F$5:$K$10,6,FALSE),"Needs Improvement","Performance Improvement Required")))),""))</f>
        <v/>
      </c>
      <c r="AC413" s="38" t="str">
        <f t="shared" si="24"/>
        <v/>
      </c>
      <c r="AD413" s="39"/>
      <c r="AE413" s="40"/>
      <c r="AF413" s="41" t="str">
        <f t="shared" si="25"/>
        <v/>
      </c>
      <c r="AG413" s="42" t="str">
        <f t="shared" si="26"/>
        <v/>
      </c>
      <c r="AH413" s="42" t="str">
        <f t="shared" si="27"/>
        <v>Teddy Joseph|October</v>
      </c>
    </row>
    <row r="414" spans="1:34" hidden="1">
      <c r="A414" s="32">
        <v>2026</v>
      </c>
      <c r="B414" s="32" t="s">
        <v>95</v>
      </c>
      <c r="C414" s="32" t="s">
        <v>53</v>
      </c>
      <c r="D414" s="32" t="s">
        <v>71</v>
      </c>
      <c r="E414" s="33"/>
      <c r="F414" s="34" t="str">
        <f>IF(E414="","",IFERROR(VLOOKUP(E414,'Input &amp; Settings'!$F$5:$G$10,2,FALSE),""))</f>
        <v/>
      </c>
      <c r="G414" s="33"/>
      <c r="H414" s="33"/>
      <c r="I414" s="35"/>
      <c r="J414" s="33"/>
      <c r="K414" s="36"/>
      <c r="L414" s="35"/>
      <c r="M414" s="33"/>
      <c r="N414" s="33"/>
      <c r="O414" s="33"/>
      <c r="P414" s="33"/>
      <c r="Q414" s="37" t="str">
        <f>IF(G414="","",IFERROR(MIN(100,G414/'Input &amp; Settings'!$B$5*100),""))</f>
        <v/>
      </c>
      <c r="R414" s="37" t="str">
        <f>IF(H414="","",IFERROR(MIN(100,H414/'Input &amp; Settings'!$B$6*100),""))</f>
        <v/>
      </c>
      <c r="S414" s="37" t="str">
        <f>IF(I414="","",IFERROR(MIN(100,I414/'Input &amp; Settings'!$B$7*100),""))</f>
        <v/>
      </c>
      <c r="T414" s="37" t="str">
        <f>IF(J414="","",IFERROR(MIN(100,J414/'Input &amp; Settings'!$B$8*100),""))</f>
        <v/>
      </c>
      <c r="U414" s="37" t="str">
        <f>IF(K414="","",IFERROR(MIN(100,K414/'Input &amp; Settings'!$B$9*100),""))</f>
        <v/>
      </c>
      <c r="V414" s="37" t="str">
        <f>IF(L414="","",IFERROR(MIN(100,L414/'Input &amp; Settings'!$B$10*100),""))</f>
        <v/>
      </c>
      <c r="W414" s="37" t="str">
        <f>IF(M414="","",IFERROR(IF(M414&lt;='Input &amp; Settings'!$B$11,100,MAX(0,100-(M414-'Input &amp; Settings'!$B$11)*20)),""))</f>
        <v/>
      </c>
      <c r="X414" s="37" t="str">
        <f>IF(N414="","",IFERROR(MIN(100,N414/'Input &amp; Settings'!$B$12*100),""))</f>
        <v/>
      </c>
      <c r="Y414" s="37" t="str">
        <f>IF(O414="","",IFERROR(MIN(100,O414/'Input &amp; Settings'!$B$13*100),""))</f>
        <v/>
      </c>
      <c r="Z414" s="37" t="str">
        <f>IF(P414="","",IFERROR(IF(P414&lt;='Input &amp; Settings'!$B$14,100,MAX(0,100-(P414-'Input &amp; Settings'!$B$14)*20)),""))</f>
        <v/>
      </c>
      <c r="AA414" s="37" t="str">
        <f>IF(COUNTA(G414:P414)=0,"",ROUND(Q414*'Input &amp; Settings'!$C$5+R414*'Input &amp; Settings'!$C$6+S414*'Input &amp; Settings'!$C$7+T414*'Input &amp; Settings'!$C$8+U414*'Input &amp; Settings'!$C$9+V414*'Input &amp; Settings'!$C$10+W414*'Input &amp; Settings'!$C$11+X414*'Input &amp; Settings'!$C$12+Y414*'Input &amp; Settings'!$C$13+Z414*'Input &amp; Settings'!$C$14,1))</f>
        <v/>
      </c>
      <c r="AB414" s="38" t="str">
        <f>IF(OR(AA414="",E414=""),"",IFERROR(IF(AA414&gt;=VLOOKUP(E414,'Input &amp; Settings'!$F$5:$K$10,3,FALSE),"Outstanding",IF(AA414&gt;=VLOOKUP(E414,'Input &amp; Settings'!$F$5:$K$10,4,FALSE),"Exceeds Expectations",IF(AA414&gt;=VLOOKUP(E414,'Input &amp; Settings'!$F$5:$K$10,5,FALSE),"Meets Expectations",IF(AA414&gt;=VLOOKUP(E414,'Input &amp; Settings'!$F$5:$K$10,6,FALSE),"Needs Improvement","Performance Improvement Required")))),""))</f>
        <v/>
      </c>
      <c r="AC414" s="38" t="str">
        <f t="shared" si="24"/>
        <v/>
      </c>
      <c r="AD414" s="39"/>
      <c r="AE414" s="40"/>
      <c r="AF414" s="41" t="str">
        <f t="shared" si="25"/>
        <v/>
      </c>
      <c r="AG414" s="42" t="str">
        <f t="shared" si="26"/>
        <v/>
      </c>
      <c r="AH414" s="42" t="str">
        <f t="shared" si="27"/>
        <v>Andrew Montgomery|October</v>
      </c>
    </row>
    <row r="415" spans="1:34" hidden="1">
      <c r="A415" s="32">
        <v>2026</v>
      </c>
      <c r="B415" s="32" t="s">
        <v>95</v>
      </c>
      <c r="C415" s="32" t="s">
        <v>53</v>
      </c>
      <c r="D415" s="32" t="s">
        <v>72</v>
      </c>
      <c r="E415" s="33"/>
      <c r="F415" s="34" t="str">
        <f>IF(E415="","",IFERROR(VLOOKUP(E415,'Input &amp; Settings'!$F$5:$G$10,2,FALSE),""))</f>
        <v/>
      </c>
      <c r="G415" s="33"/>
      <c r="H415" s="33"/>
      <c r="I415" s="35"/>
      <c r="J415" s="33"/>
      <c r="K415" s="36"/>
      <c r="L415" s="35"/>
      <c r="M415" s="33"/>
      <c r="N415" s="33"/>
      <c r="O415" s="33"/>
      <c r="P415" s="33"/>
      <c r="Q415" s="37" t="str">
        <f>IF(G415="","",IFERROR(MIN(100,G415/'Input &amp; Settings'!$B$5*100),""))</f>
        <v/>
      </c>
      <c r="R415" s="37" t="str">
        <f>IF(H415="","",IFERROR(MIN(100,H415/'Input &amp; Settings'!$B$6*100),""))</f>
        <v/>
      </c>
      <c r="S415" s="37" t="str">
        <f>IF(I415="","",IFERROR(MIN(100,I415/'Input &amp; Settings'!$B$7*100),""))</f>
        <v/>
      </c>
      <c r="T415" s="37" t="str">
        <f>IF(J415="","",IFERROR(MIN(100,J415/'Input &amp; Settings'!$B$8*100),""))</f>
        <v/>
      </c>
      <c r="U415" s="37" t="str">
        <f>IF(K415="","",IFERROR(MIN(100,K415/'Input &amp; Settings'!$B$9*100),""))</f>
        <v/>
      </c>
      <c r="V415" s="37" t="str">
        <f>IF(L415="","",IFERROR(MIN(100,L415/'Input &amp; Settings'!$B$10*100),""))</f>
        <v/>
      </c>
      <c r="W415" s="37" t="str">
        <f>IF(M415="","",IFERROR(IF(M415&lt;='Input &amp; Settings'!$B$11,100,MAX(0,100-(M415-'Input &amp; Settings'!$B$11)*20)),""))</f>
        <v/>
      </c>
      <c r="X415" s="37" t="str">
        <f>IF(N415="","",IFERROR(MIN(100,N415/'Input &amp; Settings'!$B$12*100),""))</f>
        <v/>
      </c>
      <c r="Y415" s="37" t="str">
        <f>IF(O415="","",IFERROR(MIN(100,O415/'Input &amp; Settings'!$B$13*100),""))</f>
        <v/>
      </c>
      <c r="Z415" s="37" t="str">
        <f>IF(P415="","",IFERROR(IF(P415&lt;='Input &amp; Settings'!$B$14,100,MAX(0,100-(P415-'Input &amp; Settings'!$B$14)*20)),""))</f>
        <v/>
      </c>
      <c r="AA415" s="37" t="str">
        <f>IF(COUNTA(G415:P415)=0,"",ROUND(Q415*'Input &amp; Settings'!$C$5+R415*'Input &amp; Settings'!$C$6+S415*'Input &amp; Settings'!$C$7+T415*'Input &amp; Settings'!$C$8+U415*'Input &amp; Settings'!$C$9+V415*'Input &amp; Settings'!$C$10+W415*'Input &amp; Settings'!$C$11+X415*'Input &amp; Settings'!$C$12+Y415*'Input &amp; Settings'!$C$13+Z415*'Input &amp; Settings'!$C$14,1))</f>
        <v/>
      </c>
      <c r="AB415" s="38" t="str">
        <f>IF(OR(AA415="",E415=""),"",IFERROR(IF(AA415&gt;=VLOOKUP(E415,'Input &amp; Settings'!$F$5:$K$10,3,FALSE),"Outstanding",IF(AA415&gt;=VLOOKUP(E415,'Input &amp; Settings'!$F$5:$K$10,4,FALSE),"Exceeds Expectations",IF(AA415&gt;=VLOOKUP(E415,'Input &amp; Settings'!$F$5:$K$10,5,FALSE),"Meets Expectations",IF(AA415&gt;=VLOOKUP(E415,'Input &amp; Settings'!$F$5:$K$10,6,FALSE),"Needs Improvement","Performance Improvement Required")))),""))</f>
        <v/>
      </c>
      <c r="AC415" s="38" t="str">
        <f t="shared" si="24"/>
        <v/>
      </c>
      <c r="AD415" s="39"/>
      <c r="AE415" s="40"/>
      <c r="AF415" s="41" t="str">
        <f t="shared" si="25"/>
        <v/>
      </c>
      <c r="AG415" s="42" t="str">
        <f t="shared" si="26"/>
        <v/>
      </c>
      <c r="AH415" s="42" t="str">
        <f t="shared" si="27"/>
        <v>Amanda Rodriguez|October</v>
      </c>
    </row>
    <row r="416" spans="1:34" hidden="1">
      <c r="A416" s="32">
        <v>2026</v>
      </c>
      <c r="B416" s="32" t="s">
        <v>95</v>
      </c>
      <c r="C416" s="32" t="s">
        <v>53</v>
      </c>
      <c r="D416" s="32" t="s">
        <v>73</v>
      </c>
      <c r="E416" s="33"/>
      <c r="F416" s="34" t="str">
        <f>IF(E416="","",IFERROR(VLOOKUP(E416,'Input &amp; Settings'!$F$5:$G$10,2,FALSE),""))</f>
        <v/>
      </c>
      <c r="G416" s="33"/>
      <c r="H416" s="33"/>
      <c r="I416" s="35"/>
      <c r="J416" s="33"/>
      <c r="K416" s="36"/>
      <c r="L416" s="35"/>
      <c r="M416" s="33"/>
      <c r="N416" s="33"/>
      <c r="O416" s="33"/>
      <c r="P416" s="33"/>
      <c r="Q416" s="37" t="str">
        <f>IF(G416="","",IFERROR(MIN(100,G416/'Input &amp; Settings'!$B$5*100),""))</f>
        <v/>
      </c>
      <c r="R416" s="37" t="str">
        <f>IF(H416="","",IFERROR(MIN(100,H416/'Input &amp; Settings'!$B$6*100),""))</f>
        <v/>
      </c>
      <c r="S416" s="37" t="str">
        <f>IF(I416="","",IFERROR(MIN(100,I416/'Input &amp; Settings'!$B$7*100),""))</f>
        <v/>
      </c>
      <c r="T416" s="37" t="str">
        <f>IF(J416="","",IFERROR(MIN(100,J416/'Input &amp; Settings'!$B$8*100),""))</f>
        <v/>
      </c>
      <c r="U416" s="37" t="str">
        <f>IF(K416="","",IFERROR(MIN(100,K416/'Input &amp; Settings'!$B$9*100),""))</f>
        <v/>
      </c>
      <c r="V416" s="37" t="str">
        <f>IF(L416="","",IFERROR(MIN(100,L416/'Input &amp; Settings'!$B$10*100),""))</f>
        <v/>
      </c>
      <c r="W416" s="37" t="str">
        <f>IF(M416="","",IFERROR(IF(M416&lt;='Input &amp; Settings'!$B$11,100,MAX(0,100-(M416-'Input &amp; Settings'!$B$11)*20)),""))</f>
        <v/>
      </c>
      <c r="X416" s="37" t="str">
        <f>IF(N416="","",IFERROR(MIN(100,N416/'Input &amp; Settings'!$B$12*100),""))</f>
        <v/>
      </c>
      <c r="Y416" s="37" t="str">
        <f>IF(O416="","",IFERROR(MIN(100,O416/'Input &amp; Settings'!$B$13*100),""))</f>
        <v/>
      </c>
      <c r="Z416" s="37" t="str">
        <f>IF(P416="","",IFERROR(IF(P416&lt;='Input &amp; Settings'!$B$14,100,MAX(0,100-(P416-'Input &amp; Settings'!$B$14)*20)),""))</f>
        <v/>
      </c>
      <c r="AA416" s="37" t="str">
        <f>IF(COUNTA(G416:P416)=0,"",ROUND(Q416*'Input &amp; Settings'!$C$5+R416*'Input &amp; Settings'!$C$6+S416*'Input &amp; Settings'!$C$7+T416*'Input &amp; Settings'!$C$8+U416*'Input &amp; Settings'!$C$9+V416*'Input &amp; Settings'!$C$10+W416*'Input &amp; Settings'!$C$11+X416*'Input &amp; Settings'!$C$12+Y416*'Input &amp; Settings'!$C$13+Z416*'Input &amp; Settings'!$C$14,1))</f>
        <v/>
      </c>
      <c r="AB416" s="38" t="str">
        <f>IF(OR(AA416="",E416=""),"",IFERROR(IF(AA416&gt;=VLOOKUP(E416,'Input &amp; Settings'!$F$5:$K$10,3,FALSE),"Outstanding",IF(AA416&gt;=VLOOKUP(E416,'Input &amp; Settings'!$F$5:$K$10,4,FALSE),"Exceeds Expectations",IF(AA416&gt;=VLOOKUP(E416,'Input &amp; Settings'!$F$5:$K$10,5,FALSE),"Meets Expectations",IF(AA416&gt;=VLOOKUP(E416,'Input &amp; Settings'!$F$5:$K$10,6,FALSE),"Needs Improvement","Performance Improvement Required")))),""))</f>
        <v/>
      </c>
      <c r="AC416" s="38" t="str">
        <f t="shared" si="24"/>
        <v/>
      </c>
      <c r="AD416" s="39"/>
      <c r="AE416" s="40"/>
      <c r="AF416" s="41" t="str">
        <f t="shared" si="25"/>
        <v/>
      </c>
      <c r="AG416" s="42" t="str">
        <f t="shared" si="26"/>
        <v/>
      </c>
      <c r="AH416" s="42" t="str">
        <f t="shared" si="27"/>
        <v>Erick Mojica|October</v>
      </c>
    </row>
    <row r="417" spans="1:34" hidden="1">
      <c r="A417" s="32">
        <v>2026</v>
      </c>
      <c r="B417" s="32" t="s">
        <v>95</v>
      </c>
      <c r="C417" s="32" t="s">
        <v>74</v>
      </c>
      <c r="D417" s="32" t="s">
        <v>75</v>
      </c>
      <c r="E417" s="33"/>
      <c r="F417" s="34" t="str">
        <f>IF(E417="","",IFERROR(VLOOKUP(E417,'Input &amp; Settings'!$F$5:$G$10,2,FALSE),""))</f>
        <v/>
      </c>
      <c r="G417" s="33"/>
      <c r="H417" s="33"/>
      <c r="I417" s="35"/>
      <c r="J417" s="33"/>
      <c r="K417" s="36"/>
      <c r="L417" s="35"/>
      <c r="M417" s="33"/>
      <c r="N417" s="33"/>
      <c r="O417" s="33"/>
      <c r="P417" s="33"/>
      <c r="Q417" s="37" t="str">
        <f>IF(G417="","",IFERROR(MIN(100,G417/'Input &amp; Settings'!$B$5*100),""))</f>
        <v/>
      </c>
      <c r="R417" s="37" t="str">
        <f>IF(H417="","",IFERROR(MIN(100,H417/'Input &amp; Settings'!$B$6*100),""))</f>
        <v/>
      </c>
      <c r="S417" s="37" t="str">
        <f>IF(I417="","",IFERROR(MIN(100,I417/'Input &amp; Settings'!$B$7*100),""))</f>
        <v/>
      </c>
      <c r="T417" s="37" t="str">
        <f>IF(J417="","",IFERROR(MIN(100,J417/'Input &amp; Settings'!$B$8*100),""))</f>
        <v/>
      </c>
      <c r="U417" s="37" t="str">
        <f>IF(K417="","",IFERROR(MIN(100,K417/'Input &amp; Settings'!$B$9*100),""))</f>
        <v/>
      </c>
      <c r="V417" s="37" t="str">
        <f>IF(L417="","",IFERROR(MIN(100,L417/'Input &amp; Settings'!$B$10*100),""))</f>
        <v/>
      </c>
      <c r="W417" s="37" t="str">
        <f>IF(M417="","",IFERROR(IF(M417&lt;='Input &amp; Settings'!$B$11,100,MAX(0,100-(M417-'Input &amp; Settings'!$B$11)*20)),""))</f>
        <v/>
      </c>
      <c r="X417" s="37" t="str">
        <f>IF(N417="","",IFERROR(MIN(100,N417/'Input &amp; Settings'!$B$12*100),""))</f>
        <v/>
      </c>
      <c r="Y417" s="37" t="str">
        <f>IF(O417="","",IFERROR(MIN(100,O417/'Input &amp; Settings'!$B$13*100),""))</f>
        <v/>
      </c>
      <c r="Z417" s="37" t="str">
        <f>IF(P417="","",IFERROR(IF(P417&lt;='Input &amp; Settings'!$B$14,100,MAX(0,100-(P417-'Input &amp; Settings'!$B$14)*20)),""))</f>
        <v/>
      </c>
      <c r="AA417" s="37" t="str">
        <f>IF(COUNTA(G417:P417)=0,"",ROUND(Q417*'Input &amp; Settings'!$C$5+R417*'Input &amp; Settings'!$C$6+S417*'Input &amp; Settings'!$C$7+T417*'Input &amp; Settings'!$C$8+U417*'Input &amp; Settings'!$C$9+V417*'Input &amp; Settings'!$C$10+W417*'Input &amp; Settings'!$C$11+X417*'Input &amp; Settings'!$C$12+Y417*'Input &amp; Settings'!$C$13+Z417*'Input &amp; Settings'!$C$14,1))</f>
        <v/>
      </c>
      <c r="AB417" s="38" t="str">
        <f>IF(OR(AA417="",E417=""),"",IFERROR(IF(AA417&gt;=VLOOKUP(E417,'Input &amp; Settings'!$F$5:$K$10,3,FALSE),"Outstanding",IF(AA417&gt;=VLOOKUP(E417,'Input &amp; Settings'!$F$5:$K$10,4,FALSE),"Exceeds Expectations",IF(AA417&gt;=VLOOKUP(E417,'Input &amp; Settings'!$F$5:$K$10,5,FALSE),"Meets Expectations",IF(AA417&gt;=VLOOKUP(E417,'Input &amp; Settings'!$F$5:$K$10,6,FALSE),"Needs Improvement","Performance Improvement Required")))),""))</f>
        <v/>
      </c>
      <c r="AC417" s="38" t="str">
        <f t="shared" si="24"/>
        <v/>
      </c>
      <c r="AD417" s="39"/>
      <c r="AE417" s="40"/>
      <c r="AF417" s="41" t="str">
        <f t="shared" si="25"/>
        <v/>
      </c>
      <c r="AG417" s="42" t="str">
        <f t="shared" si="26"/>
        <v/>
      </c>
      <c r="AH417" s="42" t="str">
        <f t="shared" si="27"/>
        <v>Raul Rama|October</v>
      </c>
    </row>
    <row r="418" spans="1:34" hidden="1">
      <c r="A418" s="32">
        <v>2026</v>
      </c>
      <c r="B418" s="32" t="s">
        <v>95</v>
      </c>
      <c r="C418" s="32" t="s">
        <v>74</v>
      </c>
      <c r="D418" s="32" t="s">
        <v>76</v>
      </c>
      <c r="E418" s="33"/>
      <c r="F418" s="34" t="str">
        <f>IF(E418="","",IFERROR(VLOOKUP(E418,'Input &amp; Settings'!$F$5:$G$10,2,FALSE),""))</f>
        <v/>
      </c>
      <c r="G418" s="33"/>
      <c r="H418" s="33"/>
      <c r="I418" s="35"/>
      <c r="J418" s="33"/>
      <c r="K418" s="36"/>
      <c r="L418" s="35"/>
      <c r="M418" s="33"/>
      <c r="N418" s="33"/>
      <c r="O418" s="33"/>
      <c r="P418" s="33"/>
      <c r="Q418" s="37" t="str">
        <f>IF(G418="","",IFERROR(MIN(100,G418/'Input &amp; Settings'!$B$5*100),""))</f>
        <v/>
      </c>
      <c r="R418" s="37" t="str">
        <f>IF(H418="","",IFERROR(MIN(100,H418/'Input &amp; Settings'!$B$6*100),""))</f>
        <v/>
      </c>
      <c r="S418" s="37" t="str">
        <f>IF(I418="","",IFERROR(MIN(100,I418/'Input &amp; Settings'!$B$7*100),""))</f>
        <v/>
      </c>
      <c r="T418" s="37" t="str">
        <f>IF(J418="","",IFERROR(MIN(100,J418/'Input &amp; Settings'!$B$8*100),""))</f>
        <v/>
      </c>
      <c r="U418" s="37" t="str">
        <f>IF(K418="","",IFERROR(MIN(100,K418/'Input &amp; Settings'!$B$9*100),""))</f>
        <v/>
      </c>
      <c r="V418" s="37" t="str">
        <f>IF(L418="","",IFERROR(MIN(100,L418/'Input &amp; Settings'!$B$10*100),""))</f>
        <v/>
      </c>
      <c r="W418" s="37" t="str">
        <f>IF(M418="","",IFERROR(IF(M418&lt;='Input &amp; Settings'!$B$11,100,MAX(0,100-(M418-'Input &amp; Settings'!$B$11)*20)),""))</f>
        <v/>
      </c>
      <c r="X418" s="37" t="str">
        <f>IF(N418="","",IFERROR(MIN(100,N418/'Input &amp; Settings'!$B$12*100),""))</f>
        <v/>
      </c>
      <c r="Y418" s="37" t="str">
        <f>IF(O418="","",IFERROR(MIN(100,O418/'Input &amp; Settings'!$B$13*100),""))</f>
        <v/>
      </c>
      <c r="Z418" s="37" t="str">
        <f>IF(P418="","",IFERROR(IF(P418&lt;='Input &amp; Settings'!$B$14,100,MAX(0,100-(P418-'Input &amp; Settings'!$B$14)*20)),""))</f>
        <v/>
      </c>
      <c r="AA418" s="37" t="str">
        <f>IF(COUNTA(G418:P418)=0,"",ROUND(Q418*'Input &amp; Settings'!$C$5+R418*'Input &amp; Settings'!$C$6+S418*'Input &amp; Settings'!$C$7+T418*'Input &amp; Settings'!$C$8+U418*'Input &amp; Settings'!$C$9+V418*'Input &amp; Settings'!$C$10+W418*'Input &amp; Settings'!$C$11+X418*'Input &amp; Settings'!$C$12+Y418*'Input &amp; Settings'!$C$13+Z418*'Input &amp; Settings'!$C$14,1))</f>
        <v/>
      </c>
      <c r="AB418" s="38" t="str">
        <f>IF(OR(AA418="",E418=""),"",IFERROR(IF(AA418&gt;=VLOOKUP(E418,'Input &amp; Settings'!$F$5:$K$10,3,FALSE),"Outstanding",IF(AA418&gt;=VLOOKUP(E418,'Input &amp; Settings'!$F$5:$K$10,4,FALSE),"Exceeds Expectations",IF(AA418&gt;=VLOOKUP(E418,'Input &amp; Settings'!$F$5:$K$10,5,FALSE),"Meets Expectations",IF(AA418&gt;=VLOOKUP(E418,'Input &amp; Settings'!$F$5:$K$10,6,FALSE),"Needs Improvement","Performance Improvement Required")))),""))</f>
        <v/>
      </c>
      <c r="AC418" s="38" t="str">
        <f t="shared" si="24"/>
        <v/>
      </c>
      <c r="AD418" s="39"/>
      <c r="AE418" s="40"/>
      <c r="AF418" s="41" t="str">
        <f t="shared" si="25"/>
        <v/>
      </c>
      <c r="AG418" s="42" t="str">
        <f t="shared" si="26"/>
        <v/>
      </c>
      <c r="AH418" s="42" t="str">
        <f t="shared" si="27"/>
        <v>Kaevon Tyler|October</v>
      </c>
    </row>
    <row r="419" spans="1:34" hidden="1">
      <c r="A419" s="32">
        <v>2026</v>
      </c>
      <c r="B419" s="32" t="s">
        <v>95</v>
      </c>
      <c r="C419" s="32" t="s">
        <v>74</v>
      </c>
      <c r="D419" s="32" t="s">
        <v>77</v>
      </c>
      <c r="E419" s="33"/>
      <c r="F419" s="34" t="str">
        <f>IF(E419="","",IFERROR(VLOOKUP(E419,'Input &amp; Settings'!$F$5:$G$10,2,FALSE),""))</f>
        <v/>
      </c>
      <c r="G419" s="33"/>
      <c r="H419" s="33"/>
      <c r="I419" s="35"/>
      <c r="J419" s="33"/>
      <c r="K419" s="36"/>
      <c r="L419" s="35"/>
      <c r="M419" s="33"/>
      <c r="N419" s="33"/>
      <c r="O419" s="33"/>
      <c r="P419" s="33"/>
      <c r="Q419" s="37" t="str">
        <f>IF(G419="","",IFERROR(MIN(100,G419/'Input &amp; Settings'!$B$5*100),""))</f>
        <v/>
      </c>
      <c r="R419" s="37" t="str">
        <f>IF(H419="","",IFERROR(MIN(100,H419/'Input &amp; Settings'!$B$6*100),""))</f>
        <v/>
      </c>
      <c r="S419" s="37" t="str">
        <f>IF(I419="","",IFERROR(MIN(100,I419/'Input &amp; Settings'!$B$7*100),""))</f>
        <v/>
      </c>
      <c r="T419" s="37" t="str">
        <f>IF(J419="","",IFERROR(MIN(100,J419/'Input &amp; Settings'!$B$8*100),""))</f>
        <v/>
      </c>
      <c r="U419" s="37" t="str">
        <f>IF(K419="","",IFERROR(MIN(100,K419/'Input &amp; Settings'!$B$9*100),""))</f>
        <v/>
      </c>
      <c r="V419" s="37" t="str">
        <f>IF(L419="","",IFERROR(MIN(100,L419/'Input &amp; Settings'!$B$10*100),""))</f>
        <v/>
      </c>
      <c r="W419" s="37" t="str">
        <f>IF(M419="","",IFERROR(IF(M419&lt;='Input &amp; Settings'!$B$11,100,MAX(0,100-(M419-'Input &amp; Settings'!$B$11)*20)),""))</f>
        <v/>
      </c>
      <c r="X419" s="37" t="str">
        <f>IF(N419="","",IFERROR(MIN(100,N419/'Input &amp; Settings'!$B$12*100),""))</f>
        <v/>
      </c>
      <c r="Y419" s="37" t="str">
        <f>IF(O419="","",IFERROR(MIN(100,O419/'Input &amp; Settings'!$B$13*100),""))</f>
        <v/>
      </c>
      <c r="Z419" s="37" t="str">
        <f>IF(P419="","",IFERROR(IF(P419&lt;='Input &amp; Settings'!$B$14,100,MAX(0,100-(P419-'Input &amp; Settings'!$B$14)*20)),""))</f>
        <v/>
      </c>
      <c r="AA419" s="37" t="str">
        <f>IF(COUNTA(G419:P419)=0,"",ROUND(Q419*'Input &amp; Settings'!$C$5+R419*'Input &amp; Settings'!$C$6+S419*'Input &amp; Settings'!$C$7+T419*'Input &amp; Settings'!$C$8+U419*'Input &amp; Settings'!$C$9+V419*'Input &amp; Settings'!$C$10+W419*'Input &amp; Settings'!$C$11+X419*'Input &amp; Settings'!$C$12+Y419*'Input &amp; Settings'!$C$13+Z419*'Input &amp; Settings'!$C$14,1))</f>
        <v/>
      </c>
      <c r="AB419" s="38" t="str">
        <f>IF(OR(AA419="",E419=""),"",IFERROR(IF(AA419&gt;=VLOOKUP(E419,'Input &amp; Settings'!$F$5:$K$10,3,FALSE),"Outstanding",IF(AA419&gt;=VLOOKUP(E419,'Input &amp; Settings'!$F$5:$K$10,4,FALSE),"Exceeds Expectations",IF(AA419&gt;=VLOOKUP(E419,'Input &amp; Settings'!$F$5:$K$10,5,FALSE),"Meets Expectations",IF(AA419&gt;=VLOOKUP(E419,'Input &amp; Settings'!$F$5:$K$10,6,FALSE),"Needs Improvement","Performance Improvement Required")))),""))</f>
        <v/>
      </c>
      <c r="AC419" s="38" t="str">
        <f t="shared" si="24"/>
        <v/>
      </c>
      <c r="AD419" s="39"/>
      <c r="AE419" s="40"/>
      <c r="AF419" s="41" t="str">
        <f t="shared" si="25"/>
        <v/>
      </c>
      <c r="AG419" s="42" t="str">
        <f t="shared" si="26"/>
        <v/>
      </c>
      <c r="AH419" s="42" t="str">
        <f t="shared" si="27"/>
        <v>Christopher Dorta|October</v>
      </c>
    </row>
    <row r="420" spans="1:34" hidden="1">
      <c r="A420" s="32">
        <v>2026</v>
      </c>
      <c r="B420" s="32" t="s">
        <v>95</v>
      </c>
      <c r="C420" s="32" t="s">
        <v>74</v>
      </c>
      <c r="D420" s="32" t="s">
        <v>78</v>
      </c>
      <c r="E420" s="33"/>
      <c r="F420" s="34" t="str">
        <f>IF(E420="","",IFERROR(VLOOKUP(E420,'Input &amp; Settings'!$F$5:$G$10,2,FALSE),""))</f>
        <v/>
      </c>
      <c r="G420" s="33"/>
      <c r="H420" s="33"/>
      <c r="I420" s="35"/>
      <c r="J420" s="33"/>
      <c r="K420" s="36"/>
      <c r="L420" s="35"/>
      <c r="M420" s="33"/>
      <c r="N420" s="33"/>
      <c r="O420" s="33"/>
      <c r="P420" s="33"/>
      <c r="Q420" s="37" t="str">
        <f>IF(G420="","",IFERROR(MIN(100,G420/'Input &amp; Settings'!$B$5*100),""))</f>
        <v/>
      </c>
      <c r="R420" s="37" t="str">
        <f>IF(H420="","",IFERROR(MIN(100,H420/'Input &amp; Settings'!$B$6*100),""))</f>
        <v/>
      </c>
      <c r="S420" s="37" t="str">
        <f>IF(I420="","",IFERROR(MIN(100,I420/'Input &amp; Settings'!$B$7*100),""))</f>
        <v/>
      </c>
      <c r="T420" s="37" t="str">
        <f>IF(J420="","",IFERROR(MIN(100,J420/'Input &amp; Settings'!$B$8*100),""))</f>
        <v/>
      </c>
      <c r="U420" s="37" t="str">
        <f>IF(K420="","",IFERROR(MIN(100,K420/'Input &amp; Settings'!$B$9*100),""))</f>
        <v/>
      </c>
      <c r="V420" s="37" t="str">
        <f>IF(L420="","",IFERROR(MIN(100,L420/'Input &amp; Settings'!$B$10*100),""))</f>
        <v/>
      </c>
      <c r="W420" s="37" t="str">
        <f>IF(M420="","",IFERROR(IF(M420&lt;='Input &amp; Settings'!$B$11,100,MAX(0,100-(M420-'Input &amp; Settings'!$B$11)*20)),""))</f>
        <v/>
      </c>
      <c r="X420" s="37" t="str">
        <f>IF(N420="","",IFERROR(MIN(100,N420/'Input &amp; Settings'!$B$12*100),""))</f>
        <v/>
      </c>
      <c r="Y420" s="37" t="str">
        <f>IF(O420="","",IFERROR(MIN(100,O420/'Input &amp; Settings'!$B$13*100),""))</f>
        <v/>
      </c>
      <c r="Z420" s="37" t="str">
        <f>IF(P420="","",IFERROR(IF(P420&lt;='Input &amp; Settings'!$B$14,100,MAX(0,100-(P420-'Input &amp; Settings'!$B$14)*20)),""))</f>
        <v/>
      </c>
      <c r="AA420" s="37" t="str">
        <f>IF(COUNTA(G420:P420)=0,"",ROUND(Q420*'Input &amp; Settings'!$C$5+R420*'Input &amp; Settings'!$C$6+S420*'Input &amp; Settings'!$C$7+T420*'Input &amp; Settings'!$C$8+U420*'Input &amp; Settings'!$C$9+V420*'Input &amp; Settings'!$C$10+W420*'Input &amp; Settings'!$C$11+X420*'Input &amp; Settings'!$C$12+Y420*'Input &amp; Settings'!$C$13+Z420*'Input &amp; Settings'!$C$14,1))</f>
        <v/>
      </c>
      <c r="AB420" s="38" t="str">
        <f>IF(OR(AA420="",E420=""),"",IFERROR(IF(AA420&gt;=VLOOKUP(E420,'Input &amp; Settings'!$F$5:$K$10,3,FALSE),"Outstanding",IF(AA420&gt;=VLOOKUP(E420,'Input &amp; Settings'!$F$5:$K$10,4,FALSE),"Exceeds Expectations",IF(AA420&gt;=VLOOKUP(E420,'Input &amp; Settings'!$F$5:$K$10,5,FALSE),"Meets Expectations",IF(AA420&gt;=VLOOKUP(E420,'Input &amp; Settings'!$F$5:$K$10,6,FALSE),"Needs Improvement","Performance Improvement Required")))),""))</f>
        <v/>
      </c>
      <c r="AC420" s="38" t="str">
        <f t="shared" si="24"/>
        <v/>
      </c>
      <c r="AD420" s="39"/>
      <c r="AE420" s="40"/>
      <c r="AF420" s="41" t="str">
        <f t="shared" si="25"/>
        <v/>
      </c>
      <c r="AG420" s="42" t="str">
        <f t="shared" si="26"/>
        <v/>
      </c>
      <c r="AH420" s="42" t="str">
        <f t="shared" si="27"/>
        <v>Andres Galvis|October</v>
      </c>
    </row>
    <row r="421" spans="1:34" hidden="1">
      <c r="A421" s="32">
        <v>2026</v>
      </c>
      <c r="B421" s="32" t="s">
        <v>95</v>
      </c>
      <c r="C421" s="32" t="s">
        <v>74</v>
      </c>
      <c r="D421" s="32" t="s">
        <v>79</v>
      </c>
      <c r="E421" s="33"/>
      <c r="F421" s="34" t="str">
        <f>IF(E421="","",IFERROR(VLOOKUP(E421,'Input &amp; Settings'!$F$5:$G$10,2,FALSE),""))</f>
        <v/>
      </c>
      <c r="G421" s="33"/>
      <c r="H421" s="33"/>
      <c r="I421" s="35"/>
      <c r="J421" s="33"/>
      <c r="K421" s="36"/>
      <c r="L421" s="35"/>
      <c r="M421" s="33"/>
      <c r="N421" s="33"/>
      <c r="O421" s="33"/>
      <c r="P421" s="33"/>
      <c r="Q421" s="37" t="str">
        <f>IF(G421="","",IFERROR(MIN(100,G421/'Input &amp; Settings'!$B$5*100),""))</f>
        <v/>
      </c>
      <c r="R421" s="37" t="str">
        <f>IF(H421="","",IFERROR(MIN(100,H421/'Input &amp; Settings'!$B$6*100),""))</f>
        <v/>
      </c>
      <c r="S421" s="37" t="str">
        <f>IF(I421="","",IFERROR(MIN(100,I421/'Input &amp; Settings'!$B$7*100),""))</f>
        <v/>
      </c>
      <c r="T421" s="37" t="str">
        <f>IF(J421="","",IFERROR(MIN(100,J421/'Input &amp; Settings'!$B$8*100),""))</f>
        <v/>
      </c>
      <c r="U421" s="37" t="str">
        <f>IF(K421="","",IFERROR(MIN(100,K421/'Input &amp; Settings'!$B$9*100),""))</f>
        <v/>
      </c>
      <c r="V421" s="37" t="str">
        <f>IF(L421="","",IFERROR(MIN(100,L421/'Input &amp; Settings'!$B$10*100),""))</f>
        <v/>
      </c>
      <c r="W421" s="37" t="str">
        <f>IF(M421="","",IFERROR(IF(M421&lt;='Input &amp; Settings'!$B$11,100,MAX(0,100-(M421-'Input &amp; Settings'!$B$11)*20)),""))</f>
        <v/>
      </c>
      <c r="X421" s="37" t="str">
        <f>IF(N421="","",IFERROR(MIN(100,N421/'Input &amp; Settings'!$B$12*100),""))</f>
        <v/>
      </c>
      <c r="Y421" s="37" t="str">
        <f>IF(O421="","",IFERROR(MIN(100,O421/'Input &amp; Settings'!$B$13*100),""))</f>
        <v/>
      </c>
      <c r="Z421" s="37" t="str">
        <f>IF(P421="","",IFERROR(IF(P421&lt;='Input &amp; Settings'!$B$14,100,MAX(0,100-(P421-'Input &amp; Settings'!$B$14)*20)),""))</f>
        <v/>
      </c>
      <c r="AA421" s="37" t="str">
        <f>IF(COUNTA(G421:P421)=0,"",ROUND(Q421*'Input &amp; Settings'!$C$5+R421*'Input &amp; Settings'!$C$6+S421*'Input &amp; Settings'!$C$7+T421*'Input &amp; Settings'!$C$8+U421*'Input &amp; Settings'!$C$9+V421*'Input &amp; Settings'!$C$10+W421*'Input &amp; Settings'!$C$11+X421*'Input &amp; Settings'!$C$12+Y421*'Input &amp; Settings'!$C$13+Z421*'Input &amp; Settings'!$C$14,1))</f>
        <v/>
      </c>
      <c r="AB421" s="38" t="str">
        <f>IF(OR(AA421="",E421=""),"",IFERROR(IF(AA421&gt;=VLOOKUP(E421,'Input &amp; Settings'!$F$5:$K$10,3,FALSE),"Outstanding",IF(AA421&gt;=VLOOKUP(E421,'Input &amp; Settings'!$F$5:$K$10,4,FALSE),"Exceeds Expectations",IF(AA421&gt;=VLOOKUP(E421,'Input &amp; Settings'!$F$5:$K$10,5,FALSE),"Meets Expectations",IF(AA421&gt;=VLOOKUP(E421,'Input &amp; Settings'!$F$5:$K$10,6,FALSE),"Needs Improvement","Performance Improvement Required")))),""))</f>
        <v/>
      </c>
      <c r="AC421" s="38" t="str">
        <f t="shared" si="24"/>
        <v/>
      </c>
      <c r="AD421" s="39"/>
      <c r="AE421" s="40"/>
      <c r="AF421" s="41" t="str">
        <f t="shared" si="25"/>
        <v/>
      </c>
      <c r="AG421" s="42" t="str">
        <f t="shared" si="26"/>
        <v/>
      </c>
      <c r="AH421" s="42" t="str">
        <f t="shared" si="27"/>
        <v>Roberto Eckardt|October</v>
      </c>
    </row>
    <row r="422" spans="1:34" hidden="1">
      <c r="A422" s="32">
        <v>2026</v>
      </c>
      <c r="B422" s="32" t="s">
        <v>95</v>
      </c>
      <c r="C422" s="32" t="s">
        <v>74</v>
      </c>
      <c r="D422" s="32" t="s">
        <v>80</v>
      </c>
      <c r="E422" s="33"/>
      <c r="F422" s="34" t="str">
        <f>IF(E422="","",IFERROR(VLOOKUP(E422,'Input &amp; Settings'!$F$5:$G$10,2,FALSE),""))</f>
        <v/>
      </c>
      <c r="G422" s="33"/>
      <c r="H422" s="33"/>
      <c r="I422" s="35"/>
      <c r="J422" s="33"/>
      <c r="K422" s="36"/>
      <c r="L422" s="35"/>
      <c r="M422" s="33"/>
      <c r="N422" s="33"/>
      <c r="O422" s="33"/>
      <c r="P422" s="33"/>
      <c r="Q422" s="37" t="str">
        <f>IF(G422="","",IFERROR(MIN(100,G422/'Input &amp; Settings'!$B$5*100),""))</f>
        <v/>
      </c>
      <c r="R422" s="37" t="str">
        <f>IF(H422="","",IFERROR(MIN(100,H422/'Input &amp; Settings'!$B$6*100),""))</f>
        <v/>
      </c>
      <c r="S422" s="37" t="str">
        <f>IF(I422="","",IFERROR(MIN(100,I422/'Input &amp; Settings'!$B$7*100),""))</f>
        <v/>
      </c>
      <c r="T422" s="37" t="str">
        <f>IF(J422="","",IFERROR(MIN(100,J422/'Input &amp; Settings'!$B$8*100),""))</f>
        <v/>
      </c>
      <c r="U422" s="37" t="str">
        <f>IF(K422="","",IFERROR(MIN(100,K422/'Input &amp; Settings'!$B$9*100),""))</f>
        <v/>
      </c>
      <c r="V422" s="37" t="str">
        <f>IF(L422="","",IFERROR(MIN(100,L422/'Input &amp; Settings'!$B$10*100),""))</f>
        <v/>
      </c>
      <c r="W422" s="37" t="str">
        <f>IF(M422="","",IFERROR(IF(M422&lt;='Input &amp; Settings'!$B$11,100,MAX(0,100-(M422-'Input &amp; Settings'!$B$11)*20)),""))</f>
        <v/>
      </c>
      <c r="X422" s="37" t="str">
        <f>IF(N422="","",IFERROR(MIN(100,N422/'Input &amp; Settings'!$B$12*100),""))</f>
        <v/>
      </c>
      <c r="Y422" s="37" t="str">
        <f>IF(O422="","",IFERROR(MIN(100,O422/'Input &amp; Settings'!$B$13*100),""))</f>
        <v/>
      </c>
      <c r="Z422" s="37" t="str">
        <f>IF(P422="","",IFERROR(IF(P422&lt;='Input &amp; Settings'!$B$14,100,MAX(0,100-(P422-'Input &amp; Settings'!$B$14)*20)),""))</f>
        <v/>
      </c>
      <c r="AA422" s="37" t="str">
        <f>IF(COUNTA(G422:P422)=0,"",ROUND(Q422*'Input &amp; Settings'!$C$5+R422*'Input &amp; Settings'!$C$6+S422*'Input &amp; Settings'!$C$7+T422*'Input &amp; Settings'!$C$8+U422*'Input &amp; Settings'!$C$9+V422*'Input &amp; Settings'!$C$10+W422*'Input &amp; Settings'!$C$11+X422*'Input &amp; Settings'!$C$12+Y422*'Input &amp; Settings'!$C$13+Z422*'Input &amp; Settings'!$C$14,1))</f>
        <v/>
      </c>
      <c r="AB422" s="38" t="str">
        <f>IF(OR(AA422="",E422=""),"",IFERROR(IF(AA422&gt;=VLOOKUP(E422,'Input &amp; Settings'!$F$5:$K$10,3,FALSE),"Outstanding",IF(AA422&gt;=VLOOKUP(E422,'Input &amp; Settings'!$F$5:$K$10,4,FALSE),"Exceeds Expectations",IF(AA422&gt;=VLOOKUP(E422,'Input &amp; Settings'!$F$5:$K$10,5,FALSE),"Meets Expectations",IF(AA422&gt;=VLOOKUP(E422,'Input &amp; Settings'!$F$5:$K$10,6,FALSE),"Needs Improvement","Performance Improvement Required")))),""))</f>
        <v/>
      </c>
      <c r="AC422" s="38" t="str">
        <f t="shared" si="24"/>
        <v/>
      </c>
      <c r="AD422" s="39"/>
      <c r="AE422" s="40"/>
      <c r="AF422" s="41" t="str">
        <f t="shared" si="25"/>
        <v/>
      </c>
      <c r="AG422" s="42" t="str">
        <f t="shared" si="26"/>
        <v/>
      </c>
      <c r="AH422" s="42" t="str">
        <f t="shared" si="27"/>
        <v>Angel Perez Martinez|October</v>
      </c>
    </row>
    <row r="423" spans="1:34" hidden="1">
      <c r="A423" s="32">
        <v>2026</v>
      </c>
      <c r="B423" s="32" t="s">
        <v>96</v>
      </c>
      <c r="C423" s="32" t="s">
        <v>36</v>
      </c>
      <c r="D423" s="32" t="s">
        <v>37</v>
      </c>
      <c r="E423" s="33"/>
      <c r="F423" s="34" t="str">
        <f>IF(E423="","",IFERROR(VLOOKUP(E423,'Input &amp; Settings'!$F$5:$G$10,2,FALSE),""))</f>
        <v/>
      </c>
      <c r="G423" s="33"/>
      <c r="H423" s="33"/>
      <c r="I423" s="35"/>
      <c r="J423" s="33"/>
      <c r="K423" s="36"/>
      <c r="L423" s="35"/>
      <c r="M423" s="33"/>
      <c r="N423" s="33"/>
      <c r="O423" s="33"/>
      <c r="P423" s="33"/>
      <c r="Q423" s="37" t="str">
        <f>IF(G423="","",IFERROR(MIN(100,G423/'Input &amp; Settings'!$B$5*100),""))</f>
        <v/>
      </c>
      <c r="R423" s="37" t="str">
        <f>IF(H423="","",IFERROR(MIN(100,H423/'Input &amp; Settings'!$B$6*100),""))</f>
        <v/>
      </c>
      <c r="S423" s="37" t="str">
        <f>IF(I423="","",IFERROR(MIN(100,I423/'Input &amp; Settings'!$B$7*100),""))</f>
        <v/>
      </c>
      <c r="T423" s="37" t="str">
        <f>IF(J423="","",IFERROR(MIN(100,J423/'Input &amp; Settings'!$B$8*100),""))</f>
        <v/>
      </c>
      <c r="U423" s="37" t="str">
        <f>IF(K423="","",IFERROR(MIN(100,K423/'Input &amp; Settings'!$B$9*100),""))</f>
        <v/>
      </c>
      <c r="V423" s="37" t="str">
        <f>IF(L423="","",IFERROR(MIN(100,L423/'Input &amp; Settings'!$B$10*100),""))</f>
        <v/>
      </c>
      <c r="W423" s="37" t="str">
        <f>IF(M423="","",IFERROR(IF(M423&lt;='Input &amp; Settings'!$B$11,100,MAX(0,100-(M423-'Input &amp; Settings'!$B$11)*20)),""))</f>
        <v/>
      </c>
      <c r="X423" s="37" t="str">
        <f>IF(N423="","",IFERROR(MIN(100,N423/'Input &amp; Settings'!$B$12*100),""))</f>
        <v/>
      </c>
      <c r="Y423" s="37" t="str">
        <f>IF(O423="","",IFERROR(MIN(100,O423/'Input &amp; Settings'!$B$13*100),""))</f>
        <v/>
      </c>
      <c r="Z423" s="37" t="str">
        <f>IF(P423="","",IFERROR(IF(P423&lt;='Input &amp; Settings'!$B$14,100,MAX(0,100-(P423-'Input &amp; Settings'!$B$14)*20)),""))</f>
        <v/>
      </c>
      <c r="AA423" s="37" t="str">
        <f>IF(COUNTA(G423:P423)=0,"",ROUND(Q423*'Input &amp; Settings'!$C$5+R423*'Input &amp; Settings'!$C$6+S423*'Input &amp; Settings'!$C$7+T423*'Input &amp; Settings'!$C$8+U423*'Input &amp; Settings'!$C$9+V423*'Input &amp; Settings'!$C$10+W423*'Input &amp; Settings'!$C$11+X423*'Input &amp; Settings'!$C$12+Y423*'Input &amp; Settings'!$C$13+Z423*'Input &amp; Settings'!$C$14,1))</f>
        <v/>
      </c>
      <c r="AB423" s="38" t="str">
        <f>IF(OR(AA423="",E423=""),"",IFERROR(IF(AA423&gt;=VLOOKUP(E423,'Input &amp; Settings'!$F$5:$K$10,3,FALSE),"Outstanding",IF(AA423&gt;=VLOOKUP(E423,'Input &amp; Settings'!$F$5:$K$10,4,FALSE),"Exceeds Expectations",IF(AA423&gt;=VLOOKUP(E423,'Input &amp; Settings'!$F$5:$K$10,5,FALSE),"Meets Expectations",IF(AA423&gt;=VLOOKUP(E423,'Input &amp; Settings'!$F$5:$K$10,6,FALSE),"Needs Improvement","Performance Improvement Required")))),""))</f>
        <v/>
      </c>
      <c r="AC423" s="38" t="str">
        <f t="shared" si="24"/>
        <v/>
      </c>
      <c r="AD423" s="39"/>
      <c r="AE423" s="40"/>
      <c r="AF423" s="41" t="str">
        <f t="shared" si="25"/>
        <v/>
      </c>
      <c r="AG423" s="42" t="str">
        <f t="shared" si="26"/>
        <v/>
      </c>
      <c r="AH423" s="42" t="str">
        <f t="shared" si="27"/>
        <v>Carly Huber|November</v>
      </c>
    </row>
    <row r="424" spans="1:34" hidden="1">
      <c r="A424" s="32">
        <v>2026</v>
      </c>
      <c r="B424" s="32" t="s">
        <v>96</v>
      </c>
      <c r="C424" s="32" t="s">
        <v>36</v>
      </c>
      <c r="D424" s="32" t="s">
        <v>38</v>
      </c>
      <c r="E424" s="33"/>
      <c r="F424" s="34" t="str">
        <f>IF(E424="","",IFERROR(VLOOKUP(E424,'Input &amp; Settings'!$F$5:$G$10,2,FALSE),""))</f>
        <v/>
      </c>
      <c r="G424" s="33"/>
      <c r="H424" s="33"/>
      <c r="I424" s="35"/>
      <c r="J424" s="33"/>
      <c r="K424" s="36"/>
      <c r="L424" s="35"/>
      <c r="M424" s="33"/>
      <c r="N424" s="33"/>
      <c r="O424" s="33"/>
      <c r="P424" s="33"/>
      <c r="Q424" s="37" t="str">
        <f>IF(G424="","",IFERROR(MIN(100,G424/'Input &amp; Settings'!$B$5*100),""))</f>
        <v/>
      </c>
      <c r="R424" s="37" t="str">
        <f>IF(H424="","",IFERROR(MIN(100,H424/'Input &amp; Settings'!$B$6*100),""))</f>
        <v/>
      </c>
      <c r="S424" s="37" t="str">
        <f>IF(I424="","",IFERROR(MIN(100,I424/'Input &amp; Settings'!$B$7*100),""))</f>
        <v/>
      </c>
      <c r="T424" s="37" t="str">
        <f>IF(J424="","",IFERROR(MIN(100,J424/'Input &amp; Settings'!$B$8*100),""))</f>
        <v/>
      </c>
      <c r="U424" s="37" t="str">
        <f>IF(K424="","",IFERROR(MIN(100,K424/'Input &amp; Settings'!$B$9*100),""))</f>
        <v/>
      </c>
      <c r="V424" s="37" t="str">
        <f>IF(L424="","",IFERROR(MIN(100,L424/'Input &amp; Settings'!$B$10*100),""))</f>
        <v/>
      </c>
      <c r="W424" s="37" t="str">
        <f>IF(M424="","",IFERROR(IF(M424&lt;='Input &amp; Settings'!$B$11,100,MAX(0,100-(M424-'Input &amp; Settings'!$B$11)*20)),""))</f>
        <v/>
      </c>
      <c r="X424" s="37" t="str">
        <f>IF(N424="","",IFERROR(MIN(100,N424/'Input &amp; Settings'!$B$12*100),""))</f>
        <v/>
      </c>
      <c r="Y424" s="37" t="str">
        <f>IF(O424="","",IFERROR(MIN(100,O424/'Input &amp; Settings'!$B$13*100),""))</f>
        <v/>
      </c>
      <c r="Z424" s="37" t="str">
        <f>IF(P424="","",IFERROR(IF(P424&lt;='Input &amp; Settings'!$B$14,100,MAX(0,100-(P424-'Input &amp; Settings'!$B$14)*20)),""))</f>
        <v/>
      </c>
      <c r="AA424" s="37" t="str">
        <f>IF(COUNTA(G424:P424)=0,"",ROUND(Q424*'Input &amp; Settings'!$C$5+R424*'Input &amp; Settings'!$C$6+S424*'Input &amp; Settings'!$C$7+T424*'Input &amp; Settings'!$C$8+U424*'Input &amp; Settings'!$C$9+V424*'Input &amp; Settings'!$C$10+W424*'Input &amp; Settings'!$C$11+X424*'Input &amp; Settings'!$C$12+Y424*'Input &amp; Settings'!$C$13+Z424*'Input &amp; Settings'!$C$14,1))</f>
        <v/>
      </c>
      <c r="AB424" s="38" t="str">
        <f>IF(OR(AA424="",E424=""),"",IFERROR(IF(AA424&gt;=VLOOKUP(E424,'Input &amp; Settings'!$F$5:$K$10,3,FALSE),"Outstanding",IF(AA424&gt;=VLOOKUP(E424,'Input &amp; Settings'!$F$5:$K$10,4,FALSE),"Exceeds Expectations",IF(AA424&gt;=VLOOKUP(E424,'Input &amp; Settings'!$F$5:$K$10,5,FALSE),"Meets Expectations",IF(AA424&gt;=VLOOKUP(E424,'Input &amp; Settings'!$F$5:$K$10,6,FALSE),"Needs Improvement","Performance Improvement Required")))),""))</f>
        <v/>
      </c>
      <c r="AC424" s="38" t="str">
        <f t="shared" si="24"/>
        <v/>
      </c>
      <c r="AD424" s="39"/>
      <c r="AE424" s="40"/>
      <c r="AF424" s="41" t="str">
        <f t="shared" si="25"/>
        <v/>
      </c>
      <c r="AG424" s="42" t="str">
        <f t="shared" si="26"/>
        <v/>
      </c>
      <c r="AH424" s="42" t="str">
        <f t="shared" si="27"/>
        <v>Julian Grier|November</v>
      </c>
    </row>
    <row r="425" spans="1:34" hidden="1">
      <c r="A425" s="32">
        <v>2026</v>
      </c>
      <c r="B425" s="32" t="s">
        <v>96</v>
      </c>
      <c r="C425" s="32" t="s">
        <v>36</v>
      </c>
      <c r="D425" s="32" t="s">
        <v>39</v>
      </c>
      <c r="E425" s="33"/>
      <c r="F425" s="34" t="str">
        <f>IF(E425="","",IFERROR(VLOOKUP(E425,'Input &amp; Settings'!$F$5:$G$10,2,FALSE),""))</f>
        <v/>
      </c>
      <c r="G425" s="33"/>
      <c r="H425" s="33"/>
      <c r="I425" s="35"/>
      <c r="J425" s="33"/>
      <c r="K425" s="36"/>
      <c r="L425" s="35"/>
      <c r="M425" s="33"/>
      <c r="N425" s="33"/>
      <c r="O425" s="33"/>
      <c r="P425" s="33"/>
      <c r="Q425" s="37" t="str">
        <f>IF(G425="","",IFERROR(MIN(100,G425/'Input &amp; Settings'!$B$5*100),""))</f>
        <v/>
      </c>
      <c r="R425" s="37" t="str">
        <f>IF(H425="","",IFERROR(MIN(100,H425/'Input &amp; Settings'!$B$6*100),""))</f>
        <v/>
      </c>
      <c r="S425" s="37" t="str">
        <f>IF(I425="","",IFERROR(MIN(100,I425/'Input &amp; Settings'!$B$7*100),""))</f>
        <v/>
      </c>
      <c r="T425" s="37" t="str">
        <f>IF(J425="","",IFERROR(MIN(100,J425/'Input &amp; Settings'!$B$8*100),""))</f>
        <v/>
      </c>
      <c r="U425" s="37" t="str">
        <f>IF(K425="","",IFERROR(MIN(100,K425/'Input &amp; Settings'!$B$9*100),""))</f>
        <v/>
      </c>
      <c r="V425" s="37" t="str">
        <f>IF(L425="","",IFERROR(MIN(100,L425/'Input &amp; Settings'!$B$10*100),""))</f>
        <v/>
      </c>
      <c r="W425" s="37" t="str">
        <f>IF(M425="","",IFERROR(IF(M425&lt;='Input &amp; Settings'!$B$11,100,MAX(0,100-(M425-'Input &amp; Settings'!$B$11)*20)),""))</f>
        <v/>
      </c>
      <c r="X425" s="37" t="str">
        <f>IF(N425="","",IFERROR(MIN(100,N425/'Input &amp; Settings'!$B$12*100),""))</f>
        <v/>
      </c>
      <c r="Y425" s="37" t="str">
        <f>IF(O425="","",IFERROR(MIN(100,O425/'Input &amp; Settings'!$B$13*100),""))</f>
        <v/>
      </c>
      <c r="Z425" s="37" t="str">
        <f>IF(P425="","",IFERROR(IF(P425&lt;='Input &amp; Settings'!$B$14,100,MAX(0,100-(P425-'Input &amp; Settings'!$B$14)*20)),""))</f>
        <v/>
      </c>
      <c r="AA425" s="37" t="str">
        <f>IF(COUNTA(G425:P425)=0,"",ROUND(Q425*'Input &amp; Settings'!$C$5+R425*'Input &amp; Settings'!$C$6+S425*'Input &amp; Settings'!$C$7+T425*'Input &amp; Settings'!$C$8+U425*'Input &amp; Settings'!$C$9+V425*'Input &amp; Settings'!$C$10+W425*'Input &amp; Settings'!$C$11+X425*'Input &amp; Settings'!$C$12+Y425*'Input &amp; Settings'!$C$13+Z425*'Input &amp; Settings'!$C$14,1))</f>
        <v/>
      </c>
      <c r="AB425" s="38" t="str">
        <f>IF(OR(AA425="",E425=""),"",IFERROR(IF(AA425&gt;=VLOOKUP(E425,'Input &amp; Settings'!$F$5:$K$10,3,FALSE),"Outstanding",IF(AA425&gt;=VLOOKUP(E425,'Input &amp; Settings'!$F$5:$K$10,4,FALSE),"Exceeds Expectations",IF(AA425&gt;=VLOOKUP(E425,'Input &amp; Settings'!$F$5:$K$10,5,FALSE),"Meets Expectations",IF(AA425&gt;=VLOOKUP(E425,'Input &amp; Settings'!$F$5:$K$10,6,FALSE),"Needs Improvement","Performance Improvement Required")))),""))</f>
        <v/>
      </c>
      <c r="AC425" s="38" t="str">
        <f t="shared" si="24"/>
        <v/>
      </c>
      <c r="AD425" s="39"/>
      <c r="AE425" s="40"/>
      <c r="AF425" s="41" t="str">
        <f t="shared" si="25"/>
        <v/>
      </c>
      <c r="AG425" s="42" t="str">
        <f t="shared" si="26"/>
        <v/>
      </c>
      <c r="AH425" s="42" t="str">
        <f t="shared" si="27"/>
        <v>Jorge Lopez|November</v>
      </c>
    </row>
    <row r="426" spans="1:34" hidden="1">
      <c r="A426" s="32">
        <v>2026</v>
      </c>
      <c r="B426" s="32" t="s">
        <v>96</v>
      </c>
      <c r="C426" s="32" t="s">
        <v>36</v>
      </c>
      <c r="D426" s="32" t="s">
        <v>40</v>
      </c>
      <c r="E426" s="33"/>
      <c r="F426" s="34" t="str">
        <f>IF(E426="","",IFERROR(VLOOKUP(E426,'Input &amp; Settings'!$F$5:$G$10,2,FALSE),""))</f>
        <v/>
      </c>
      <c r="G426" s="33"/>
      <c r="H426" s="33"/>
      <c r="I426" s="35"/>
      <c r="J426" s="33"/>
      <c r="K426" s="36"/>
      <c r="L426" s="35"/>
      <c r="M426" s="33"/>
      <c r="N426" s="33"/>
      <c r="O426" s="33"/>
      <c r="P426" s="33"/>
      <c r="Q426" s="37" t="str">
        <f>IF(G426="","",IFERROR(MIN(100,G426/'Input &amp; Settings'!$B$5*100),""))</f>
        <v/>
      </c>
      <c r="R426" s="37" t="str">
        <f>IF(H426="","",IFERROR(MIN(100,H426/'Input &amp; Settings'!$B$6*100),""))</f>
        <v/>
      </c>
      <c r="S426" s="37" t="str">
        <f>IF(I426="","",IFERROR(MIN(100,I426/'Input &amp; Settings'!$B$7*100),""))</f>
        <v/>
      </c>
      <c r="T426" s="37" t="str">
        <f>IF(J426="","",IFERROR(MIN(100,J426/'Input &amp; Settings'!$B$8*100),""))</f>
        <v/>
      </c>
      <c r="U426" s="37" t="str">
        <f>IF(K426="","",IFERROR(MIN(100,K426/'Input &amp; Settings'!$B$9*100),""))</f>
        <v/>
      </c>
      <c r="V426" s="37" t="str">
        <f>IF(L426="","",IFERROR(MIN(100,L426/'Input &amp; Settings'!$B$10*100),""))</f>
        <v/>
      </c>
      <c r="W426" s="37" t="str">
        <f>IF(M426="","",IFERROR(IF(M426&lt;='Input &amp; Settings'!$B$11,100,MAX(0,100-(M426-'Input &amp; Settings'!$B$11)*20)),""))</f>
        <v/>
      </c>
      <c r="X426" s="37" t="str">
        <f>IF(N426="","",IFERROR(MIN(100,N426/'Input &amp; Settings'!$B$12*100),""))</f>
        <v/>
      </c>
      <c r="Y426" s="37" t="str">
        <f>IF(O426="","",IFERROR(MIN(100,O426/'Input &amp; Settings'!$B$13*100),""))</f>
        <v/>
      </c>
      <c r="Z426" s="37" t="str">
        <f>IF(P426="","",IFERROR(IF(P426&lt;='Input &amp; Settings'!$B$14,100,MAX(0,100-(P426-'Input &amp; Settings'!$B$14)*20)),""))</f>
        <v/>
      </c>
      <c r="AA426" s="37" t="str">
        <f>IF(COUNTA(G426:P426)=0,"",ROUND(Q426*'Input &amp; Settings'!$C$5+R426*'Input &amp; Settings'!$C$6+S426*'Input &amp; Settings'!$C$7+T426*'Input &amp; Settings'!$C$8+U426*'Input &amp; Settings'!$C$9+V426*'Input &amp; Settings'!$C$10+W426*'Input &amp; Settings'!$C$11+X426*'Input &amp; Settings'!$C$12+Y426*'Input &amp; Settings'!$C$13+Z426*'Input &amp; Settings'!$C$14,1))</f>
        <v/>
      </c>
      <c r="AB426" s="38" t="str">
        <f>IF(OR(AA426="",E426=""),"",IFERROR(IF(AA426&gt;=VLOOKUP(E426,'Input &amp; Settings'!$F$5:$K$10,3,FALSE),"Outstanding",IF(AA426&gt;=VLOOKUP(E426,'Input &amp; Settings'!$F$5:$K$10,4,FALSE),"Exceeds Expectations",IF(AA426&gt;=VLOOKUP(E426,'Input &amp; Settings'!$F$5:$K$10,5,FALSE),"Meets Expectations",IF(AA426&gt;=VLOOKUP(E426,'Input &amp; Settings'!$F$5:$K$10,6,FALSE),"Needs Improvement","Performance Improvement Required")))),""))</f>
        <v/>
      </c>
      <c r="AC426" s="38" t="str">
        <f t="shared" si="24"/>
        <v/>
      </c>
      <c r="AD426" s="39"/>
      <c r="AE426" s="40"/>
      <c r="AF426" s="41" t="str">
        <f t="shared" si="25"/>
        <v/>
      </c>
      <c r="AG426" s="42" t="str">
        <f t="shared" si="26"/>
        <v/>
      </c>
      <c r="AH426" s="42" t="str">
        <f t="shared" si="27"/>
        <v>Juan Pablo Pique Buil (JP)|November</v>
      </c>
    </row>
    <row r="427" spans="1:34" hidden="1">
      <c r="A427" s="32">
        <v>2026</v>
      </c>
      <c r="B427" s="32" t="s">
        <v>96</v>
      </c>
      <c r="C427" s="32" t="s">
        <v>36</v>
      </c>
      <c r="D427" s="32" t="s">
        <v>41</v>
      </c>
      <c r="E427" s="33"/>
      <c r="F427" s="34" t="str">
        <f>IF(E427="","",IFERROR(VLOOKUP(E427,'Input &amp; Settings'!$F$5:$G$10,2,FALSE),""))</f>
        <v/>
      </c>
      <c r="G427" s="33"/>
      <c r="H427" s="33"/>
      <c r="I427" s="35"/>
      <c r="J427" s="33"/>
      <c r="K427" s="36"/>
      <c r="L427" s="35"/>
      <c r="M427" s="33"/>
      <c r="N427" s="33"/>
      <c r="O427" s="33"/>
      <c r="P427" s="33"/>
      <c r="Q427" s="37" t="str">
        <f>IF(G427="","",IFERROR(MIN(100,G427/'Input &amp; Settings'!$B$5*100),""))</f>
        <v/>
      </c>
      <c r="R427" s="37" t="str">
        <f>IF(H427="","",IFERROR(MIN(100,H427/'Input &amp; Settings'!$B$6*100),""))</f>
        <v/>
      </c>
      <c r="S427" s="37" t="str">
        <f>IF(I427="","",IFERROR(MIN(100,I427/'Input &amp; Settings'!$B$7*100),""))</f>
        <v/>
      </c>
      <c r="T427" s="37" t="str">
        <f>IF(J427="","",IFERROR(MIN(100,J427/'Input &amp; Settings'!$B$8*100),""))</f>
        <v/>
      </c>
      <c r="U427" s="37" t="str">
        <f>IF(K427="","",IFERROR(MIN(100,K427/'Input &amp; Settings'!$B$9*100),""))</f>
        <v/>
      </c>
      <c r="V427" s="37" t="str">
        <f>IF(L427="","",IFERROR(MIN(100,L427/'Input &amp; Settings'!$B$10*100),""))</f>
        <v/>
      </c>
      <c r="W427" s="37" t="str">
        <f>IF(M427="","",IFERROR(IF(M427&lt;='Input &amp; Settings'!$B$11,100,MAX(0,100-(M427-'Input &amp; Settings'!$B$11)*20)),""))</f>
        <v/>
      </c>
      <c r="X427" s="37" t="str">
        <f>IF(N427="","",IFERROR(MIN(100,N427/'Input &amp; Settings'!$B$12*100),""))</f>
        <v/>
      </c>
      <c r="Y427" s="37" t="str">
        <f>IF(O427="","",IFERROR(MIN(100,O427/'Input &amp; Settings'!$B$13*100),""))</f>
        <v/>
      </c>
      <c r="Z427" s="37" t="str">
        <f>IF(P427="","",IFERROR(IF(P427&lt;='Input &amp; Settings'!$B$14,100,MAX(0,100-(P427-'Input &amp; Settings'!$B$14)*20)),""))</f>
        <v/>
      </c>
      <c r="AA427" s="37" t="str">
        <f>IF(COUNTA(G427:P427)=0,"",ROUND(Q427*'Input &amp; Settings'!$C$5+R427*'Input &amp; Settings'!$C$6+S427*'Input &amp; Settings'!$C$7+T427*'Input &amp; Settings'!$C$8+U427*'Input &amp; Settings'!$C$9+V427*'Input &amp; Settings'!$C$10+W427*'Input &amp; Settings'!$C$11+X427*'Input &amp; Settings'!$C$12+Y427*'Input &amp; Settings'!$C$13+Z427*'Input &amp; Settings'!$C$14,1))</f>
        <v/>
      </c>
      <c r="AB427" s="38" t="str">
        <f>IF(OR(AA427="",E427=""),"",IFERROR(IF(AA427&gt;=VLOOKUP(E427,'Input &amp; Settings'!$F$5:$K$10,3,FALSE),"Outstanding",IF(AA427&gt;=VLOOKUP(E427,'Input &amp; Settings'!$F$5:$K$10,4,FALSE),"Exceeds Expectations",IF(AA427&gt;=VLOOKUP(E427,'Input &amp; Settings'!$F$5:$K$10,5,FALSE),"Meets Expectations",IF(AA427&gt;=VLOOKUP(E427,'Input &amp; Settings'!$F$5:$K$10,6,FALSE),"Needs Improvement","Performance Improvement Required")))),""))</f>
        <v/>
      </c>
      <c r="AC427" s="38" t="str">
        <f t="shared" si="24"/>
        <v/>
      </c>
      <c r="AD427" s="39"/>
      <c r="AE427" s="40"/>
      <c r="AF427" s="41" t="str">
        <f t="shared" si="25"/>
        <v/>
      </c>
      <c r="AG427" s="42" t="str">
        <f t="shared" si="26"/>
        <v/>
      </c>
      <c r="AH427" s="42" t="str">
        <f t="shared" si="27"/>
        <v>Peter Gonzalez|November</v>
      </c>
    </row>
    <row r="428" spans="1:34" hidden="1">
      <c r="A428" s="32">
        <v>2026</v>
      </c>
      <c r="B428" s="32" t="s">
        <v>96</v>
      </c>
      <c r="C428" s="32" t="s">
        <v>36</v>
      </c>
      <c r="D428" s="32" t="s">
        <v>42</v>
      </c>
      <c r="E428" s="33"/>
      <c r="F428" s="34" t="str">
        <f>IF(E428="","",IFERROR(VLOOKUP(E428,'Input &amp; Settings'!$F$5:$G$10,2,FALSE),""))</f>
        <v/>
      </c>
      <c r="G428" s="33"/>
      <c r="H428" s="33"/>
      <c r="I428" s="35"/>
      <c r="J428" s="33"/>
      <c r="K428" s="36"/>
      <c r="L428" s="35"/>
      <c r="M428" s="33"/>
      <c r="N428" s="33"/>
      <c r="O428" s="33"/>
      <c r="P428" s="33"/>
      <c r="Q428" s="37" t="str">
        <f>IF(G428="","",IFERROR(MIN(100,G428/'Input &amp; Settings'!$B$5*100),""))</f>
        <v/>
      </c>
      <c r="R428" s="37" t="str">
        <f>IF(H428="","",IFERROR(MIN(100,H428/'Input &amp; Settings'!$B$6*100),""))</f>
        <v/>
      </c>
      <c r="S428" s="37" t="str">
        <f>IF(I428="","",IFERROR(MIN(100,I428/'Input &amp; Settings'!$B$7*100),""))</f>
        <v/>
      </c>
      <c r="T428" s="37" t="str">
        <f>IF(J428="","",IFERROR(MIN(100,J428/'Input &amp; Settings'!$B$8*100),""))</f>
        <v/>
      </c>
      <c r="U428" s="37" t="str">
        <f>IF(K428="","",IFERROR(MIN(100,K428/'Input &amp; Settings'!$B$9*100),""))</f>
        <v/>
      </c>
      <c r="V428" s="37" t="str">
        <f>IF(L428="","",IFERROR(MIN(100,L428/'Input &amp; Settings'!$B$10*100),""))</f>
        <v/>
      </c>
      <c r="W428" s="37" t="str">
        <f>IF(M428="","",IFERROR(IF(M428&lt;='Input &amp; Settings'!$B$11,100,MAX(0,100-(M428-'Input &amp; Settings'!$B$11)*20)),""))</f>
        <v/>
      </c>
      <c r="X428" s="37" t="str">
        <f>IF(N428="","",IFERROR(MIN(100,N428/'Input &amp; Settings'!$B$12*100),""))</f>
        <v/>
      </c>
      <c r="Y428" s="37" t="str">
        <f>IF(O428="","",IFERROR(MIN(100,O428/'Input &amp; Settings'!$B$13*100),""))</f>
        <v/>
      </c>
      <c r="Z428" s="37" t="str">
        <f>IF(P428="","",IFERROR(IF(P428&lt;='Input &amp; Settings'!$B$14,100,MAX(0,100-(P428-'Input &amp; Settings'!$B$14)*20)),""))</f>
        <v/>
      </c>
      <c r="AA428" s="37" t="str">
        <f>IF(COUNTA(G428:P428)=0,"",ROUND(Q428*'Input &amp; Settings'!$C$5+R428*'Input &amp; Settings'!$C$6+S428*'Input &amp; Settings'!$C$7+T428*'Input &amp; Settings'!$C$8+U428*'Input &amp; Settings'!$C$9+V428*'Input &amp; Settings'!$C$10+W428*'Input &amp; Settings'!$C$11+X428*'Input &amp; Settings'!$C$12+Y428*'Input &amp; Settings'!$C$13+Z428*'Input &amp; Settings'!$C$14,1))</f>
        <v/>
      </c>
      <c r="AB428" s="38" t="str">
        <f>IF(OR(AA428="",E428=""),"",IFERROR(IF(AA428&gt;=VLOOKUP(E428,'Input &amp; Settings'!$F$5:$K$10,3,FALSE),"Outstanding",IF(AA428&gt;=VLOOKUP(E428,'Input &amp; Settings'!$F$5:$K$10,4,FALSE),"Exceeds Expectations",IF(AA428&gt;=VLOOKUP(E428,'Input &amp; Settings'!$F$5:$K$10,5,FALSE),"Meets Expectations",IF(AA428&gt;=VLOOKUP(E428,'Input &amp; Settings'!$F$5:$K$10,6,FALSE),"Needs Improvement","Performance Improvement Required")))),""))</f>
        <v/>
      </c>
      <c r="AC428" s="38" t="str">
        <f t="shared" si="24"/>
        <v/>
      </c>
      <c r="AD428" s="39"/>
      <c r="AE428" s="40"/>
      <c r="AF428" s="41" t="str">
        <f t="shared" si="25"/>
        <v/>
      </c>
      <c r="AG428" s="42" t="str">
        <f t="shared" si="26"/>
        <v/>
      </c>
      <c r="AH428" s="42" t="str">
        <f t="shared" si="27"/>
        <v>Dennis Hartling|November</v>
      </c>
    </row>
    <row r="429" spans="1:34" hidden="1">
      <c r="A429" s="32">
        <v>2026</v>
      </c>
      <c r="B429" s="32" t="s">
        <v>96</v>
      </c>
      <c r="C429" s="32" t="s">
        <v>36</v>
      </c>
      <c r="D429" s="32" t="s">
        <v>43</v>
      </c>
      <c r="E429" s="33"/>
      <c r="F429" s="34" t="str">
        <f>IF(E429="","",IFERROR(VLOOKUP(E429,'Input &amp; Settings'!$F$5:$G$10,2,FALSE),""))</f>
        <v/>
      </c>
      <c r="G429" s="33"/>
      <c r="H429" s="33"/>
      <c r="I429" s="35"/>
      <c r="J429" s="33"/>
      <c r="K429" s="36"/>
      <c r="L429" s="35"/>
      <c r="M429" s="33"/>
      <c r="N429" s="33"/>
      <c r="O429" s="33"/>
      <c r="P429" s="33"/>
      <c r="Q429" s="37" t="str">
        <f>IF(G429="","",IFERROR(MIN(100,G429/'Input &amp; Settings'!$B$5*100),""))</f>
        <v/>
      </c>
      <c r="R429" s="37" t="str">
        <f>IF(H429="","",IFERROR(MIN(100,H429/'Input &amp; Settings'!$B$6*100),""))</f>
        <v/>
      </c>
      <c r="S429" s="37" t="str">
        <f>IF(I429="","",IFERROR(MIN(100,I429/'Input &amp; Settings'!$B$7*100),""))</f>
        <v/>
      </c>
      <c r="T429" s="37" t="str">
        <f>IF(J429="","",IFERROR(MIN(100,J429/'Input &amp; Settings'!$B$8*100),""))</f>
        <v/>
      </c>
      <c r="U429" s="37" t="str">
        <f>IF(K429="","",IFERROR(MIN(100,K429/'Input &amp; Settings'!$B$9*100),""))</f>
        <v/>
      </c>
      <c r="V429" s="37" t="str">
        <f>IF(L429="","",IFERROR(MIN(100,L429/'Input &amp; Settings'!$B$10*100),""))</f>
        <v/>
      </c>
      <c r="W429" s="37" t="str">
        <f>IF(M429="","",IFERROR(IF(M429&lt;='Input &amp; Settings'!$B$11,100,MAX(0,100-(M429-'Input &amp; Settings'!$B$11)*20)),""))</f>
        <v/>
      </c>
      <c r="X429" s="37" t="str">
        <f>IF(N429="","",IFERROR(MIN(100,N429/'Input &amp; Settings'!$B$12*100),""))</f>
        <v/>
      </c>
      <c r="Y429" s="37" t="str">
        <f>IF(O429="","",IFERROR(MIN(100,O429/'Input &amp; Settings'!$B$13*100),""))</f>
        <v/>
      </c>
      <c r="Z429" s="37" t="str">
        <f>IF(P429="","",IFERROR(IF(P429&lt;='Input &amp; Settings'!$B$14,100,MAX(0,100-(P429-'Input &amp; Settings'!$B$14)*20)),""))</f>
        <v/>
      </c>
      <c r="AA429" s="37" t="str">
        <f>IF(COUNTA(G429:P429)=0,"",ROUND(Q429*'Input &amp; Settings'!$C$5+R429*'Input &amp; Settings'!$C$6+S429*'Input &amp; Settings'!$C$7+T429*'Input &amp; Settings'!$C$8+U429*'Input &amp; Settings'!$C$9+V429*'Input &amp; Settings'!$C$10+W429*'Input &amp; Settings'!$C$11+X429*'Input &amp; Settings'!$C$12+Y429*'Input &amp; Settings'!$C$13+Z429*'Input &amp; Settings'!$C$14,1))</f>
        <v/>
      </c>
      <c r="AB429" s="38" t="str">
        <f>IF(OR(AA429="",E429=""),"",IFERROR(IF(AA429&gt;=VLOOKUP(E429,'Input &amp; Settings'!$F$5:$K$10,3,FALSE),"Outstanding",IF(AA429&gt;=VLOOKUP(E429,'Input &amp; Settings'!$F$5:$K$10,4,FALSE),"Exceeds Expectations",IF(AA429&gt;=VLOOKUP(E429,'Input &amp; Settings'!$F$5:$K$10,5,FALSE),"Meets Expectations",IF(AA429&gt;=VLOOKUP(E429,'Input &amp; Settings'!$F$5:$K$10,6,FALSE),"Needs Improvement","Performance Improvement Required")))),""))</f>
        <v/>
      </c>
      <c r="AC429" s="38" t="str">
        <f t="shared" si="24"/>
        <v/>
      </c>
      <c r="AD429" s="39"/>
      <c r="AE429" s="40"/>
      <c r="AF429" s="41" t="str">
        <f t="shared" si="25"/>
        <v/>
      </c>
      <c r="AG429" s="42" t="str">
        <f t="shared" si="26"/>
        <v/>
      </c>
      <c r="AH429" s="42" t="str">
        <f t="shared" si="27"/>
        <v>Gilbert Eugene|November</v>
      </c>
    </row>
    <row r="430" spans="1:34" hidden="1">
      <c r="A430" s="32">
        <v>2026</v>
      </c>
      <c r="B430" s="32" t="s">
        <v>96</v>
      </c>
      <c r="C430" s="32" t="s">
        <v>36</v>
      </c>
      <c r="D430" s="32" t="s">
        <v>44</v>
      </c>
      <c r="E430" s="33"/>
      <c r="F430" s="34" t="str">
        <f>IF(E430="","",IFERROR(VLOOKUP(E430,'Input &amp; Settings'!$F$5:$G$10,2,FALSE),""))</f>
        <v/>
      </c>
      <c r="G430" s="33"/>
      <c r="H430" s="33"/>
      <c r="I430" s="35"/>
      <c r="J430" s="33"/>
      <c r="K430" s="36"/>
      <c r="L430" s="35"/>
      <c r="M430" s="33"/>
      <c r="N430" s="33"/>
      <c r="O430" s="33"/>
      <c r="P430" s="33"/>
      <c r="Q430" s="37" t="str">
        <f>IF(G430="","",IFERROR(MIN(100,G430/'Input &amp; Settings'!$B$5*100),""))</f>
        <v/>
      </c>
      <c r="R430" s="37" t="str">
        <f>IF(H430="","",IFERROR(MIN(100,H430/'Input &amp; Settings'!$B$6*100),""))</f>
        <v/>
      </c>
      <c r="S430" s="37" t="str">
        <f>IF(I430="","",IFERROR(MIN(100,I430/'Input &amp; Settings'!$B$7*100),""))</f>
        <v/>
      </c>
      <c r="T430" s="37" t="str">
        <f>IF(J430="","",IFERROR(MIN(100,J430/'Input &amp; Settings'!$B$8*100),""))</f>
        <v/>
      </c>
      <c r="U430" s="37" t="str">
        <f>IF(K430="","",IFERROR(MIN(100,K430/'Input &amp; Settings'!$B$9*100),""))</f>
        <v/>
      </c>
      <c r="V430" s="37" t="str">
        <f>IF(L430="","",IFERROR(MIN(100,L430/'Input &amp; Settings'!$B$10*100),""))</f>
        <v/>
      </c>
      <c r="W430" s="37" t="str">
        <f>IF(M430="","",IFERROR(IF(M430&lt;='Input &amp; Settings'!$B$11,100,MAX(0,100-(M430-'Input &amp; Settings'!$B$11)*20)),""))</f>
        <v/>
      </c>
      <c r="X430" s="37" t="str">
        <f>IF(N430="","",IFERROR(MIN(100,N430/'Input &amp; Settings'!$B$12*100),""))</f>
        <v/>
      </c>
      <c r="Y430" s="37" t="str">
        <f>IF(O430="","",IFERROR(MIN(100,O430/'Input &amp; Settings'!$B$13*100),""))</f>
        <v/>
      </c>
      <c r="Z430" s="37" t="str">
        <f>IF(P430="","",IFERROR(IF(P430&lt;='Input &amp; Settings'!$B$14,100,MAX(0,100-(P430-'Input &amp; Settings'!$B$14)*20)),""))</f>
        <v/>
      </c>
      <c r="AA430" s="37" t="str">
        <f>IF(COUNTA(G430:P430)=0,"",ROUND(Q430*'Input &amp; Settings'!$C$5+R430*'Input &amp; Settings'!$C$6+S430*'Input &amp; Settings'!$C$7+T430*'Input &amp; Settings'!$C$8+U430*'Input &amp; Settings'!$C$9+V430*'Input &amp; Settings'!$C$10+W430*'Input &amp; Settings'!$C$11+X430*'Input &amp; Settings'!$C$12+Y430*'Input &amp; Settings'!$C$13+Z430*'Input &amp; Settings'!$C$14,1))</f>
        <v/>
      </c>
      <c r="AB430" s="38" t="str">
        <f>IF(OR(AA430="",E430=""),"",IFERROR(IF(AA430&gt;=VLOOKUP(E430,'Input &amp; Settings'!$F$5:$K$10,3,FALSE),"Outstanding",IF(AA430&gt;=VLOOKUP(E430,'Input &amp; Settings'!$F$5:$K$10,4,FALSE),"Exceeds Expectations",IF(AA430&gt;=VLOOKUP(E430,'Input &amp; Settings'!$F$5:$K$10,5,FALSE),"Meets Expectations",IF(AA430&gt;=VLOOKUP(E430,'Input &amp; Settings'!$F$5:$K$10,6,FALSE),"Needs Improvement","Performance Improvement Required")))),""))</f>
        <v/>
      </c>
      <c r="AC430" s="38" t="str">
        <f t="shared" si="24"/>
        <v/>
      </c>
      <c r="AD430" s="39"/>
      <c r="AE430" s="40"/>
      <c r="AF430" s="41" t="str">
        <f t="shared" si="25"/>
        <v/>
      </c>
      <c r="AG430" s="42" t="str">
        <f t="shared" si="26"/>
        <v/>
      </c>
      <c r="AH430" s="42" t="str">
        <f t="shared" si="27"/>
        <v>Cory Colstock|November</v>
      </c>
    </row>
    <row r="431" spans="1:34" hidden="1">
      <c r="A431" s="32">
        <v>2026</v>
      </c>
      <c r="B431" s="32" t="s">
        <v>96</v>
      </c>
      <c r="C431" s="32" t="s">
        <v>36</v>
      </c>
      <c r="D431" s="32" t="s">
        <v>45</v>
      </c>
      <c r="E431" s="33"/>
      <c r="F431" s="34" t="str">
        <f>IF(E431="","",IFERROR(VLOOKUP(E431,'Input &amp; Settings'!$F$5:$G$10,2,FALSE),""))</f>
        <v/>
      </c>
      <c r="G431" s="33"/>
      <c r="H431" s="33"/>
      <c r="I431" s="35"/>
      <c r="J431" s="33"/>
      <c r="K431" s="36"/>
      <c r="L431" s="35"/>
      <c r="M431" s="33"/>
      <c r="N431" s="33"/>
      <c r="O431" s="33"/>
      <c r="P431" s="33"/>
      <c r="Q431" s="37" t="str">
        <f>IF(G431="","",IFERROR(MIN(100,G431/'Input &amp; Settings'!$B$5*100),""))</f>
        <v/>
      </c>
      <c r="R431" s="37" t="str">
        <f>IF(H431="","",IFERROR(MIN(100,H431/'Input &amp; Settings'!$B$6*100),""))</f>
        <v/>
      </c>
      <c r="S431" s="37" t="str">
        <f>IF(I431="","",IFERROR(MIN(100,I431/'Input &amp; Settings'!$B$7*100),""))</f>
        <v/>
      </c>
      <c r="T431" s="37" t="str">
        <f>IF(J431="","",IFERROR(MIN(100,J431/'Input &amp; Settings'!$B$8*100),""))</f>
        <v/>
      </c>
      <c r="U431" s="37" t="str">
        <f>IF(K431="","",IFERROR(MIN(100,K431/'Input &amp; Settings'!$B$9*100),""))</f>
        <v/>
      </c>
      <c r="V431" s="37" t="str">
        <f>IF(L431="","",IFERROR(MIN(100,L431/'Input &amp; Settings'!$B$10*100),""))</f>
        <v/>
      </c>
      <c r="W431" s="37" t="str">
        <f>IF(M431="","",IFERROR(IF(M431&lt;='Input &amp; Settings'!$B$11,100,MAX(0,100-(M431-'Input &amp; Settings'!$B$11)*20)),""))</f>
        <v/>
      </c>
      <c r="X431" s="37" t="str">
        <f>IF(N431="","",IFERROR(MIN(100,N431/'Input &amp; Settings'!$B$12*100),""))</f>
        <v/>
      </c>
      <c r="Y431" s="37" t="str">
        <f>IF(O431="","",IFERROR(MIN(100,O431/'Input &amp; Settings'!$B$13*100),""))</f>
        <v/>
      </c>
      <c r="Z431" s="37" t="str">
        <f>IF(P431="","",IFERROR(IF(P431&lt;='Input &amp; Settings'!$B$14,100,MAX(0,100-(P431-'Input &amp; Settings'!$B$14)*20)),""))</f>
        <v/>
      </c>
      <c r="AA431" s="37" t="str">
        <f>IF(COUNTA(G431:P431)=0,"",ROUND(Q431*'Input &amp; Settings'!$C$5+R431*'Input &amp; Settings'!$C$6+S431*'Input &amp; Settings'!$C$7+T431*'Input &amp; Settings'!$C$8+U431*'Input &amp; Settings'!$C$9+V431*'Input &amp; Settings'!$C$10+W431*'Input &amp; Settings'!$C$11+X431*'Input &amp; Settings'!$C$12+Y431*'Input &amp; Settings'!$C$13+Z431*'Input &amp; Settings'!$C$14,1))</f>
        <v/>
      </c>
      <c r="AB431" s="38" t="str">
        <f>IF(OR(AA431="",E431=""),"",IFERROR(IF(AA431&gt;=VLOOKUP(E431,'Input &amp; Settings'!$F$5:$K$10,3,FALSE),"Outstanding",IF(AA431&gt;=VLOOKUP(E431,'Input &amp; Settings'!$F$5:$K$10,4,FALSE),"Exceeds Expectations",IF(AA431&gt;=VLOOKUP(E431,'Input &amp; Settings'!$F$5:$K$10,5,FALSE),"Meets Expectations",IF(AA431&gt;=VLOOKUP(E431,'Input &amp; Settings'!$F$5:$K$10,6,FALSE),"Needs Improvement","Performance Improvement Required")))),""))</f>
        <v/>
      </c>
      <c r="AC431" s="38" t="str">
        <f t="shared" si="24"/>
        <v/>
      </c>
      <c r="AD431" s="39"/>
      <c r="AE431" s="40"/>
      <c r="AF431" s="41" t="str">
        <f t="shared" si="25"/>
        <v/>
      </c>
      <c r="AG431" s="42" t="str">
        <f t="shared" si="26"/>
        <v/>
      </c>
      <c r="AH431" s="42" t="str">
        <f t="shared" si="27"/>
        <v>Jerald Woodward (Jerry)|November</v>
      </c>
    </row>
    <row r="432" spans="1:34" hidden="1">
      <c r="A432" s="32">
        <v>2026</v>
      </c>
      <c r="B432" s="32" t="s">
        <v>96</v>
      </c>
      <c r="C432" s="32" t="s">
        <v>36</v>
      </c>
      <c r="D432" s="32" t="s">
        <v>46</v>
      </c>
      <c r="E432" s="33"/>
      <c r="F432" s="34" t="str">
        <f>IF(E432="","",IFERROR(VLOOKUP(E432,'Input &amp; Settings'!$F$5:$G$10,2,FALSE),""))</f>
        <v/>
      </c>
      <c r="G432" s="33"/>
      <c r="H432" s="33"/>
      <c r="I432" s="35"/>
      <c r="J432" s="33"/>
      <c r="K432" s="36"/>
      <c r="L432" s="35"/>
      <c r="M432" s="33"/>
      <c r="N432" s="33"/>
      <c r="O432" s="33"/>
      <c r="P432" s="33"/>
      <c r="Q432" s="37" t="str">
        <f>IF(G432="","",IFERROR(MIN(100,G432/'Input &amp; Settings'!$B$5*100),""))</f>
        <v/>
      </c>
      <c r="R432" s="37" t="str">
        <f>IF(H432="","",IFERROR(MIN(100,H432/'Input &amp; Settings'!$B$6*100),""))</f>
        <v/>
      </c>
      <c r="S432" s="37" t="str">
        <f>IF(I432="","",IFERROR(MIN(100,I432/'Input &amp; Settings'!$B$7*100),""))</f>
        <v/>
      </c>
      <c r="T432" s="37" t="str">
        <f>IF(J432="","",IFERROR(MIN(100,J432/'Input &amp; Settings'!$B$8*100),""))</f>
        <v/>
      </c>
      <c r="U432" s="37" t="str">
        <f>IF(K432="","",IFERROR(MIN(100,K432/'Input &amp; Settings'!$B$9*100),""))</f>
        <v/>
      </c>
      <c r="V432" s="37" t="str">
        <f>IF(L432="","",IFERROR(MIN(100,L432/'Input &amp; Settings'!$B$10*100),""))</f>
        <v/>
      </c>
      <c r="W432" s="37" t="str">
        <f>IF(M432="","",IFERROR(IF(M432&lt;='Input &amp; Settings'!$B$11,100,MAX(0,100-(M432-'Input &amp; Settings'!$B$11)*20)),""))</f>
        <v/>
      </c>
      <c r="X432" s="37" t="str">
        <f>IF(N432="","",IFERROR(MIN(100,N432/'Input &amp; Settings'!$B$12*100),""))</f>
        <v/>
      </c>
      <c r="Y432" s="37" t="str">
        <f>IF(O432="","",IFERROR(MIN(100,O432/'Input &amp; Settings'!$B$13*100),""))</f>
        <v/>
      </c>
      <c r="Z432" s="37" t="str">
        <f>IF(P432="","",IFERROR(IF(P432&lt;='Input &amp; Settings'!$B$14,100,MAX(0,100-(P432-'Input &amp; Settings'!$B$14)*20)),""))</f>
        <v/>
      </c>
      <c r="AA432" s="37" t="str">
        <f>IF(COUNTA(G432:P432)=0,"",ROUND(Q432*'Input &amp; Settings'!$C$5+R432*'Input &amp; Settings'!$C$6+S432*'Input &amp; Settings'!$C$7+T432*'Input &amp; Settings'!$C$8+U432*'Input &amp; Settings'!$C$9+V432*'Input &amp; Settings'!$C$10+W432*'Input &amp; Settings'!$C$11+X432*'Input &amp; Settings'!$C$12+Y432*'Input &amp; Settings'!$C$13+Z432*'Input &amp; Settings'!$C$14,1))</f>
        <v/>
      </c>
      <c r="AB432" s="38" t="str">
        <f>IF(OR(AA432="",E432=""),"",IFERROR(IF(AA432&gt;=VLOOKUP(E432,'Input &amp; Settings'!$F$5:$K$10,3,FALSE),"Outstanding",IF(AA432&gt;=VLOOKUP(E432,'Input &amp; Settings'!$F$5:$K$10,4,FALSE),"Exceeds Expectations",IF(AA432&gt;=VLOOKUP(E432,'Input &amp; Settings'!$F$5:$K$10,5,FALSE),"Meets Expectations",IF(AA432&gt;=VLOOKUP(E432,'Input &amp; Settings'!$F$5:$K$10,6,FALSE),"Needs Improvement","Performance Improvement Required")))),""))</f>
        <v/>
      </c>
      <c r="AC432" s="38" t="str">
        <f t="shared" si="24"/>
        <v/>
      </c>
      <c r="AD432" s="39"/>
      <c r="AE432" s="40"/>
      <c r="AF432" s="41" t="str">
        <f t="shared" si="25"/>
        <v/>
      </c>
      <c r="AG432" s="42" t="str">
        <f t="shared" si="26"/>
        <v/>
      </c>
      <c r="AH432" s="42" t="str">
        <f t="shared" si="27"/>
        <v>Alvaro Hernandez|November</v>
      </c>
    </row>
    <row r="433" spans="1:34" hidden="1">
      <c r="A433" s="32">
        <v>2026</v>
      </c>
      <c r="B433" s="32" t="s">
        <v>96</v>
      </c>
      <c r="C433" s="32" t="s">
        <v>36</v>
      </c>
      <c r="D433" s="32" t="s">
        <v>47</v>
      </c>
      <c r="E433" s="33"/>
      <c r="F433" s="34" t="str">
        <f>IF(E433="","",IFERROR(VLOOKUP(E433,'Input &amp; Settings'!$F$5:$G$10,2,FALSE),""))</f>
        <v/>
      </c>
      <c r="G433" s="33"/>
      <c r="H433" s="33"/>
      <c r="I433" s="35"/>
      <c r="J433" s="33"/>
      <c r="K433" s="36"/>
      <c r="L433" s="35"/>
      <c r="M433" s="33"/>
      <c r="N433" s="33"/>
      <c r="O433" s="33"/>
      <c r="P433" s="33"/>
      <c r="Q433" s="37" t="str">
        <f>IF(G433="","",IFERROR(MIN(100,G433/'Input &amp; Settings'!$B$5*100),""))</f>
        <v/>
      </c>
      <c r="R433" s="37" t="str">
        <f>IF(H433="","",IFERROR(MIN(100,H433/'Input &amp; Settings'!$B$6*100),""))</f>
        <v/>
      </c>
      <c r="S433" s="37" t="str">
        <f>IF(I433="","",IFERROR(MIN(100,I433/'Input &amp; Settings'!$B$7*100),""))</f>
        <v/>
      </c>
      <c r="T433" s="37" t="str">
        <f>IF(J433="","",IFERROR(MIN(100,J433/'Input &amp; Settings'!$B$8*100),""))</f>
        <v/>
      </c>
      <c r="U433" s="37" t="str">
        <f>IF(K433="","",IFERROR(MIN(100,K433/'Input &amp; Settings'!$B$9*100),""))</f>
        <v/>
      </c>
      <c r="V433" s="37" t="str">
        <f>IF(L433="","",IFERROR(MIN(100,L433/'Input &amp; Settings'!$B$10*100),""))</f>
        <v/>
      </c>
      <c r="W433" s="37" t="str">
        <f>IF(M433="","",IFERROR(IF(M433&lt;='Input &amp; Settings'!$B$11,100,MAX(0,100-(M433-'Input &amp; Settings'!$B$11)*20)),""))</f>
        <v/>
      </c>
      <c r="X433" s="37" t="str">
        <f>IF(N433="","",IFERROR(MIN(100,N433/'Input &amp; Settings'!$B$12*100),""))</f>
        <v/>
      </c>
      <c r="Y433" s="37" t="str">
        <f>IF(O433="","",IFERROR(MIN(100,O433/'Input &amp; Settings'!$B$13*100),""))</f>
        <v/>
      </c>
      <c r="Z433" s="37" t="str">
        <f>IF(P433="","",IFERROR(IF(P433&lt;='Input &amp; Settings'!$B$14,100,MAX(0,100-(P433-'Input &amp; Settings'!$B$14)*20)),""))</f>
        <v/>
      </c>
      <c r="AA433" s="37" t="str">
        <f>IF(COUNTA(G433:P433)=0,"",ROUND(Q433*'Input &amp; Settings'!$C$5+R433*'Input &amp; Settings'!$C$6+S433*'Input &amp; Settings'!$C$7+T433*'Input &amp; Settings'!$C$8+U433*'Input &amp; Settings'!$C$9+V433*'Input &amp; Settings'!$C$10+W433*'Input &amp; Settings'!$C$11+X433*'Input &amp; Settings'!$C$12+Y433*'Input &amp; Settings'!$C$13+Z433*'Input &amp; Settings'!$C$14,1))</f>
        <v/>
      </c>
      <c r="AB433" s="38" t="str">
        <f>IF(OR(AA433="",E433=""),"",IFERROR(IF(AA433&gt;=VLOOKUP(E433,'Input &amp; Settings'!$F$5:$K$10,3,FALSE),"Outstanding",IF(AA433&gt;=VLOOKUP(E433,'Input &amp; Settings'!$F$5:$K$10,4,FALSE),"Exceeds Expectations",IF(AA433&gt;=VLOOKUP(E433,'Input &amp; Settings'!$F$5:$K$10,5,FALSE),"Meets Expectations",IF(AA433&gt;=VLOOKUP(E433,'Input &amp; Settings'!$F$5:$K$10,6,FALSE),"Needs Improvement","Performance Improvement Required")))),""))</f>
        <v/>
      </c>
      <c r="AC433" s="38" t="str">
        <f t="shared" si="24"/>
        <v/>
      </c>
      <c r="AD433" s="39"/>
      <c r="AE433" s="40"/>
      <c r="AF433" s="41" t="str">
        <f t="shared" si="25"/>
        <v/>
      </c>
      <c r="AG433" s="42" t="str">
        <f t="shared" si="26"/>
        <v/>
      </c>
      <c r="AH433" s="42" t="str">
        <f t="shared" si="27"/>
        <v>Sarah Clervil|November</v>
      </c>
    </row>
    <row r="434" spans="1:34" hidden="1">
      <c r="A434" s="32">
        <v>2026</v>
      </c>
      <c r="B434" s="32" t="s">
        <v>96</v>
      </c>
      <c r="C434" s="32" t="s">
        <v>36</v>
      </c>
      <c r="D434" s="32" t="s">
        <v>48</v>
      </c>
      <c r="E434" s="33"/>
      <c r="F434" s="34" t="str">
        <f>IF(E434="","",IFERROR(VLOOKUP(E434,'Input &amp; Settings'!$F$5:$G$10,2,FALSE),""))</f>
        <v/>
      </c>
      <c r="G434" s="33"/>
      <c r="H434" s="33"/>
      <c r="I434" s="35"/>
      <c r="J434" s="33"/>
      <c r="K434" s="36"/>
      <c r="L434" s="35"/>
      <c r="M434" s="33"/>
      <c r="N434" s="33"/>
      <c r="O434" s="33"/>
      <c r="P434" s="33"/>
      <c r="Q434" s="37" t="str">
        <f>IF(G434="","",IFERROR(MIN(100,G434/'Input &amp; Settings'!$B$5*100),""))</f>
        <v/>
      </c>
      <c r="R434" s="37" t="str">
        <f>IF(H434="","",IFERROR(MIN(100,H434/'Input &amp; Settings'!$B$6*100),""))</f>
        <v/>
      </c>
      <c r="S434" s="37" t="str">
        <f>IF(I434="","",IFERROR(MIN(100,I434/'Input &amp; Settings'!$B$7*100),""))</f>
        <v/>
      </c>
      <c r="T434" s="37" t="str">
        <f>IF(J434="","",IFERROR(MIN(100,J434/'Input &amp; Settings'!$B$8*100),""))</f>
        <v/>
      </c>
      <c r="U434" s="37" t="str">
        <f>IF(K434="","",IFERROR(MIN(100,K434/'Input &amp; Settings'!$B$9*100),""))</f>
        <v/>
      </c>
      <c r="V434" s="37" t="str">
        <f>IF(L434="","",IFERROR(MIN(100,L434/'Input &amp; Settings'!$B$10*100),""))</f>
        <v/>
      </c>
      <c r="W434" s="37" t="str">
        <f>IF(M434="","",IFERROR(IF(M434&lt;='Input &amp; Settings'!$B$11,100,MAX(0,100-(M434-'Input &amp; Settings'!$B$11)*20)),""))</f>
        <v/>
      </c>
      <c r="X434" s="37" t="str">
        <f>IF(N434="","",IFERROR(MIN(100,N434/'Input &amp; Settings'!$B$12*100),""))</f>
        <v/>
      </c>
      <c r="Y434" s="37" t="str">
        <f>IF(O434="","",IFERROR(MIN(100,O434/'Input &amp; Settings'!$B$13*100),""))</f>
        <v/>
      </c>
      <c r="Z434" s="37" t="str">
        <f>IF(P434="","",IFERROR(IF(P434&lt;='Input &amp; Settings'!$B$14,100,MAX(0,100-(P434-'Input &amp; Settings'!$B$14)*20)),""))</f>
        <v/>
      </c>
      <c r="AA434" s="37" t="str">
        <f>IF(COUNTA(G434:P434)=0,"",ROUND(Q434*'Input &amp; Settings'!$C$5+R434*'Input &amp; Settings'!$C$6+S434*'Input &amp; Settings'!$C$7+T434*'Input &amp; Settings'!$C$8+U434*'Input &amp; Settings'!$C$9+V434*'Input &amp; Settings'!$C$10+W434*'Input &amp; Settings'!$C$11+X434*'Input &amp; Settings'!$C$12+Y434*'Input &amp; Settings'!$C$13+Z434*'Input &amp; Settings'!$C$14,1))</f>
        <v/>
      </c>
      <c r="AB434" s="38" t="str">
        <f>IF(OR(AA434="",E434=""),"",IFERROR(IF(AA434&gt;=VLOOKUP(E434,'Input &amp; Settings'!$F$5:$K$10,3,FALSE),"Outstanding",IF(AA434&gt;=VLOOKUP(E434,'Input &amp; Settings'!$F$5:$K$10,4,FALSE),"Exceeds Expectations",IF(AA434&gt;=VLOOKUP(E434,'Input &amp; Settings'!$F$5:$K$10,5,FALSE),"Meets Expectations",IF(AA434&gt;=VLOOKUP(E434,'Input &amp; Settings'!$F$5:$K$10,6,FALSE),"Needs Improvement","Performance Improvement Required")))),""))</f>
        <v/>
      </c>
      <c r="AC434" s="38" t="str">
        <f t="shared" si="24"/>
        <v/>
      </c>
      <c r="AD434" s="39"/>
      <c r="AE434" s="40"/>
      <c r="AF434" s="41" t="str">
        <f t="shared" si="25"/>
        <v/>
      </c>
      <c r="AG434" s="42" t="str">
        <f t="shared" si="26"/>
        <v/>
      </c>
      <c r="AH434" s="42" t="str">
        <f t="shared" si="27"/>
        <v>Christopher Ovid|November</v>
      </c>
    </row>
    <row r="435" spans="1:34" hidden="1">
      <c r="A435" s="32">
        <v>2026</v>
      </c>
      <c r="B435" s="32" t="s">
        <v>96</v>
      </c>
      <c r="C435" s="32" t="s">
        <v>36</v>
      </c>
      <c r="D435" s="32" t="s">
        <v>49</v>
      </c>
      <c r="E435" s="33"/>
      <c r="F435" s="34" t="str">
        <f>IF(E435="","",IFERROR(VLOOKUP(E435,'Input &amp; Settings'!$F$5:$G$10,2,FALSE),""))</f>
        <v/>
      </c>
      <c r="G435" s="33"/>
      <c r="H435" s="33"/>
      <c r="I435" s="35"/>
      <c r="J435" s="33"/>
      <c r="K435" s="36"/>
      <c r="L435" s="35"/>
      <c r="M435" s="33"/>
      <c r="N435" s="33"/>
      <c r="O435" s="33"/>
      <c r="P435" s="33"/>
      <c r="Q435" s="37" t="str">
        <f>IF(G435="","",IFERROR(MIN(100,G435/'Input &amp; Settings'!$B$5*100),""))</f>
        <v/>
      </c>
      <c r="R435" s="37" t="str">
        <f>IF(H435="","",IFERROR(MIN(100,H435/'Input &amp; Settings'!$B$6*100),""))</f>
        <v/>
      </c>
      <c r="S435" s="37" t="str">
        <f>IF(I435="","",IFERROR(MIN(100,I435/'Input &amp; Settings'!$B$7*100),""))</f>
        <v/>
      </c>
      <c r="T435" s="37" t="str">
        <f>IF(J435="","",IFERROR(MIN(100,J435/'Input &amp; Settings'!$B$8*100),""))</f>
        <v/>
      </c>
      <c r="U435" s="37" t="str">
        <f>IF(K435="","",IFERROR(MIN(100,K435/'Input &amp; Settings'!$B$9*100),""))</f>
        <v/>
      </c>
      <c r="V435" s="37" t="str">
        <f>IF(L435="","",IFERROR(MIN(100,L435/'Input &amp; Settings'!$B$10*100),""))</f>
        <v/>
      </c>
      <c r="W435" s="37" t="str">
        <f>IF(M435="","",IFERROR(IF(M435&lt;='Input &amp; Settings'!$B$11,100,MAX(0,100-(M435-'Input &amp; Settings'!$B$11)*20)),""))</f>
        <v/>
      </c>
      <c r="X435" s="37" t="str">
        <f>IF(N435="","",IFERROR(MIN(100,N435/'Input &amp; Settings'!$B$12*100),""))</f>
        <v/>
      </c>
      <c r="Y435" s="37" t="str">
        <f>IF(O435="","",IFERROR(MIN(100,O435/'Input &amp; Settings'!$B$13*100),""))</f>
        <v/>
      </c>
      <c r="Z435" s="37" t="str">
        <f>IF(P435="","",IFERROR(IF(P435&lt;='Input &amp; Settings'!$B$14,100,MAX(0,100-(P435-'Input &amp; Settings'!$B$14)*20)),""))</f>
        <v/>
      </c>
      <c r="AA435" s="37" t="str">
        <f>IF(COUNTA(G435:P435)=0,"",ROUND(Q435*'Input &amp; Settings'!$C$5+R435*'Input &amp; Settings'!$C$6+S435*'Input &amp; Settings'!$C$7+T435*'Input &amp; Settings'!$C$8+U435*'Input &amp; Settings'!$C$9+V435*'Input &amp; Settings'!$C$10+W435*'Input &amp; Settings'!$C$11+X435*'Input &amp; Settings'!$C$12+Y435*'Input &amp; Settings'!$C$13+Z435*'Input &amp; Settings'!$C$14,1))</f>
        <v/>
      </c>
      <c r="AB435" s="38" t="str">
        <f>IF(OR(AA435="",E435=""),"",IFERROR(IF(AA435&gt;=VLOOKUP(E435,'Input &amp; Settings'!$F$5:$K$10,3,FALSE),"Outstanding",IF(AA435&gt;=VLOOKUP(E435,'Input &amp; Settings'!$F$5:$K$10,4,FALSE),"Exceeds Expectations",IF(AA435&gt;=VLOOKUP(E435,'Input &amp; Settings'!$F$5:$K$10,5,FALSE),"Meets Expectations",IF(AA435&gt;=VLOOKUP(E435,'Input &amp; Settings'!$F$5:$K$10,6,FALSE),"Needs Improvement","Performance Improvement Required")))),""))</f>
        <v/>
      </c>
      <c r="AC435" s="38" t="str">
        <f t="shared" si="24"/>
        <v/>
      </c>
      <c r="AD435" s="39"/>
      <c r="AE435" s="40"/>
      <c r="AF435" s="41" t="str">
        <f t="shared" si="25"/>
        <v/>
      </c>
      <c r="AG435" s="42" t="str">
        <f t="shared" si="26"/>
        <v/>
      </c>
      <c r="AH435" s="42" t="str">
        <f t="shared" si="27"/>
        <v>Rafael Godinez|November</v>
      </c>
    </row>
    <row r="436" spans="1:34" hidden="1">
      <c r="A436" s="32">
        <v>2026</v>
      </c>
      <c r="B436" s="32" t="s">
        <v>96</v>
      </c>
      <c r="C436" s="32" t="s">
        <v>36</v>
      </c>
      <c r="D436" s="32" t="s">
        <v>50</v>
      </c>
      <c r="E436" s="33"/>
      <c r="F436" s="34" t="str">
        <f>IF(E436="","",IFERROR(VLOOKUP(E436,'Input &amp; Settings'!$F$5:$G$10,2,FALSE),""))</f>
        <v/>
      </c>
      <c r="G436" s="33"/>
      <c r="H436" s="33"/>
      <c r="I436" s="35"/>
      <c r="J436" s="33"/>
      <c r="K436" s="36"/>
      <c r="L436" s="35"/>
      <c r="M436" s="33"/>
      <c r="N436" s="33"/>
      <c r="O436" s="33"/>
      <c r="P436" s="33"/>
      <c r="Q436" s="37" t="str">
        <f>IF(G436="","",IFERROR(MIN(100,G436/'Input &amp; Settings'!$B$5*100),""))</f>
        <v/>
      </c>
      <c r="R436" s="37" t="str">
        <f>IF(H436="","",IFERROR(MIN(100,H436/'Input &amp; Settings'!$B$6*100),""))</f>
        <v/>
      </c>
      <c r="S436" s="37" t="str">
        <f>IF(I436="","",IFERROR(MIN(100,I436/'Input &amp; Settings'!$B$7*100),""))</f>
        <v/>
      </c>
      <c r="T436" s="37" t="str">
        <f>IF(J436="","",IFERROR(MIN(100,J436/'Input &amp; Settings'!$B$8*100),""))</f>
        <v/>
      </c>
      <c r="U436" s="37" t="str">
        <f>IF(K436="","",IFERROR(MIN(100,K436/'Input &amp; Settings'!$B$9*100),""))</f>
        <v/>
      </c>
      <c r="V436" s="37" t="str">
        <f>IF(L436="","",IFERROR(MIN(100,L436/'Input &amp; Settings'!$B$10*100),""))</f>
        <v/>
      </c>
      <c r="W436" s="37" t="str">
        <f>IF(M436="","",IFERROR(IF(M436&lt;='Input &amp; Settings'!$B$11,100,MAX(0,100-(M436-'Input &amp; Settings'!$B$11)*20)),""))</f>
        <v/>
      </c>
      <c r="X436" s="37" t="str">
        <f>IF(N436="","",IFERROR(MIN(100,N436/'Input &amp; Settings'!$B$12*100),""))</f>
        <v/>
      </c>
      <c r="Y436" s="37" t="str">
        <f>IF(O436="","",IFERROR(MIN(100,O436/'Input &amp; Settings'!$B$13*100),""))</f>
        <v/>
      </c>
      <c r="Z436" s="37" t="str">
        <f>IF(P436="","",IFERROR(IF(P436&lt;='Input &amp; Settings'!$B$14,100,MAX(0,100-(P436-'Input &amp; Settings'!$B$14)*20)),""))</f>
        <v/>
      </c>
      <c r="AA436" s="37" t="str">
        <f>IF(COUNTA(G436:P436)=0,"",ROUND(Q436*'Input &amp; Settings'!$C$5+R436*'Input &amp; Settings'!$C$6+S436*'Input &amp; Settings'!$C$7+T436*'Input &amp; Settings'!$C$8+U436*'Input &amp; Settings'!$C$9+V436*'Input &amp; Settings'!$C$10+W436*'Input &amp; Settings'!$C$11+X436*'Input &amp; Settings'!$C$12+Y436*'Input &amp; Settings'!$C$13+Z436*'Input &amp; Settings'!$C$14,1))</f>
        <v/>
      </c>
      <c r="AB436" s="38" t="str">
        <f>IF(OR(AA436="",E436=""),"",IFERROR(IF(AA436&gt;=VLOOKUP(E436,'Input &amp; Settings'!$F$5:$K$10,3,FALSE),"Outstanding",IF(AA436&gt;=VLOOKUP(E436,'Input &amp; Settings'!$F$5:$K$10,4,FALSE),"Exceeds Expectations",IF(AA436&gt;=VLOOKUP(E436,'Input &amp; Settings'!$F$5:$K$10,5,FALSE),"Meets Expectations",IF(AA436&gt;=VLOOKUP(E436,'Input &amp; Settings'!$F$5:$K$10,6,FALSE),"Needs Improvement","Performance Improvement Required")))),""))</f>
        <v/>
      </c>
      <c r="AC436" s="38" t="str">
        <f t="shared" si="24"/>
        <v/>
      </c>
      <c r="AD436" s="39"/>
      <c r="AE436" s="40"/>
      <c r="AF436" s="41" t="str">
        <f t="shared" si="25"/>
        <v/>
      </c>
      <c r="AG436" s="42" t="str">
        <f t="shared" si="26"/>
        <v/>
      </c>
      <c r="AH436" s="42" t="str">
        <f t="shared" si="27"/>
        <v>Dennis Mayorga|November</v>
      </c>
    </row>
    <row r="437" spans="1:34" hidden="1">
      <c r="A437" s="32">
        <v>2026</v>
      </c>
      <c r="B437" s="32" t="s">
        <v>96</v>
      </c>
      <c r="C437" s="32" t="s">
        <v>36</v>
      </c>
      <c r="D437" s="32" t="s">
        <v>51</v>
      </c>
      <c r="E437" s="33"/>
      <c r="F437" s="34" t="str">
        <f>IF(E437="","",IFERROR(VLOOKUP(E437,'Input &amp; Settings'!$F$5:$G$10,2,FALSE),""))</f>
        <v/>
      </c>
      <c r="G437" s="33"/>
      <c r="H437" s="33"/>
      <c r="I437" s="35"/>
      <c r="J437" s="33"/>
      <c r="K437" s="36"/>
      <c r="L437" s="35"/>
      <c r="M437" s="33"/>
      <c r="N437" s="33"/>
      <c r="O437" s="33"/>
      <c r="P437" s="33"/>
      <c r="Q437" s="37" t="str">
        <f>IF(G437="","",IFERROR(MIN(100,G437/'Input &amp; Settings'!$B$5*100),""))</f>
        <v/>
      </c>
      <c r="R437" s="37" t="str">
        <f>IF(H437="","",IFERROR(MIN(100,H437/'Input &amp; Settings'!$B$6*100),""))</f>
        <v/>
      </c>
      <c r="S437" s="37" t="str">
        <f>IF(I437="","",IFERROR(MIN(100,I437/'Input &amp; Settings'!$B$7*100),""))</f>
        <v/>
      </c>
      <c r="T437" s="37" t="str">
        <f>IF(J437="","",IFERROR(MIN(100,J437/'Input &amp; Settings'!$B$8*100),""))</f>
        <v/>
      </c>
      <c r="U437" s="37" t="str">
        <f>IF(K437="","",IFERROR(MIN(100,K437/'Input &amp; Settings'!$B$9*100),""))</f>
        <v/>
      </c>
      <c r="V437" s="37" t="str">
        <f>IF(L437="","",IFERROR(MIN(100,L437/'Input &amp; Settings'!$B$10*100),""))</f>
        <v/>
      </c>
      <c r="W437" s="37" t="str">
        <f>IF(M437="","",IFERROR(IF(M437&lt;='Input &amp; Settings'!$B$11,100,MAX(0,100-(M437-'Input &amp; Settings'!$B$11)*20)),""))</f>
        <v/>
      </c>
      <c r="X437" s="37" t="str">
        <f>IF(N437="","",IFERROR(MIN(100,N437/'Input &amp; Settings'!$B$12*100),""))</f>
        <v/>
      </c>
      <c r="Y437" s="37" t="str">
        <f>IF(O437="","",IFERROR(MIN(100,O437/'Input &amp; Settings'!$B$13*100),""))</f>
        <v/>
      </c>
      <c r="Z437" s="37" t="str">
        <f>IF(P437="","",IFERROR(IF(P437&lt;='Input &amp; Settings'!$B$14,100,MAX(0,100-(P437-'Input &amp; Settings'!$B$14)*20)),""))</f>
        <v/>
      </c>
      <c r="AA437" s="37" t="str">
        <f>IF(COUNTA(G437:P437)=0,"",ROUND(Q437*'Input &amp; Settings'!$C$5+R437*'Input &amp; Settings'!$C$6+S437*'Input &amp; Settings'!$C$7+T437*'Input &amp; Settings'!$C$8+U437*'Input &amp; Settings'!$C$9+V437*'Input &amp; Settings'!$C$10+W437*'Input &amp; Settings'!$C$11+X437*'Input &amp; Settings'!$C$12+Y437*'Input &amp; Settings'!$C$13+Z437*'Input &amp; Settings'!$C$14,1))</f>
        <v/>
      </c>
      <c r="AB437" s="38" t="str">
        <f>IF(OR(AA437="",E437=""),"",IFERROR(IF(AA437&gt;=VLOOKUP(E437,'Input &amp; Settings'!$F$5:$K$10,3,FALSE),"Outstanding",IF(AA437&gt;=VLOOKUP(E437,'Input &amp; Settings'!$F$5:$K$10,4,FALSE),"Exceeds Expectations",IF(AA437&gt;=VLOOKUP(E437,'Input &amp; Settings'!$F$5:$K$10,5,FALSE),"Meets Expectations",IF(AA437&gt;=VLOOKUP(E437,'Input &amp; Settings'!$F$5:$K$10,6,FALSE),"Needs Improvement","Performance Improvement Required")))),""))</f>
        <v/>
      </c>
      <c r="AC437" s="38" t="str">
        <f t="shared" si="24"/>
        <v/>
      </c>
      <c r="AD437" s="39"/>
      <c r="AE437" s="40"/>
      <c r="AF437" s="41" t="str">
        <f t="shared" si="25"/>
        <v/>
      </c>
      <c r="AG437" s="42" t="str">
        <f t="shared" si="26"/>
        <v/>
      </c>
      <c r="AH437" s="42" t="str">
        <f t="shared" si="27"/>
        <v>Jose Reyes-Navolskyi (Ivan)|November</v>
      </c>
    </row>
    <row r="438" spans="1:34" hidden="1">
      <c r="A438" s="32">
        <v>2026</v>
      </c>
      <c r="B438" s="32" t="s">
        <v>96</v>
      </c>
      <c r="C438" s="32" t="s">
        <v>36</v>
      </c>
      <c r="D438" s="32" t="s">
        <v>52</v>
      </c>
      <c r="E438" s="33"/>
      <c r="F438" s="34" t="str">
        <f>IF(E438="","",IFERROR(VLOOKUP(E438,'Input &amp; Settings'!$F$5:$G$10,2,FALSE),""))</f>
        <v/>
      </c>
      <c r="G438" s="33"/>
      <c r="H438" s="33"/>
      <c r="I438" s="35"/>
      <c r="J438" s="33"/>
      <c r="K438" s="36"/>
      <c r="L438" s="35"/>
      <c r="M438" s="33"/>
      <c r="N438" s="33"/>
      <c r="O438" s="33"/>
      <c r="P438" s="33"/>
      <c r="Q438" s="37" t="str">
        <f>IF(G438="","",IFERROR(MIN(100,G438/'Input &amp; Settings'!$B$5*100),""))</f>
        <v/>
      </c>
      <c r="R438" s="37" t="str">
        <f>IF(H438="","",IFERROR(MIN(100,H438/'Input &amp; Settings'!$B$6*100),""))</f>
        <v/>
      </c>
      <c r="S438" s="37" t="str">
        <f>IF(I438="","",IFERROR(MIN(100,I438/'Input &amp; Settings'!$B$7*100),""))</f>
        <v/>
      </c>
      <c r="T438" s="37" t="str">
        <f>IF(J438="","",IFERROR(MIN(100,J438/'Input &amp; Settings'!$B$8*100),""))</f>
        <v/>
      </c>
      <c r="U438" s="37" t="str">
        <f>IF(K438="","",IFERROR(MIN(100,K438/'Input &amp; Settings'!$B$9*100),""))</f>
        <v/>
      </c>
      <c r="V438" s="37" t="str">
        <f>IF(L438="","",IFERROR(MIN(100,L438/'Input &amp; Settings'!$B$10*100),""))</f>
        <v/>
      </c>
      <c r="W438" s="37" t="str">
        <f>IF(M438="","",IFERROR(IF(M438&lt;='Input &amp; Settings'!$B$11,100,MAX(0,100-(M438-'Input &amp; Settings'!$B$11)*20)),""))</f>
        <v/>
      </c>
      <c r="X438" s="37" t="str">
        <f>IF(N438="","",IFERROR(MIN(100,N438/'Input &amp; Settings'!$B$12*100),""))</f>
        <v/>
      </c>
      <c r="Y438" s="37" t="str">
        <f>IF(O438="","",IFERROR(MIN(100,O438/'Input &amp; Settings'!$B$13*100),""))</f>
        <v/>
      </c>
      <c r="Z438" s="37" t="str">
        <f>IF(P438="","",IFERROR(IF(P438&lt;='Input &amp; Settings'!$B$14,100,MAX(0,100-(P438-'Input &amp; Settings'!$B$14)*20)),""))</f>
        <v/>
      </c>
      <c r="AA438" s="37" t="str">
        <f>IF(COUNTA(G438:P438)=0,"",ROUND(Q438*'Input &amp; Settings'!$C$5+R438*'Input &amp; Settings'!$C$6+S438*'Input &amp; Settings'!$C$7+T438*'Input &amp; Settings'!$C$8+U438*'Input &amp; Settings'!$C$9+V438*'Input &amp; Settings'!$C$10+W438*'Input &amp; Settings'!$C$11+X438*'Input &amp; Settings'!$C$12+Y438*'Input &amp; Settings'!$C$13+Z438*'Input &amp; Settings'!$C$14,1))</f>
        <v/>
      </c>
      <c r="AB438" s="38" t="str">
        <f>IF(OR(AA438="",E438=""),"",IFERROR(IF(AA438&gt;=VLOOKUP(E438,'Input &amp; Settings'!$F$5:$K$10,3,FALSE),"Outstanding",IF(AA438&gt;=VLOOKUP(E438,'Input &amp; Settings'!$F$5:$K$10,4,FALSE),"Exceeds Expectations",IF(AA438&gt;=VLOOKUP(E438,'Input &amp; Settings'!$F$5:$K$10,5,FALSE),"Meets Expectations",IF(AA438&gt;=VLOOKUP(E438,'Input &amp; Settings'!$F$5:$K$10,6,FALSE),"Needs Improvement","Performance Improvement Required")))),""))</f>
        <v/>
      </c>
      <c r="AC438" s="38" t="str">
        <f t="shared" si="24"/>
        <v/>
      </c>
      <c r="AD438" s="39"/>
      <c r="AE438" s="40"/>
      <c r="AF438" s="41" t="str">
        <f t="shared" si="25"/>
        <v/>
      </c>
      <c r="AG438" s="42" t="str">
        <f t="shared" si="26"/>
        <v/>
      </c>
      <c r="AH438" s="42" t="str">
        <f t="shared" si="27"/>
        <v>Jonathan Davila|November</v>
      </c>
    </row>
    <row r="439" spans="1:34" hidden="1">
      <c r="A439" s="32">
        <v>2026</v>
      </c>
      <c r="B439" s="32" t="s">
        <v>96</v>
      </c>
      <c r="C439" s="32" t="s">
        <v>53</v>
      </c>
      <c r="D439" s="32" t="s">
        <v>54</v>
      </c>
      <c r="E439" s="33"/>
      <c r="F439" s="34" t="str">
        <f>IF(E439="","",IFERROR(VLOOKUP(E439,'Input &amp; Settings'!$F$5:$G$10,2,FALSE),""))</f>
        <v/>
      </c>
      <c r="G439" s="33"/>
      <c r="H439" s="33"/>
      <c r="I439" s="35"/>
      <c r="J439" s="33"/>
      <c r="K439" s="36"/>
      <c r="L439" s="35"/>
      <c r="M439" s="33"/>
      <c r="N439" s="33"/>
      <c r="O439" s="33"/>
      <c r="P439" s="33"/>
      <c r="Q439" s="37" t="str">
        <f>IF(G439="","",IFERROR(MIN(100,G439/'Input &amp; Settings'!$B$5*100),""))</f>
        <v/>
      </c>
      <c r="R439" s="37" t="str">
        <f>IF(H439="","",IFERROR(MIN(100,H439/'Input &amp; Settings'!$B$6*100),""))</f>
        <v/>
      </c>
      <c r="S439" s="37" t="str">
        <f>IF(I439="","",IFERROR(MIN(100,I439/'Input &amp; Settings'!$B$7*100),""))</f>
        <v/>
      </c>
      <c r="T439" s="37" t="str">
        <f>IF(J439="","",IFERROR(MIN(100,J439/'Input &amp; Settings'!$B$8*100),""))</f>
        <v/>
      </c>
      <c r="U439" s="37" t="str">
        <f>IF(K439="","",IFERROR(MIN(100,K439/'Input &amp; Settings'!$B$9*100),""))</f>
        <v/>
      </c>
      <c r="V439" s="37" t="str">
        <f>IF(L439="","",IFERROR(MIN(100,L439/'Input &amp; Settings'!$B$10*100),""))</f>
        <v/>
      </c>
      <c r="W439" s="37" t="str">
        <f>IF(M439="","",IFERROR(IF(M439&lt;='Input &amp; Settings'!$B$11,100,MAX(0,100-(M439-'Input &amp; Settings'!$B$11)*20)),""))</f>
        <v/>
      </c>
      <c r="X439" s="37" t="str">
        <f>IF(N439="","",IFERROR(MIN(100,N439/'Input &amp; Settings'!$B$12*100),""))</f>
        <v/>
      </c>
      <c r="Y439" s="37" t="str">
        <f>IF(O439="","",IFERROR(MIN(100,O439/'Input &amp; Settings'!$B$13*100),""))</f>
        <v/>
      </c>
      <c r="Z439" s="37" t="str">
        <f>IF(P439="","",IFERROR(IF(P439&lt;='Input &amp; Settings'!$B$14,100,MAX(0,100-(P439-'Input &amp; Settings'!$B$14)*20)),""))</f>
        <v/>
      </c>
      <c r="AA439" s="37" t="str">
        <f>IF(COUNTA(G439:P439)=0,"",ROUND(Q439*'Input &amp; Settings'!$C$5+R439*'Input &amp; Settings'!$C$6+S439*'Input &amp; Settings'!$C$7+T439*'Input &amp; Settings'!$C$8+U439*'Input &amp; Settings'!$C$9+V439*'Input &amp; Settings'!$C$10+W439*'Input &amp; Settings'!$C$11+X439*'Input &amp; Settings'!$C$12+Y439*'Input &amp; Settings'!$C$13+Z439*'Input &amp; Settings'!$C$14,1))</f>
        <v/>
      </c>
      <c r="AB439" s="38" t="str">
        <f>IF(OR(AA439="",E439=""),"",IFERROR(IF(AA439&gt;=VLOOKUP(E439,'Input &amp; Settings'!$F$5:$K$10,3,FALSE),"Outstanding",IF(AA439&gt;=VLOOKUP(E439,'Input &amp; Settings'!$F$5:$K$10,4,FALSE),"Exceeds Expectations",IF(AA439&gt;=VLOOKUP(E439,'Input &amp; Settings'!$F$5:$K$10,5,FALSE),"Meets Expectations",IF(AA439&gt;=VLOOKUP(E439,'Input &amp; Settings'!$F$5:$K$10,6,FALSE),"Needs Improvement","Performance Improvement Required")))),""))</f>
        <v/>
      </c>
      <c r="AC439" s="38" t="str">
        <f t="shared" si="24"/>
        <v/>
      </c>
      <c r="AD439" s="39"/>
      <c r="AE439" s="40"/>
      <c r="AF439" s="41" t="str">
        <f t="shared" si="25"/>
        <v/>
      </c>
      <c r="AG439" s="42" t="str">
        <f t="shared" si="26"/>
        <v/>
      </c>
      <c r="AH439" s="42" t="str">
        <f t="shared" si="27"/>
        <v>Kevin Luburd|November</v>
      </c>
    </row>
    <row r="440" spans="1:34" hidden="1">
      <c r="A440" s="32">
        <v>2026</v>
      </c>
      <c r="B440" s="32" t="s">
        <v>96</v>
      </c>
      <c r="C440" s="32" t="s">
        <v>53</v>
      </c>
      <c r="D440" s="32" t="s">
        <v>55</v>
      </c>
      <c r="E440" s="33"/>
      <c r="F440" s="34" t="str">
        <f>IF(E440="","",IFERROR(VLOOKUP(E440,'Input &amp; Settings'!$F$5:$G$10,2,FALSE),""))</f>
        <v/>
      </c>
      <c r="G440" s="33"/>
      <c r="H440" s="33"/>
      <c r="I440" s="35"/>
      <c r="J440" s="33"/>
      <c r="K440" s="36"/>
      <c r="L440" s="35"/>
      <c r="M440" s="33"/>
      <c r="N440" s="33"/>
      <c r="O440" s="33"/>
      <c r="P440" s="33"/>
      <c r="Q440" s="37" t="str">
        <f>IF(G440="","",IFERROR(MIN(100,G440/'Input &amp; Settings'!$B$5*100),""))</f>
        <v/>
      </c>
      <c r="R440" s="37" t="str">
        <f>IF(H440="","",IFERROR(MIN(100,H440/'Input &amp; Settings'!$B$6*100),""))</f>
        <v/>
      </c>
      <c r="S440" s="37" t="str">
        <f>IF(I440="","",IFERROR(MIN(100,I440/'Input &amp; Settings'!$B$7*100),""))</f>
        <v/>
      </c>
      <c r="T440" s="37" t="str">
        <f>IF(J440="","",IFERROR(MIN(100,J440/'Input &amp; Settings'!$B$8*100),""))</f>
        <v/>
      </c>
      <c r="U440" s="37" t="str">
        <f>IF(K440="","",IFERROR(MIN(100,K440/'Input &amp; Settings'!$B$9*100),""))</f>
        <v/>
      </c>
      <c r="V440" s="37" t="str">
        <f>IF(L440="","",IFERROR(MIN(100,L440/'Input &amp; Settings'!$B$10*100),""))</f>
        <v/>
      </c>
      <c r="W440" s="37" t="str">
        <f>IF(M440="","",IFERROR(IF(M440&lt;='Input &amp; Settings'!$B$11,100,MAX(0,100-(M440-'Input &amp; Settings'!$B$11)*20)),""))</f>
        <v/>
      </c>
      <c r="X440" s="37" t="str">
        <f>IF(N440="","",IFERROR(MIN(100,N440/'Input &amp; Settings'!$B$12*100),""))</f>
        <v/>
      </c>
      <c r="Y440" s="37" t="str">
        <f>IF(O440="","",IFERROR(MIN(100,O440/'Input &amp; Settings'!$B$13*100),""))</f>
        <v/>
      </c>
      <c r="Z440" s="37" t="str">
        <f>IF(P440="","",IFERROR(IF(P440&lt;='Input &amp; Settings'!$B$14,100,MAX(0,100-(P440-'Input &amp; Settings'!$B$14)*20)),""))</f>
        <v/>
      </c>
      <c r="AA440" s="37" t="str">
        <f>IF(COUNTA(G440:P440)=0,"",ROUND(Q440*'Input &amp; Settings'!$C$5+R440*'Input &amp; Settings'!$C$6+S440*'Input &amp; Settings'!$C$7+T440*'Input &amp; Settings'!$C$8+U440*'Input &amp; Settings'!$C$9+V440*'Input &amp; Settings'!$C$10+W440*'Input &amp; Settings'!$C$11+X440*'Input &amp; Settings'!$C$12+Y440*'Input &amp; Settings'!$C$13+Z440*'Input &amp; Settings'!$C$14,1))</f>
        <v/>
      </c>
      <c r="AB440" s="38" t="str">
        <f>IF(OR(AA440="",E440=""),"",IFERROR(IF(AA440&gt;=VLOOKUP(E440,'Input &amp; Settings'!$F$5:$K$10,3,FALSE),"Outstanding",IF(AA440&gt;=VLOOKUP(E440,'Input &amp; Settings'!$F$5:$K$10,4,FALSE),"Exceeds Expectations",IF(AA440&gt;=VLOOKUP(E440,'Input &amp; Settings'!$F$5:$K$10,5,FALSE),"Meets Expectations",IF(AA440&gt;=VLOOKUP(E440,'Input &amp; Settings'!$F$5:$K$10,6,FALSE),"Needs Improvement","Performance Improvement Required")))),""))</f>
        <v/>
      </c>
      <c r="AC440" s="38" t="str">
        <f t="shared" si="24"/>
        <v/>
      </c>
      <c r="AD440" s="39"/>
      <c r="AE440" s="40"/>
      <c r="AF440" s="41" t="str">
        <f t="shared" si="25"/>
        <v/>
      </c>
      <c r="AG440" s="42" t="str">
        <f t="shared" si="26"/>
        <v/>
      </c>
      <c r="AH440" s="42" t="str">
        <f t="shared" si="27"/>
        <v>Anthony Thompson|November</v>
      </c>
    </row>
    <row r="441" spans="1:34" hidden="1">
      <c r="A441" s="32">
        <v>2026</v>
      </c>
      <c r="B441" s="32" t="s">
        <v>96</v>
      </c>
      <c r="C441" s="32" t="s">
        <v>53</v>
      </c>
      <c r="D441" s="32" t="s">
        <v>56</v>
      </c>
      <c r="E441" s="33"/>
      <c r="F441" s="34" t="str">
        <f>IF(E441="","",IFERROR(VLOOKUP(E441,'Input &amp; Settings'!$F$5:$G$10,2,FALSE),""))</f>
        <v/>
      </c>
      <c r="G441" s="33"/>
      <c r="H441" s="33"/>
      <c r="I441" s="35"/>
      <c r="J441" s="33"/>
      <c r="K441" s="36"/>
      <c r="L441" s="35"/>
      <c r="M441" s="33"/>
      <c r="N441" s="33"/>
      <c r="O441" s="33"/>
      <c r="P441" s="33"/>
      <c r="Q441" s="37" t="str">
        <f>IF(G441="","",IFERROR(MIN(100,G441/'Input &amp; Settings'!$B$5*100),""))</f>
        <v/>
      </c>
      <c r="R441" s="37" t="str">
        <f>IF(H441="","",IFERROR(MIN(100,H441/'Input &amp; Settings'!$B$6*100),""))</f>
        <v/>
      </c>
      <c r="S441" s="37" t="str">
        <f>IF(I441="","",IFERROR(MIN(100,I441/'Input &amp; Settings'!$B$7*100),""))</f>
        <v/>
      </c>
      <c r="T441" s="37" t="str">
        <f>IF(J441="","",IFERROR(MIN(100,J441/'Input &amp; Settings'!$B$8*100),""))</f>
        <v/>
      </c>
      <c r="U441" s="37" t="str">
        <f>IF(K441="","",IFERROR(MIN(100,K441/'Input &amp; Settings'!$B$9*100),""))</f>
        <v/>
      </c>
      <c r="V441" s="37" t="str">
        <f>IF(L441="","",IFERROR(MIN(100,L441/'Input &amp; Settings'!$B$10*100),""))</f>
        <v/>
      </c>
      <c r="W441" s="37" t="str">
        <f>IF(M441="","",IFERROR(IF(M441&lt;='Input &amp; Settings'!$B$11,100,MAX(0,100-(M441-'Input &amp; Settings'!$B$11)*20)),""))</f>
        <v/>
      </c>
      <c r="X441" s="37" t="str">
        <f>IF(N441="","",IFERROR(MIN(100,N441/'Input &amp; Settings'!$B$12*100),""))</f>
        <v/>
      </c>
      <c r="Y441" s="37" t="str">
        <f>IF(O441="","",IFERROR(MIN(100,O441/'Input &amp; Settings'!$B$13*100),""))</f>
        <v/>
      </c>
      <c r="Z441" s="37" t="str">
        <f>IF(P441="","",IFERROR(IF(P441&lt;='Input &amp; Settings'!$B$14,100,MAX(0,100-(P441-'Input &amp; Settings'!$B$14)*20)),""))</f>
        <v/>
      </c>
      <c r="AA441" s="37" t="str">
        <f>IF(COUNTA(G441:P441)=0,"",ROUND(Q441*'Input &amp; Settings'!$C$5+R441*'Input &amp; Settings'!$C$6+S441*'Input &amp; Settings'!$C$7+T441*'Input &amp; Settings'!$C$8+U441*'Input &amp; Settings'!$C$9+V441*'Input &amp; Settings'!$C$10+W441*'Input &amp; Settings'!$C$11+X441*'Input &amp; Settings'!$C$12+Y441*'Input &amp; Settings'!$C$13+Z441*'Input &amp; Settings'!$C$14,1))</f>
        <v/>
      </c>
      <c r="AB441" s="38" t="str">
        <f>IF(OR(AA441="",E441=""),"",IFERROR(IF(AA441&gt;=VLOOKUP(E441,'Input &amp; Settings'!$F$5:$K$10,3,FALSE),"Outstanding",IF(AA441&gt;=VLOOKUP(E441,'Input &amp; Settings'!$F$5:$K$10,4,FALSE),"Exceeds Expectations",IF(AA441&gt;=VLOOKUP(E441,'Input &amp; Settings'!$F$5:$K$10,5,FALSE),"Meets Expectations",IF(AA441&gt;=VLOOKUP(E441,'Input &amp; Settings'!$F$5:$K$10,6,FALSE),"Needs Improvement","Performance Improvement Required")))),""))</f>
        <v/>
      </c>
      <c r="AC441" s="38" t="str">
        <f t="shared" si="24"/>
        <v/>
      </c>
      <c r="AD441" s="39"/>
      <c r="AE441" s="40"/>
      <c r="AF441" s="41" t="str">
        <f t="shared" si="25"/>
        <v/>
      </c>
      <c r="AG441" s="42" t="str">
        <f t="shared" si="26"/>
        <v/>
      </c>
      <c r="AH441" s="42" t="str">
        <f t="shared" si="27"/>
        <v>Shamar Modeste|November</v>
      </c>
    </row>
    <row r="442" spans="1:34" hidden="1">
      <c r="A442" s="32">
        <v>2026</v>
      </c>
      <c r="B442" s="32" t="s">
        <v>96</v>
      </c>
      <c r="C442" s="32" t="s">
        <v>53</v>
      </c>
      <c r="D442" s="32" t="s">
        <v>57</v>
      </c>
      <c r="E442" s="33"/>
      <c r="F442" s="34" t="str">
        <f>IF(E442="","",IFERROR(VLOOKUP(E442,'Input &amp; Settings'!$F$5:$G$10,2,FALSE),""))</f>
        <v/>
      </c>
      <c r="G442" s="33"/>
      <c r="H442" s="33"/>
      <c r="I442" s="35"/>
      <c r="J442" s="33"/>
      <c r="K442" s="36"/>
      <c r="L442" s="35"/>
      <c r="M442" s="33"/>
      <c r="N442" s="33"/>
      <c r="O442" s="33"/>
      <c r="P442" s="33"/>
      <c r="Q442" s="37" t="str">
        <f>IF(G442="","",IFERROR(MIN(100,G442/'Input &amp; Settings'!$B$5*100),""))</f>
        <v/>
      </c>
      <c r="R442" s="37" t="str">
        <f>IF(H442="","",IFERROR(MIN(100,H442/'Input &amp; Settings'!$B$6*100),""))</f>
        <v/>
      </c>
      <c r="S442" s="37" t="str">
        <f>IF(I442="","",IFERROR(MIN(100,I442/'Input &amp; Settings'!$B$7*100),""))</f>
        <v/>
      </c>
      <c r="T442" s="37" t="str">
        <f>IF(J442="","",IFERROR(MIN(100,J442/'Input &amp; Settings'!$B$8*100),""))</f>
        <v/>
      </c>
      <c r="U442" s="37" t="str">
        <f>IF(K442="","",IFERROR(MIN(100,K442/'Input &amp; Settings'!$B$9*100),""))</f>
        <v/>
      </c>
      <c r="V442" s="37" t="str">
        <f>IF(L442="","",IFERROR(MIN(100,L442/'Input &amp; Settings'!$B$10*100),""))</f>
        <v/>
      </c>
      <c r="W442" s="37" t="str">
        <f>IF(M442="","",IFERROR(IF(M442&lt;='Input &amp; Settings'!$B$11,100,MAX(0,100-(M442-'Input &amp; Settings'!$B$11)*20)),""))</f>
        <v/>
      </c>
      <c r="X442" s="37" t="str">
        <f>IF(N442="","",IFERROR(MIN(100,N442/'Input &amp; Settings'!$B$12*100),""))</f>
        <v/>
      </c>
      <c r="Y442" s="37" t="str">
        <f>IF(O442="","",IFERROR(MIN(100,O442/'Input &amp; Settings'!$B$13*100),""))</f>
        <v/>
      </c>
      <c r="Z442" s="37" t="str">
        <f>IF(P442="","",IFERROR(IF(P442&lt;='Input &amp; Settings'!$B$14,100,MAX(0,100-(P442-'Input &amp; Settings'!$B$14)*20)),""))</f>
        <v/>
      </c>
      <c r="AA442" s="37" t="str">
        <f>IF(COUNTA(G442:P442)=0,"",ROUND(Q442*'Input &amp; Settings'!$C$5+R442*'Input &amp; Settings'!$C$6+S442*'Input &amp; Settings'!$C$7+T442*'Input &amp; Settings'!$C$8+U442*'Input &amp; Settings'!$C$9+V442*'Input &amp; Settings'!$C$10+W442*'Input &amp; Settings'!$C$11+X442*'Input &amp; Settings'!$C$12+Y442*'Input &amp; Settings'!$C$13+Z442*'Input &amp; Settings'!$C$14,1))</f>
        <v/>
      </c>
      <c r="AB442" s="38" t="str">
        <f>IF(OR(AA442="",E442=""),"",IFERROR(IF(AA442&gt;=VLOOKUP(E442,'Input &amp; Settings'!$F$5:$K$10,3,FALSE),"Outstanding",IF(AA442&gt;=VLOOKUP(E442,'Input &amp; Settings'!$F$5:$K$10,4,FALSE),"Exceeds Expectations",IF(AA442&gt;=VLOOKUP(E442,'Input &amp; Settings'!$F$5:$K$10,5,FALSE),"Meets Expectations",IF(AA442&gt;=VLOOKUP(E442,'Input &amp; Settings'!$F$5:$K$10,6,FALSE),"Needs Improvement","Performance Improvement Required")))),""))</f>
        <v/>
      </c>
      <c r="AC442" s="38" t="str">
        <f t="shared" si="24"/>
        <v/>
      </c>
      <c r="AD442" s="39"/>
      <c r="AE442" s="40"/>
      <c r="AF442" s="41" t="str">
        <f t="shared" si="25"/>
        <v/>
      </c>
      <c r="AG442" s="42" t="str">
        <f t="shared" si="26"/>
        <v/>
      </c>
      <c r="AH442" s="42" t="str">
        <f t="shared" si="27"/>
        <v>Steven Morejon|November</v>
      </c>
    </row>
    <row r="443" spans="1:34" hidden="1">
      <c r="A443" s="32">
        <v>2026</v>
      </c>
      <c r="B443" s="32" t="s">
        <v>96</v>
      </c>
      <c r="C443" s="32" t="s">
        <v>53</v>
      </c>
      <c r="D443" s="32" t="s">
        <v>58</v>
      </c>
      <c r="E443" s="33"/>
      <c r="F443" s="34" t="str">
        <f>IF(E443="","",IFERROR(VLOOKUP(E443,'Input &amp; Settings'!$F$5:$G$10,2,FALSE),""))</f>
        <v/>
      </c>
      <c r="G443" s="33"/>
      <c r="H443" s="33"/>
      <c r="I443" s="35"/>
      <c r="J443" s="33"/>
      <c r="K443" s="36"/>
      <c r="L443" s="35"/>
      <c r="M443" s="33"/>
      <c r="N443" s="33"/>
      <c r="O443" s="33"/>
      <c r="P443" s="33"/>
      <c r="Q443" s="37" t="str">
        <f>IF(G443="","",IFERROR(MIN(100,G443/'Input &amp; Settings'!$B$5*100),""))</f>
        <v/>
      </c>
      <c r="R443" s="37" t="str">
        <f>IF(H443="","",IFERROR(MIN(100,H443/'Input &amp; Settings'!$B$6*100),""))</f>
        <v/>
      </c>
      <c r="S443" s="37" t="str">
        <f>IF(I443="","",IFERROR(MIN(100,I443/'Input &amp; Settings'!$B$7*100),""))</f>
        <v/>
      </c>
      <c r="T443" s="37" t="str">
        <f>IF(J443="","",IFERROR(MIN(100,J443/'Input &amp; Settings'!$B$8*100),""))</f>
        <v/>
      </c>
      <c r="U443" s="37" t="str">
        <f>IF(K443="","",IFERROR(MIN(100,K443/'Input &amp; Settings'!$B$9*100),""))</f>
        <v/>
      </c>
      <c r="V443" s="37" t="str">
        <f>IF(L443="","",IFERROR(MIN(100,L443/'Input &amp; Settings'!$B$10*100),""))</f>
        <v/>
      </c>
      <c r="W443" s="37" t="str">
        <f>IF(M443="","",IFERROR(IF(M443&lt;='Input &amp; Settings'!$B$11,100,MAX(0,100-(M443-'Input &amp; Settings'!$B$11)*20)),""))</f>
        <v/>
      </c>
      <c r="X443" s="37" t="str">
        <f>IF(N443="","",IFERROR(MIN(100,N443/'Input &amp; Settings'!$B$12*100),""))</f>
        <v/>
      </c>
      <c r="Y443" s="37" t="str">
        <f>IF(O443="","",IFERROR(MIN(100,O443/'Input &amp; Settings'!$B$13*100),""))</f>
        <v/>
      </c>
      <c r="Z443" s="37" t="str">
        <f>IF(P443="","",IFERROR(IF(P443&lt;='Input &amp; Settings'!$B$14,100,MAX(0,100-(P443-'Input &amp; Settings'!$B$14)*20)),""))</f>
        <v/>
      </c>
      <c r="AA443" s="37" t="str">
        <f>IF(COUNTA(G443:P443)=0,"",ROUND(Q443*'Input &amp; Settings'!$C$5+R443*'Input &amp; Settings'!$C$6+S443*'Input &amp; Settings'!$C$7+T443*'Input &amp; Settings'!$C$8+U443*'Input &amp; Settings'!$C$9+V443*'Input &amp; Settings'!$C$10+W443*'Input &amp; Settings'!$C$11+X443*'Input &amp; Settings'!$C$12+Y443*'Input &amp; Settings'!$C$13+Z443*'Input &amp; Settings'!$C$14,1))</f>
        <v/>
      </c>
      <c r="AB443" s="38" t="str">
        <f>IF(OR(AA443="",E443=""),"",IFERROR(IF(AA443&gt;=VLOOKUP(E443,'Input &amp; Settings'!$F$5:$K$10,3,FALSE),"Outstanding",IF(AA443&gt;=VLOOKUP(E443,'Input &amp; Settings'!$F$5:$K$10,4,FALSE),"Exceeds Expectations",IF(AA443&gt;=VLOOKUP(E443,'Input &amp; Settings'!$F$5:$K$10,5,FALSE),"Meets Expectations",IF(AA443&gt;=VLOOKUP(E443,'Input &amp; Settings'!$F$5:$K$10,6,FALSE),"Needs Improvement","Performance Improvement Required")))),""))</f>
        <v/>
      </c>
      <c r="AC443" s="38" t="str">
        <f t="shared" si="24"/>
        <v/>
      </c>
      <c r="AD443" s="39"/>
      <c r="AE443" s="40"/>
      <c r="AF443" s="41" t="str">
        <f t="shared" si="25"/>
        <v/>
      </c>
      <c r="AG443" s="42" t="str">
        <f t="shared" si="26"/>
        <v/>
      </c>
      <c r="AH443" s="42" t="str">
        <f t="shared" si="27"/>
        <v>Nicolas Abello|November</v>
      </c>
    </row>
    <row r="444" spans="1:34" hidden="1">
      <c r="A444" s="32">
        <v>2026</v>
      </c>
      <c r="B444" s="32" t="s">
        <v>96</v>
      </c>
      <c r="C444" s="32" t="s">
        <v>53</v>
      </c>
      <c r="D444" s="32" t="s">
        <v>59</v>
      </c>
      <c r="E444" s="33"/>
      <c r="F444" s="34" t="str">
        <f>IF(E444="","",IFERROR(VLOOKUP(E444,'Input &amp; Settings'!$F$5:$G$10,2,FALSE),""))</f>
        <v/>
      </c>
      <c r="G444" s="33"/>
      <c r="H444" s="33"/>
      <c r="I444" s="35"/>
      <c r="J444" s="33"/>
      <c r="K444" s="36"/>
      <c r="L444" s="35"/>
      <c r="M444" s="33"/>
      <c r="N444" s="33"/>
      <c r="O444" s="33"/>
      <c r="P444" s="33"/>
      <c r="Q444" s="37" t="str">
        <f>IF(G444="","",IFERROR(MIN(100,G444/'Input &amp; Settings'!$B$5*100),""))</f>
        <v/>
      </c>
      <c r="R444" s="37" t="str">
        <f>IF(H444="","",IFERROR(MIN(100,H444/'Input &amp; Settings'!$B$6*100),""))</f>
        <v/>
      </c>
      <c r="S444" s="37" t="str">
        <f>IF(I444="","",IFERROR(MIN(100,I444/'Input &amp; Settings'!$B$7*100),""))</f>
        <v/>
      </c>
      <c r="T444" s="37" t="str">
        <f>IF(J444="","",IFERROR(MIN(100,J444/'Input &amp; Settings'!$B$8*100),""))</f>
        <v/>
      </c>
      <c r="U444" s="37" t="str">
        <f>IF(K444="","",IFERROR(MIN(100,K444/'Input &amp; Settings'!$B$9*100),""))</f>
        <v/>
      </c>
      <c r="V444" s="37" t="str">
        <f>IF(L444="","",IFERROR(MIN(100,L444/'Input &amp; Settings'!$B$10*100),""))</f>
        <v/>
      </c>
      <c r="W444" s="37" t="str">
        <f>IF(M444="","",IFERROR(IF(M444&lt;='Input &amp; Settings'!$B$11,100,MAX(0,100-(M444-'Input &amp; Settings'!$B$11)*20)),""))</f>
        <v/>
      </c>
      <c r="X444" s="37" t="str">
        <f>IF(N444="","",IFERROR(MIN(100,N444/'Input &amp; Settings'!$B$12*100),""))</f>
        <v/>
      </c>
      <c r="Y444" s="37" t="str">
        <f>IF(O444="","",IFERROR(MIN(100,O444/'Input &amp; Settings'!$B$13*100),""))</f>
        <v/>
      </c>
      <c r="Z444" s="37" t="str">
        <f>IF(P444="","",IFERROR(IF(P444&lt;='Input &amp; Settings'!$B$14,100,MAX(0,100-(P444-'Input &amp; Settings'!$B$14)*20)),""))</f>
        <v/>
      </c>
      <c r="AA444" s="37" t="str">
        <f>IF(COUNTA(G444:P444)=0,"",ROUND(Q444*'Input &amp; Settings'!$C$5+R444*'Input &amp; Settings'!$C$6+S444*'Input &amp; Settings'!$C$7+T444*'Input &amp; Settings'!$C$8+U444*'Input &amp; Settings'!$C$9+V444*'Input &amp; Settings'!$C$10+W444*'Input &amp; Settings'!$C$11+X444*'Input &amp; Settings'!$C$12+Y444*'Input &amp; Settings'!$C$13+Z444*'Input &amp; Settings'!$C$14,1))</f>
        <v/>
      </c>
      <c r="AB444" s="38" t="str">
        <f>IF(OR(AA444="",E444=""),"",IFERROR(IF(AA444&gt;=VLOOKUP(E444,'Input &amp; Settings'!$F$5:$K$10,3,FALSE),"Outstanding",IF(AA444&gt;=VLOOKUP(E444,'Input &amp; Settings'!$F$5:$K$10,4,FALSE),"Exceeds Expectations",IF(AA444&gt;=VLOOKUP(E444,'Input &amp; Settings'!$F$5:$K$10,5,FALSE),"Meets Expectations",IF(AA444&gt;=VLOOKUP(E444,'Input &amp; Settings'!$F$5:$K$10,6,FALSE),"Needs Improvement","Performance Improvement Required")))),""))</f>
        <v/>
      </c>
      <c r="AC444" s="38" t="str">
        <f t="shared" si="24"/>
        <v/>
      </c>
      <c r="AD444" s="39"/>
      <c r="AE444" s="40"/>
      <c r="AF444" s="41" t="str">
        <f t="shared" si="25"/>
        <v/>
      </c>
      <c r="AG444" s="42" t="str">
        <f t="shared" si="26"/>
        <v/>
      </c>
      <c r="AH444" s="42" t="str">
        <f t="shared" si="27"/>
        <v>Carlos Espinosa|November</v>
      </c>
    </row>
    <row r="445" spans="1:34" hidden="1">
      <c r="A445" s="32">
        <v>2026</v>
      </c>
      <c r="B445" s="32" t="s">
        <v>96</v>
      </c>
      <c r="C445" s="32" t="s">
        <v>53</v>
      </c>
      <c r="D445" s="32" t="s">
        <v>60</v>
      </c>
      <c r="E445" s="33"/>
      <c r="F445" s="34" t="str">
        <f>IF(E445="","",IFERROR(VLOOKUP(E445,'Input &amp; Settings'!$F$5:$G$10,2,FALSE),""))</f>
        <v/>
      </c>
      <c r="G445" s="33"/>
      <c r="H445" s="33"/>
      <c r="I445" s="35"/>
      <c r="J445" s="33"/>
      <c r="K445" s="36"/>
      <c r="L445" s="35"/>
      <c r="M445" s="33"/>
      <c r="N445" s="33"/>
      <c r="O445" s="33"/>
      <c r="P445" s="33"/>
      <c r="Q445" s="37" t="str">
        <f>IF(G445="","",IFERROR(MIN(100,G445/'Input &amp; Settings'!$B$5*100),""))</f>
        <v/>
      </c>
      <c r="R445" s="37" t="str">
        <f>IF(H445="","",IFERROR(MIN(100,H445/'Input &amp; Settings'!$B$6*100),""))</f>
        <v/>
      </c>
      <c r="S445" s="37" t="str">
        <f>IF(I445="","",IFERROR(MIN(100,I445/'Input &amp; Settings'!$B$7*100),""))</f>
        <v/>
      </c>
      <c r="T445" s="37" t="str">
        <f>IF(J445="","",IFERROR(MIN(100,J445/'Input &amp; Settings'!$B$8*100),""))</f>
        <v/>
      </c>
      <c r="U445" s="37" t="str">
        <f>IF(K445="","",IFERROR(MIN(100,K445/'Input &amp; Settings'!$B$9*100),""))</f>
        <v/>
      </c>
      <c r="V445" s="37" t="str">
        <f>IF(L445="","",IFERROR(MIN(100,L445/'Input &amp; Settings'!$B$10*100),""))</f>
        <v/>
      </c>
      <c r="W445" s="37" t="str">
        <f>IF(M445="","",IFERROR(IF(M445&lt;='Input &amp; Settings'!$B$11,100,MAX(0,100-(M445-'Input &amp; Settings'!$B$11)*20)),""))</f>
        <v/>
      </c>
      <c r="X445" s="37" t="str">
        <f>IF(N445="","",IFERROR(MIN(100,N445/'Input &amp; Settings'!$B$12*100),""))</f>
        <v/>
      </c>
      <c r="Y445" s="37" t="str">
        <f>IF(O445="","",IFERROR(MIN(100,O445/'Input &amp; Settings'!$B$13*100),""))</f>
        <v/>
      </c>
      <c r="Z445" s="37" t="str">
        <f>IF(P445="","",IFERROR(IF(P445&lt;='Input &amp; Settings'!$B$14,100,MAX(0,100-(P445-'Input &amp; Settings'!$B$14)*20)),""))</f>
        <v/>
      </c>
      <c r="AA445" s="37" t="str">
        <f>IF(COUNTA(G445:P445)=0,"",ROUND(Q445*'Input &amp; Settings'!$C$5+R445*'Input &amp; Settings'!$C$6+S445*'Input &amp; Settings'!$C$7+T445*'Input &amp; Settings'!$C$8+U445*'Input &amp; Settings'!$C$9+V445*'Input &amp; Settings'!$C$10+W445*'Input &amp; Settings'!$C$11+X445*'Input &amp; Settings'!$C$12+Y445*'Input &amp; Settings'!$C$13+Z445*'Input &amp; Settings'!$C$14,1))</f>
        <v/>
      </c>
      <c r="AB445" s="38" t="str">
        <f>IF(OR(AA445="",E445=""),"",IFERROR(IF(AA445&gt;=VLOOKUP(E445,'Input &amp; Settings'!$F$5:$K$10,3,FALSE),"Outstanding",IF(AA445&gt;=VLOOKUP(E445,'Input &amp; Settings'!$F$5:$K$10,4,FALSE),"Exceeds Expectations",IF(AA445&gt;=VLOOKUP(E445,'Input &amp; Settings'!$F$5:$K$10,5,FALSE),"Meets Expectations",IF(AA445&gt;=VLOOKUP(E445,'Input &amp; Settings'!$F$5:$K$10,6,FALSE),"Needs Improvement","Performance Improvement Required")))),""))</f>
        <v/>
      </c>
      <c r="AC445" s="38" t="str">
        <f t="shared" si="24"/>
        <v/>
      </c>
      <c r="AD445" s="39"/>
      <c r="AE445" s="40"/>
      <c r="AF445" s="41" t="str">
        <f t="shared" si="25"/>
        <v/>
      </c>
      <c r="AG445" s="42" t="str">
        <f t="shared" si="26"/>
        <v/>
      </c>
      <c r="AH445" s="42" t="str">
        <f t="shared" si="27"/>
        <v>Fernando Barbera - Boyer|November</v>
      </c>
    </row>
    <row r="446" spans="1:34" hidden="1">
      <c r="A446" s="32">
        <v>2026</v>
      </c>
      <c r="B446" s="32" t="s">
        <v>96</v>
      </c>
      <c r="C446" s="32" t="s">
        <v>53</v>
      </c>
      <c r="D446" s="32" t="s">
        <v>61</v>
      </c>
      <c r="E446" s="33"/>
      <c r="F446" s="34" t="str">
        <f>IF(E446="","",IFERROR(VLOOKUP(E446,'Input &amp; Settings'!$F$5:$G$10,2,FALSE),""))</f>
        <v/>
      </c>
      <c r="G446" s="33"/>
      <c r="H446" s="33"/>
      <c r="I446" s="35"/>
      <c r="J446" s="33"/>
      <c r="K446" s="36"/>
      <c r="L446" s="35"/>
      <c r="M446" s="33"/>
      <c r="N446" s="33"/>
      <c r="O446" s="33"/>
      <c r="P446" s="33"/>
      <c r="Q446" s="37" t="str">
        <f>IF(G446="","",IFERROR(MIN(100,G446/'Input &amp; Settings'!$B$5*100),""))</f>
        <v/>
      </c>
      <c r="R446" s="37" t="str">
        <f>IF(H446="","",IFERROR(MIN(100,H446/'Input &amp; Settings'!$B$6*100),""))</f>
        <v/>
      </c>
      <c r="S446" s="37" t="str">
        <f>IF(I446="","",IFERROR(MIN(100,I446/'Input &amp; Settings'!$B$7*100),""))</f>
        <v/>
      </c>
      <c r="T446" s="37" t="str">
        <f>IF(J446="","",IFERROR(MIN(100,J446/'Input &amp; Settings'!$B$8*100),""))</f>
        <v/>
      </c>
      <c r="U446" s="37" t="str">
        <f>IF(K446="","",IFERROR(MIN(100,K446/'Input &amp; Settings'!$B$9*100),""))</f>
        <v/>
      </c>
      <c r="V446" s="37" t="str">
        <f>IF(L446="","",IFERROR(MIN(100,L446/'Input &amp; Settings'!$B$10*100),""))</f>
        <v/>
      </c>
      <c r="W446" s="37" t="str">
        <f>IF(M446="","",IFERROR(IF(M446&lt;='Input &amp; Settings'!$B$11,100,MAX(0,100-(M446-'Input &amp; Settings'!$B$11)*20)),""))</f>
        <v/>
      </c>
      <c r="X446" s="37" t="str">
        <f>IF(N446="","",IFERROR(MIN(100,N446/'Input &amp; Settings'!$B$12*100),""))</f>
        <v/>
      </c>
      <c r="Y446" s="37" t="str">
        <f>IF(O446="","",IFERROR(MIN(100,O446/'Input &amp; Settings'!$B$13*100),""))</f>
        <v/>
      </c>
      <c r="Z446" s="37" t="str">
        <f>IF(P446="","",IFERROR(IF(P446&lt;='Input &amp; Settings'!$B$14,100,MAX(0,100-(P446-'Input &amp; Settings'!$B$14)*20)),""))</f>
        <v/>
      </c>
      <c r="AA446" s="37" t="str">
        <f>IF(COUNTA(G446:P446)=0,"",ROUND(Q446*'Input &amp; Settings'!$C$5+R446*'Input &amp; Settings'!$C$6+S446*'Input &amp; Settings'!$C$7+T446*'Input &amp; Settings'!$C$8+U446*'Input &amp; Settings'!$C$9+V446*'Input &amp; Settings'!$C$10+W446*'Input &amp; Settings'!$C$11+X446*'Input &amp; Settings'!$C$12+Y446*'Input &amp; Settings'!$C$13+Z446*'Input &amp; Settings'!$C$14,1))</f>
        <v/>
      </c>
      <c r="AB446" s="38" t="str">
        <f>IF(OR(AA446="",E446=""),"",IFERROR(IF(AA446&gt;=VLOOKUP(E446,'Input &amp; Settings'!$F$5:$K$10,3,FALSE),"Outstanding",IF(AA446&gt;=VLOOKUP(E446,'Input &amp; Settings'!$F$5:$K$10,4,FALSE),"Exceeds Expectations",IF(AA446&gt;=VLOOKUP(E446,'Input &amp; Settings'!$F$5:$K$10,5,FALSE),"Meets Expectations",IF(AA446&gt;=VLOOKUP(E446,'Input &amp; Settings'!$F$5:$K$10,6,FALSE),"Needs Improvement","Performance Improvement Required")))),""))</f>
        <v/>
      </c>
      <c r="AC446" s="38" t="str">
        <f t="shared" si="24"/>
        <v/>
      </c>
      <c r="AD446" s="39"/>
      <c r="AE446" s="40"/>
      <c r="AF446" s="41" t="str">
        <f t="shared" si="25"/>
        <v/>
      </c>
      <c r="AG446" s="42" t="str">
        <f t="shared" si="26"/>
        <v/>
      </c>
      <c r="AH446" s="42" t="str">
        <f t="shared" si="27"/>
        <v>Miquelle Cordova|November</v>
      </c>
    </row>
    <row r="447" spans="1:34" hidden="1">
      <c r="A447" s="32">
        <v>2026</v>
      </c>
      <c r="B447" s="32" t="s">
        <v>96</v>
      </c>
      <c r="C447" s="32" t="s">
        <v>53</v>
      </c>
      <c r="D447" s="32" t="s">
        <v>62</v>
      </c>
      <c r="E447" s="33"/>
      <c r="F447" s="34" t="str">
        <f>IF(E447="","",IFERROR(VLOOKUP(E447,'Input &amp; Settings'!$F$5:$G$10,2,FALSE),""))</f>
        <v/>
      </c>
      <c r="G447" s="33"/>
      <c r="H447" s="33"/>
      <c r="I447" s="35"/>
      <c r="J447" s="33"/>
      <c r="K447" s="36"/>
      <c r="L447" s="35"/>
      <c r="M447" s="33"/>
      <c r="N447" s="33"/>
      <c r="O447" s="33"/>
      <c r="P447" s="33"/>
      <c r="Q447" s="37" t="str">
        <f>IF(G447="","",IFERROR(MIN(100,G447/'Input &amp; Settings'!$B$5*100),""))</f>
        <v/>
      </c>
      <c r="R447" s="37" t="str">
        <f>IF(H447="","",IFERROR(MIN(100,H447/'Input &amp; Settings'!$B$6*100),""))</f>
        <v/>
      </c>
      <c r="S447" s="37" t="str">
        <f>IF(I447="","",IFERROR(MIN(100,I447/'Input &amp; Settings'!$B$7*100),""))</f>
        <v/>
      </c>
      <c r="T447" s="37" t="str">
        <f>IF(J447="","",IFERROR(MIN(100,J447/'Input &amp; Settings'!$B$8*100),""))</f>
        <v/>
      </c>
      <c r="U447" s="37" t="str">
        <f>IF(K447="","",IFERROR(MIN(100,K447/'Input &amp; Settings'!$B$9*100),""))</f>
        <v/>
      </c>
      <c r="V447" s="37" t="str">
        <f>IF(L447="","",IFERROR(MIN(100,L447/'Input &amp; Settings'!$B$10*100),""))</f>
        <v/>
      </c>
      <c r="W447" s="37" t="str">
        <f>IF(M447="","",IFERROR(IF(M447&lt;='Input &amp; Settings'!$B$11,100,MAX(0,100-(M447-'Input &amp; Settings'!$B$11)*20)),""))</f>
        <v/>
      </c>
      <c r="X447" s="37" t="str">
        <f>IF(N447="","",IFERROR(MIN(100,N447/'Input &amp; Settings'!$B$12*100),""))</f>
        <v/>
      </c>
      <c r="Y447" s="37" t="str">
        <f>IF(O447="","",IFERROR(MIN(100,O447/'Input &amp; Settings'!$B$13*100),""))</f>
        <v/>
      </c>
      <c r="Z447" s="37" t="str">
        <f>IF(P447="","",IFERROR(IF(P447&lt;='Input &amp; Settings'!$B$14,100,MAX(0,100-(P447-'Input &amp; Settings'!$B$14)*20)),""))</f>
        <v/>
      </c>
      <c r="AA447" s="37" t="str">
        <f>IF(COUNTA(G447:P447)=0,"",ROUND(Q447*'Input &amp; Settings'!$C$5+R447*'Input &amp; Settings'!$C$6+S447*'Input &amp; Settings'!$C$7+T447*'Input &amp; Settings'!$C$8+U447*'Input &amp; Settings'!$C$9+V447*'Input &amp; Settings'!$C$10+W447*'Input &amp; Settings'!$C$11+X447*'Input &amp; Settings'!$C$12+Y447*'Input &amp; Settings'!$C$13+Z447*'Input &amp; Settings'!$C$14,1))</f>
        <v/>
      </c>
      <c r="AB447" s="38" t="str">
        <f>IF(OR(AA447="",E447=""),"",IFERROR(IF(AA447&gt;=VLOOKUP(E447,'Input &amp; Settings'!$F$5:$K$10,3,FALSE),"Outstanding",IF(AA447&gt;=VLOOKUP(E447,'Input &amp; Settings'!$F$5:$K$10,4,FALSE),"Exceeds Expectations",IF(AA447&gt;=VLOOKUP(E447,'Input &amp; Settings'!$F$5:$K$10,5,FALSE),"Meets Expectations",IF(AA447&gt;=VLOOKUP(E447,'Input &amp; Settings'!$F$5:$K$10,6,FALSE),"Needs Improvement","Performance Improvement Required")))),""))</f>
        <v/>
      </c>
      <c r="AC447" s="38" t="str">
        <f t="shared" si="24"/>
        <v/>
      </c>
      <c r="AD447" s="39"/>
      <c r="AE447" s="40"/>
      <c r="AF447" s="41" t="str">
        <f t="shared" si="25"/>
        <v/>
      </c>
      <c r="AG447" s="42" t="str">
        <f t="shared" si="26"/>
        <v/>
      </c>
      <c r="AH447" s="42" t="str">
        <f t="shared" si="27"/>
        <v>Daniel Sanchez|November</v>
      </c>
    </row>
    <row r="448" spans="1:34" hidden="1">
      <c r="A448" s="32">
        <v>2026</v>
      </c>
      <c r="B448" s="32" t="s">
        <v>96</v>
      </c>
      <c r="C448" s="32" t="s">
        <v>53</v>
      </c>
      <c r="D448" s="32" t="s">
        <v>63</v>
      </c>
      <c r="E448" s="33"/>
      <c r="F448" s="34" t="str">
        <f>IF(E448="","",IFERROR(VLOOKUP(E448,'Input &amp; Settings'!$F$5:$G$10,2,FALSE),""))</f>
        <v/>
      </c>
      <c r="G448" s="33"/>
      <c r="H448" s="33"/>
      <c r="I448" s="35"/>
      <c r="J448" s="33"/>
      <c r="K448" s="36"/>
      <c r="L448" s="35"/>
      <c r="M448" s="33"/>
      <c r="N448" s="33"/>
      <c r="O448" s="33"/>
      <c r="P448" s="33"/>
      <c r="Q448" s="37" t="str">
        <f>IF(G448="","",IFERROR(MIN(100,G448/'Input &amp; Settings'!$B$5*100),""))</f>
        <v/>
      </c>
      <c r="R448" s="37" t="str">
        <f>IF(H448="","",IFERROR(MIN(100,H448/'Input &amp; Settings'!$B$6*100),""))</f>
        <v/>
      </c>
      <c r="S448" s="37" t="str">
        <f>IF(I448="","",IFERROR(MIN(100,I448/'Input &amp; Settings'!$B$7*100),""))</f>
        <v/>
      </c>
      <c r="T448" s="37" t="str">
        <f>IF(J448="","",IFERROR(MIN(100,J448/'Input &amp; Settings'!$B$8*100),""))</f>
        <v/>
      </c>
      <c r="U448" s="37" t="str">
        <f>IF(K448="","",IFERROR(MIN(100,K448/'Input &amp; Settings'!$B$9*100),""))</f>
        <v/>
      </c>
      <c r="V448" s="37" t="str">
        <f>IF(L448="","",IFERROR(MIN(100,L448/'Input &amp; Settings'!$B$10*100),""))</f>
        <v/>
      </c>
      <c r="W448" s="37" t="str">
        <f>IF(M448="","",IFERROR(IF(M448&lt;='Input &amp; Settings'!$B$11,100,MAX(0,100-(M448-'Input &amp; Settings'!$B$11)*20)),""))</f>
        <v/>
      </c>
      <c r="X448" s="37" t="str">
        <f>IF(N448="","",IFERROR(MIN(100,N448/'Input &amp; Settings'!$B$12*100),""))</f>
        <v/>
      </c>
      <c r="Y448" s="37" t="str">
        <f>IF(O448="","",IFERROR(MIN(100,O448/'Input &amp; Settings'!$B$13*100),""))</f>
        <v/>
      </c>
      <c r="Z448" s="37" t="str">
        <f>IF(P448="","",IFERROR(IF(P448&lt;='Input &amp; Settings'!$B$14,100,MAX(0,100-(P448-'Input &amp; Settings'!$B$14)*20)),""))</f>
        <v/>
      </c>
      <c r="AA448" s="37" t="str">
        <f>IF(COUNTA(G448:P448)=0,"",ROUND(Q448*'Input &amp; Settings'!$C$5+R448*'Input &amp; Settings'!$C$6+S448*'Input &amp; Settings'!$C$7+T448*'Input &amp; Settings'!$C$8+U448*'Input &amp; Settings'!$C$9+V448*'Input &amp; Settings'!$C$10+W448*'Input &amp; Settings'!$C$11+X448*'Input &amp; Settings'!$C$12+Y448*'Input &amp; Settings'!$C$13+Z448*'Input &amp; Settings'!$C$14,1))</f>
        <v/>
      </c>
      <c r="AB448" s="38" t="str">
        <f>IF(OR(AA448="",E448=""),"",IFERROR(IF(AA448&gt;=VLOOKUP(E448,'Input &amp; Settings'!$F$5:$K$10,3,FALSE),"Outstanding",IF(AA448&gt;=VLOOKUP(E448,'Input &amp; Settings'!$F$5:$K$10,4,FALSE),"Exceeds Expectations",IF(AA448&gt;=VLOOKUP(E448,'Input &amp; Settings'!$F$5:$K$10,5,FALSE),"Meets Expectations",IF(AA448&gt;=VLOOKUP(E448,'Input &amp; Settings'!$F$5:$K$10,6,FALSE),"Needs Improvement","Performance Improvement Required")))),""))</f>
        <v/>
      </c>
      <c r="AC448" s="38" t="str">
        <f t="shared" si="24"/>
        <v/>
      </c>
      <c r="AD448" s="39"/>
      <c r="AE448" s="40"/>
      <c r="AF448" s="41" t="str">
        <f t="shared" si="25"/>
        <v/>
      </c>
      <c r="AG448" s="42" t="str">
        <f t="shared" si="26"/>
        <v/>
      </c>
      <c r="AH448" s="42" t="str">
        <f t="shared" si="27"/>
        <v>Braynon Edwards|November</v>
      </c>
    </row>
    <row r="449" spans="1:34" hidden="1">
      <c r="A449" s="32">
        <v>2026</v>
      </c>
      <c r="B449" s="32" t="s">
        <v>96</v>
      </c>
      <c r="C449" s="32" t="s">
        <v>53</v>
      </c>
      <c r="D449" s="32" t="s">
        <v>64</v>
      </c>
      <c r="E449" s="33"/>
      <c r="F449" s="34" t="str">
        <f>IF(E449="","",IFERROR(VLOOKUP(E449,'Input &amp; Settings'!$F$5:$G$10,2,FALSE),""))</f>
        <v/>
      </c>
      <c r="G449" s="33"/>
      <c r="H449" s="33"/>
      <c r="I449" s="35"/>
      <c r="J449" s="33"/>
      <c r="K449" s="36"/>
      <c r="L449" s="35"/>
      <c r="M449" s="33"/>
      <c r="N449" s="33"/>
      <c r="O449" s="33"/>
      <c r="P449" s="33"/>
      <c r="Q449" s="37" t="str">
        <f>IF(G449="","",IFERROR(MIN(100,G449/'Input &amp; Settings'!$B$5*100),""))</f>
        <v/>
      </c>
      <c r="R449" s="37" t="str">
        <f>IF(H449="","",IFERROR(MIN(100,H449/'Input &amp; Settings'!$B$6*100),""))</f>
        <v/>
      </c>
      <c r="S449" s="37" t="str">
        <f>IF(I449="","",IFERROR(MIN(100,I449/'Input &amp; Settings'!$B$7*100),""))</f>
        <v/>
      </c>
      <c r="T449" s="37" t="str">
        <f>IF(J449="","",IFERROR(MIN(100,J449/'Input &amp; Settings'!$B$8*100),""))</f>
        <v/>
      </c>
      <c r="U449" s="37" t="str">
        <f>IF(K449="","",IFERROR(MIN(100,K449/'Input &amp; Settings'!$B$9*100),""))</f>
        <v/>
      </c>
      <c r="V449" s="37" t="str">
        <f>IF(L449="","",IFERROR(MIN(100,L449/'Input &amp; Settings'!$B$10*100),""))</f>
        <v/>
      </c>
      <c r="W449" s="37" t="str">
        <f>IF(M449="","",IFERROR(IF(M449&lt;='Input &amp; Settings'!$B$11,100,MAX(0,100-(M449-'Input &amp; Settings'!$B$11)*20)),""))</f>
        <v/>
      </c>
      <c r="X449" s="37" t="str">
        <f>IF(N449="","",IFERROR(MIN(100,N449/'Input &amp; Settings'!$B$12*100),""))</f>
        <v/>
      </c>
      <c r="Y449" s="37" t="str">
        <f>IF(O449="","",IFERROR(MIN(100,O449/'Input &amp; Settings'!$B$13*100),""))</f>
        <v/>
      </c>
      <c r="Z449" s="37" t="str">
        <f>IF(P449="","",IFERROR(IF(P449&lt;='Input &amp; Settings'!$B$14,100,MAX(0,100-(P449-'Input &amp; Settings'!$B$14)*20)),""))</f>
        <v/>
      </c>
      <c r="AA449" s="37" t="str">
        <f>IF(COUNTA(G449:P449)=0,"",ROUND(Q449*'Input &amp; Settings'!$C$5+R449*'Input &amp; Settings'!$C$6+S449*'Input &amp; Settings'!$C$7+T449*'Input &amp; Settings'!$C$8+U449*'Input &amp; Settings'!$C$9+V449*'Input &amp; Settings'!$C$10+W449*'Input &amp; Settings'!$C$11+X449*'Input &amp; Settings'!$C$12+Y449*'Input &amp; Settings'!$C$13+Z449*'Input &amp; Settings'!$C$14,1))</f>
        <v/>
      </c>
      <c r="AB449" s="38" t="str">
        <f>IF(OR(AA449="",E449=""),"",IFERROR(IF(AA449&gt;=VLOOKUP(E449,'Input &amp; Settings'!$F$5:$K$10,3,FALSE),"Outstanding",IF(AA449&gt;=VLOOKUP(E449,'Input &amp; Settings'!$F$5:$K$10,4,FALSE),"Exceeds Expectations",IF(AA449&gt;=VLOOKUP(E449,'Input &amp; Settings'!$F$5:$K$10,5,FALSE),"Meets Expectations",IF(AA449&gt;=VLOOKUP(E449,'Input &amp; Settings'!$F$5:$K$10,6,FALSE),"Needs Improvement","Performance Improvement Required")))),""))</f>
        <v/>
      </c>
      <c r="AC449" s="38" t="str">
        <f t="shared" si="24"/>
        <v/>
      </c>
      <c r="AD449" s="39"/>
      <c r="AE449" s="40"/>
      <c r="AF449" s="41" t="str">
        <f t="shared" si="25"/>
        <v/>
      </c>
      <c r="AG449" s="42" t="str">
        <f t="shared" si="26"/>
        <v/>
      </c>
      <c r="AH449" s="42" t="str">
        <f t="shared" si="27"/>
        <v>Sebastian Lopez|November</v>
      </c>
    </row>
    <row r="450" spans="1:34" hidden="1">
      <c r="A450" s="32">
        <v>2026</v>
      </c>
      <c r="B450" s="32" t="s">
        <v>96</v>
      </c>
      <c r="C450" s="32" t="s">
        <v>53</v>
      </c>
      <c r="D450" s="32" t="s">
        <v>65</v>
      </c>
      <c r="E450" s="33"/>
      <c r="F450" s="34" t="str">
        <f>IF(E450="","",IFERROR(VLOOKUP(E450,'Input &amp; Settings'!$F$5:$G$10,2,FALSE),""))</f>
        <v/>
      </c>
      <c r="G450" s="33"/>
      <c r="H450" s="33"/>
      <c r="I450" s="35"/>
      <c r="J450" s="33"/>
      <c r="K450" s="36"/>
      <c r="L450" s="35"/>
      <c r="M450" s="33"/>
      <c r="N450" s="33"/>
      <c r="O450" s="33"/>
      <c r="P450" s="33"/>
      <c r="Q450" s="37" t="str">
        <f>IF(G450="","",IFERROR(MIN(100,G450/'Input &amp; Settings'!$B$5*100),""))</f>
        <v/>
      </c>
      <c r="R450" s="37" t="str">
        <f>IF(H450="","",IFERROR(MIN(100,H450/'Input &amp; Settings'!$B$6*100),""))</f>
        <v/>
      </c>
      <c r="S450" s="37" t="str">
        <f>IF(I450="","",IFERROR(MIN(100,I450/'Input &amp; Settings'!$B$7*100),""))</f>
        <v/>
      </c>
      <c r="T450" s="37" t="str">
        <f>IF(J450="","",IFERROR(MIN(100,J450/'Input &amp; Settings'!$B$8*100),""))</f>
        <v/>
      </c>
      <c r="U450" s="37" t="str">
        <f>IF(K450="","",IFERROR(MIN(100,K450/'Input &amp; Settings'!$B$9*100),""))</f>
        <v/>
      </c>
      <c r="V450" s="37" t="str">
        <f>IF(L450="","",IFERROR(MIN(100,L450/'Input &amp; Settings'!$B$10*100),""))</f>
        <v/>
      </c>
      <c r="W450" s="37" t="str">
        <f>IF(M450="","",IFERROR(IF(M450&lt;='Input &amp; Settings'!$B$11,100,MAX(0,100-(M450-'Input &amp; Settings'!$B$11)*20)),""))</f>
        <v/>
      </c>
      <c r="X450" s="37" t="str">
        <f>IF(N450="","",IFERROR(MIN(100,N450/'Input &amp; Settings'!$B$12*100),""))</f>
        <v/>
      </c>
      <c r="Y450" s="37" t="str">
        <f>IF(O450="","",IFERROR(MIN(100,O450/'Input &amp; Settings'!$B$13*100),""))</f>
        <v/>
      </c>
      <c r="Z450" s="37" t="str">
        <f>IF(P450="","",IFERROR(IF(P450&lt;='Input &amp; Settings'!$B$14,100,MAX(0,100-(P450-'Input &amp; Settings'!$B$14)*20)),""))</f>
        <v/>
      </c>
      <c r="AA450" s="37" t="str">
        <f>IF(COUNTA(G450:P450)=0,"",ROUND(Q450*'Input &amp; Settings'!$C$5+R450*'Input &amp; Settings'!$C$6+S450*'Input &amp; Settings'!$C$7+T450*'Input &amp; Settings'!$C$8+U450*'Input &amp; Settings'!$C$9+V450*'Input &amp; Settings'!$C$10+W450*'Input &amp; Settings'!$C$11+X450*'Input &amp; Settings'!$C$12+Y450*'Input &amp; Settings'!$C$13+Z450*'Input &amp; Settings'!$C$14,1))</f>
        <v/>
      </c>
      <c r="AB450" s="38" t="str">
        <f>IF(OR(AA450="",E450=""),"",IFERROR(IF(AA450&gt;=VLOOKUP(E450,'Input &amp; Settings'!$F$5:$K$10,3,FALSE),"Outstanding",IF(AA450&gt;=VLOOKUP(E450,'Input &amp; Settings'!$F$5:$K$10,4,FALSE),"Exceeds Expectations",IF(AA450&gt;=VLOOKUP(E450,'Input &amp; Settings'!$F$5:$K$10,5,FALSE),"Meets Expectations",IF(AA450&gt;=VLOOKUP(E450,'Input &amp; Settings'!$F$5:$K$10,6,FALSE),"Needs Improvement","Performance Improvement Required")))),""))</f>
        <v/>
      </c>
      <c r="AC450" s="38" t="str">
        <f t="shared" si="24"/>
        <v/>
      </c>
      <c r="AD450" s="39"/>
      <c r="AE450" s="40"/>
      <c r="AF450" s="41" t="str">
        <f t="shared" si="25"/>
        <v/>
      </c>
      <c r="AG450" s="42" t="str">
        <f t="shared" si="26"/>
        <v/>
      </c>
      <c r="AH450" s="42" t="str">
        <f t="shared" si="27"/>
        <v>Lucas Degomme|November</v>
      </c>
    </row>
    <row r="451" spans="1:34" hidden="1">
      <c r="A451" s="32">
        <v>2026</v>
      </c>
      <c r="B451" s="32" t="s">
        <v>96</v>
      </c>
      <c r="C451" s="32" t="s">
        <v>53</v>
      </c>
      <c r="D451" s="32" t="s">
        <v>66</v>
      </c>
      <c r="E451" s="33"/>
      <c r="F451" s="34" t="str">
        <f>IF(E451="","",IFERROR(VLOOKUP(E451,'Input &amp; Settings'!$F$5:$G$10,2,FALSE),""))</f>
        <v/>
      </c>
      <c r="G451" s="33"/>
      <c r="H451" s="33"/>
      <c r="I451" s="35"/>
      <c r="J451" s="33"/>
      <c r="K451" s="36"/>
      <c r="L451" s="35"/>
      <c r="M451" s="33"/>
      <c r="N451" s="33"/>
      <c r="O451" s="33"/>
      <c r="P451" s="33"/>
      <c r="Q451" s="37" t="str">
        <f>IF(G451="","",IFERROR(MIN(100,G451/'Input &amp; Settings'!$B$5*100),""))</f>
        <v/>
      </c>
      <c r="R451" s="37" t="str">
        <f>IF(H451="","",IFERROR(MIN(100,H451/'Input &amp; Settings'!$B$6*100),""))</f>
        <v/>
      </c>
      <c r="S451" s="37" t="str">
        <f>IF(I451="","",IFERROR(MIN(100,I451/'Input &amp; Settings'!$B$7*100),""))</f>
        <v/>
      </c>
      <c r="T451" s="37" t="str">
        <f>IF(J451="","",IFERROR(MIN(100,J451/'Input &amp; Settings'!$B$8*100),""))</f>
        <v/>
      </c>
      <c r="U451" s="37" t="str">
        <f>IF(K451="","",IFERROR(MIN(100,K451/'Input &amp; Settings'!$B$9*100),""))</f>
        <v/>
      </c>
      <c r="V451" s="37" t="str">
        <f>IF(L451="","",IFERROR(MIN(100,L451/'Input &amp; Settings'!$B$10*100),""))</f>
        <v/>
      </c>
      <c r="W451" s="37" t="str">
        <f>IF(M451="","",IFERROR(IF(M451&lt;='Input &amp; Settings'!$B$11,100,MAX(0,100-(M451-'Input &amp; Settings'!$B$11)*20)),""))</f>
        <v/>
      </c>
      <c r="X451" s="37" t="str">
        <f>IF(N451="","",IFERROR(MIN(100,N451/'Input &amp; Settings'!$B$12*100),""))</f>
        <v/>
      </c>
      <c r="Y451" s="37" t="str">
        <f>IF(O451="","",IFERROR(MIN(100,O451/'Input &amp; Settings'!$B$13*100),""))</f>
        <v/>
      </c>
      <c r="Z451" s="37" t="str">
        <f>IF(P451="","",IFERROR(IF(P451&lt;='Input &amp; Settings'!$B$14,100,MAX(0,100-(P451-'Input &amp; Settings'!$B$14)*20)),""))</f>
        <v/>
      </c>
      <c r="AA451" s="37" t="str">
        <f>IF(COUNTA(G451:P451)=0,"",ROUND(Q451*'Input &amp; Settings'!$C$5+R451*'Input &amp; Settings'!$C$6+S451*'Input &amp; Settings'!$C$7+T451*'Input &amp; Settings'!$C$8+U451*'Input &amp; Settings'!$C$9+V451*'Input &amp; Settings'!$C$10+W451*'Input &amp; Settings'!$C$11+X451*'Input &amp; Settings'!$C$12+Y451*'Input &amp; Settings'!$C$13+Z451*'Input &amp; Settings'!$C$14,1))</f>
        <v/>
      </c>
      <c r="AB451" s="38" t="str">
        <f>IF(OR(AA451="",E451=""),"",IFERROR(IF(AA451&gt;=VLOOKUP(E451,'Input &amp; Settings'!$F$5:$K$10,3,FALSE),"Outstanding",IF(AA451&gt;=VLOOKUP(E451,'Input &amp; Settings'!$F$5:$K$10,4,FALSE),"Exceeds Expectations",IF(AA451&gt;=VLOOKUP(E451,'Input &amp; Settings'!$F$5:$K$10,5,FALSE),"Meets Expectations",IF(AA451&gt;=VLOOKUP(E451,'Input &amp; Settings'!$F$5:$K$10,6,FALSE),"Needs Improvement","Performance Improvement Required")))),""))</f>
        <v/>
      </c>
      <c r="AC451" s="38" t="str">
        <f t="shared" ref="AC451:AC506" si="28">IF(COUNTA(G451:P451)+COUNTA(AD451:AE451)&gt;0,"Entered","")</f>
        <v/>
      </c>
      <c r="AD451" s="39"/>
      <c r="AE451" s="40"/>
      <c r="AF451" s="41" t="str">
        <f t="shared" ref="AF451:AF506" si="29">IF(AD451&lt;&gt;"",AD451,AA451)</f>
        <v/>
      </c>
      <c r="AG451" s="42" t="str">
        <f t="shared" ref="AG451:AG506" si="30">IF(AE451&lt;&gt;"",AE451,AB451)</f>
        <v/>
      </c>
      <c r="AH451" s="42" t="str">
        <f t="shared" ref="AH451:AH506" si="31">D451&amp;"|"&amp;B451</f>
        <v>Alexander Chinea|November</v>
      </c>
    </row>
    <row r="452" spans="1:34" hidden="1">
      <c r="A452" s="32">
        <v>2026</v>
      </c>
      <c r="B452" s="32" t="s">
        <v>96</v>
      </c>
      <c r="C452" s="32" t="s">
        <v>53</v>
      </c>
      <c r="D452" s="32" t="s">
        <v>67</v>
      </c>
      <c r="E452" s="33"/>
      <c r="F452" s="34" t="str">
        <f>IF(E452="","",IFERROR(VLOOKUP(E452,'Input &amp; Settings'!$F$5:$G$10,2,FALSE),""))</f>
        <v/>
      </c>
      <c r="G452" s="33"/>
      <c r="H452" s="33"/>
      <c r="I452" s="35"/>
      <c r="J452" s="33"/>
      <c r="K452" s="36"/>
      <c r="L452" s="35"/>
      <c r="M452" s="33"/>
      <c r="N452" s="33"/>
      <c r="O452" s="33"/>
      <c r="P452" s="33"/>
      <c r="Q452" s="37" t="str">
        <f>IF(G452="","",IFERROR(MIN(100,G452/'Input &amp; Settings'!$B$5*100),""))</f>
        <v/>
      </c>
      <c r="R452" s="37" t="str">
        <f>IF(H452="","",IFERROR(MIN(100,H452/'Input &amp; Settings'!$B$6*100),""))</f>
        <v/>
      </c>
      <c r="S452" s="37" t="str">
        <f>IF(I452="","",IFERROR(MIN(100,I452/'Input &amp; Settings'!$B$7*100),""))</f>
        <v/>
      </c>
      <c r="T452" s="37" t="str">
        <f>IF(J452="","",IFERROR(MIN(100,J452/'Input &amp; Settings'!$B$8*100),""))</f>
        <v/>
      </c>
      <c r="U452" s="37" t="str">
        <f>IF(K452="","",IFERROR(MIN(100,K452/'Input &amp; Settings'!$B$9*100),""))</f>
        <v/>
      </c>
      <c r="V452" s="37" t="str">
        <f>IF(L452="","",IFERROR(MIN(100,L452/'Input &amp; Settings'!$B$10*100),""))</f>
        <v/>
      </c>
      <c r="W452" s="37" t="str">
        <f>IF(M452="","",IFERROR(IF(M452&lt;='Input &amp; Settings'!$B$11,100,MAX(0,100-(M452-'Input &amp; Settings'!$B$11)*20)),""))</f>
        <v/>
      </c>
      <c r="X452" s="37" t="str">
        <f>IF(N452="","",IFERROR(MIN(100,N452/'Input &amp; Settings'!$B$12*100),""))</f>
        <v/>
      </c>
      <c r="Y452" s="37" t="str">
        <f>IF(O452="","",IFERROR(MIN(100,O452/'Input &amp; Settings'!$B$13*100),""))</f>
        <v/>
      </c>
      <c r="Z452" s="37" t="str">
        <f>IF(P452="","",IFERROR(IF(P452&lt;='Input &amp; Settings'!$B$14,100,MAX(0,100-(P452-'Input &amp; Settings'!$B$14)*20)),""))</f>
        <v/>
      </c>
      <c r="AA452" s="37" t="str">
        <f>IF(COUNTA(G452:P452)=0,"",ROUND(Q452*'Input &amp; Settings'!$C$5+R452*'Input &amp; Settings'!$C$6+S452*'Input &amp; Settings'!$C$7+T452*'Input &amp; Settings'!$C$8+U452*'Input &amp; Settings'!$C$9+V452*'Input &amp; Settings'!$C$10+W452*'Input &amp; Settings'!$C$11+X452*'Input &amp; Settings'!$C$12+Y452*'Input &amp; Settings'!$C$13+Z452*'Input &amp; Settings'!$C$14,1))</f>
        <v/>
      </c>
      <c r="AB452" s="38" t="str">
        <f>IF(OR(AA452="",E452=""),"",IFERROR(IF(AA452&gt;=VLOOKUP(E452,'Input &amp; Settings'!$F$5:$K$10,3,FALSE),"Outstanding",IF(AA452&gt;=VLOOKUP(E452,'Input &amp; Settings'!$F$5:$K$10,4,FALSE),"Exceeds Expectations",IF(AA452&gt;=VLOOKUP(E452,'Input &amp; Settings'!$F$5:$K$10,5,FALSE),"Meets Expectations",IF(AA452&gt;=VLOOKUP(E452,'Input &amp; Settings'!$F$5:$K$10,6,FALSE),"Needs Improvement","Performance Improvement Required")))),""))</f>
        <v/>
      </c>
      <c r="AC452" s="38" t="str">
        <f t="shared" si="28"/>
        <v/>
      </c>
      <c r="AD452" s="39"/>
      <c r="AE452" s="40"/>
      <c r="AF452" s="41" t="str">
        <f t="shared" si="29"/>
        <v/>
      </c>
      <c r="AG452" s="42" t="str">
        <f t="shared" si="30"/>
        <v/>
      </c>
      <c r="AH452" s="42" t="str">
        <f t="shared" si="31"/>
        <v>Carlos Martinez Monzon|November</v>
      </c>
    </row>
    <row r="453" spans="1:34" hidden="1">
      <c r="A453" s="32">
        <v>2026</v>
      </c>
      <c r="B453" s="32" t="s">
        <v>96</v>
      </c>
      <c r="C453" s="32" t="s">
        <v>53</v>
      </c>
      <c r="D453" s="32" t="s">
        <v>68</v>
      </c>
      <c r="E453" s="33"/>
      <c r="F453" s="34" t="str">
        <f>IF(E453="","",IFERROR(VLOOKUP(E453,'Input &amp; Settings'!$F$5:$G$10,2,FALSE),""))</f>
        <v/>
      </c>
      <c r="G453" s="33"/>
      <c r="H453" s="33"/>
      <c r="I453" s="35"/>
      <c r="J453" s="33"/>
      <c r="K453" s="36"/>
      <c r="L453" s="35"/>
      <c r="M453" s="33"/>
      <c r="N453" s="33"/>
      <c r="O453" s="33"/>
      <c r="P453" s="33"/>
      <c r="Q453" s="37" t="str">
        <f>IF(G453="","",IFERROR(MIN(100,G453/'Input &amp; Settings'!$B$5*100),""))</f>
        <v/>
      </c>
      <c r="R453" s="37" t="str">
        <f>IF(H453="","",IFERROR(MIN(100,H453/'Input &amp; Settings'!$B$6*100),""))</f>
        <v/>
      </c>
      <c r="S453" s="37" t="str">
        <f>IF(I453="","",IFERROR(MIN(100,I453/'Input &amp; Settings'!$B$7*100),""))</f>
        <v/>
      </c>
      <c r="T453" s="37" t="str">
        <f>IF(J453="","",IFERROR(MIN(100,J453/'Input &amp; Settings'!$B$8*100),""))</f>
        <v/>
      </c>
      <c r="U453" s="37" t="str">
        <f>IF(K453="","",IFERROR(MIN(100,K453/'Input &amp; Settings'!$B$9*100),""))</f>
        <v/>
      </c>
      <c r="V453" s="37" t="str">
        <f>IF(L453="","",IFERROR(MIN(100,L453/'Input &amp; Settings'!$B$10*100),""))</f>
        <v/>
      </c>
      <c r="W453" s="37" t="str">
        <f>IF(M453="","",IFERROR(IF(M453&lt;='Input &amp; Settings'!$B$11,100,MAX(0,100-(M453-'Input &amp; Settings'!$B$11)*20)),""))</f>
        <v/>
      </c>
      <c r="X453" s="37" t="str">
        <f>IF(N453="","",IFERROR(MIN(100,N453/'Input &amp; Settings'!$B$12*100),""))</f>
        <v/>
      </c>
      <c r="Y453" s="37" t="str">
        <f>IF(O453="","",IFERROR(MIN(100,O453/'Input &amp; Settings'!$B$13*100),""))</f>
        <v/>
      </c>
      <c r="Z453" s="37" t="str">
        <f>IF(P453="","",IFERROR(IF(P453&lt;='Input &amp; Settings'!$B$14,100,MAX(0,100-(P453-'Input &amp; Settings'!$B$14)*20)),""))</f>
        <v/>
      </c>
      <c r="AA453" s="37" t="str">
        <f>IF(COUNTA(G453:P453)=0,"",ROUND(Q453*'Input &amp; Settings'!$C$5+R453*'Input &amp; Settings'!$C$6+S453*'Input &amp; Settings'!$C$7+T453*'Input &amp; Settings'!$C$8+U453*'Input &amp; Settings'!$C$9+V453*'Input &amp; Settings'!$C$10+W453*'Input &amp; Settings'!$C$11+X453*'Input &amp; Settings'!$C$12+Y453*'Input &amp; Settings'!$C$13+Z453*'Input &amp; Settings'!$C$14,1))</f>
        <v/>
      </c>
      <c r="AB453" s="38" t="str">
        <f>IF(OR(AA453="",E453=""),"",IFERROR(IF(AA453&gt;=VLOOKUP(E453,'Input &amp; Settings'!$F$5:$K$10,3,FALSE),"Outstanding",IF(AA453&gt;=VLOOKUP(E453,'Input &amp; Settings'!$F$5:$K$10,4,FALSE),"Exceeds Expectations",IF(AA453&gt;=VLOOKUP(E453,'Input &amp; Settings'!$F$5:$K$10,5,FALSE),"Meets Expectations",IF(AA453&gt;=VLOOKUP(E453,'Input &amp; Settings'!$F$5:$K$10,6,FALSE),"Needs Improvement","Performance Improvement Required")))),""))</f>
        <v/>
      </c>
      <c r="AC453" s="38" t="str">
        <f t="shared" si="28"/>
        <v/>
      </c>
      <c r="AD453" s="39"/>
      <c r="AE453" s="40"/>
      <c r="AF453" s="41" t="str">
        <f t="shared" si="29"/>
        <v/>
      </c>
      <c r="AG453" s="42" t="str">
        <f t="shared" si="30"/>
        <v/>
      </c>
      <c r="AH453" s="42" t="str">
        <f t="shared" si="31"/>
        <v>Carlos Sanabria|November</v>
      </c>
    </row>
    <row r="454" spans="1:34" hidden="1">
      <c r="A454" s="32">
        <v>2026</v>
      </c>
      <c r="B454" s="32" t="s">
        <v>96</v>
      </c>
      <c r="C454" s="32" t="s">
        <v>53</v>
      </c>
      <c r="D454" s="32" t="s">
        <v>69</v>
      </c>
      <c r="E454" s="33"/>
      <c r="F454" s="34" t="str">
        <f>IF(E454="","",IFERROR(VLOOKUP(E454,'Input &amp; Settings'!$F$5:$G$10,2,FALSE),""))</f>
        <v/>
      </c>
      <c r="G454" s="33"/>
      <c r="H454" s="33"/>
      <c r="I454" s="35"/>
      <c r="J454" s="33"/>
      <c r="K454" s="36"/>
      <c r="L454" s="35"/>
      <c r="M454" s="33"/>
      <c r="N454" s="33"/>
      <c r="O454" s="33"/>
      <c r="P454" s="33"/>
      <c r="Q454" s="37" t="str">
        <f>IF(G454="","",IFERROR(MIN(100,G454/'Input &amp; Settings'!$B$5*100),""))</f>
        <v/>
      </c>
      <c r="R454" s="37" t="str">
        <f>IF(H454="","",IFERROR(MIN(100,H454/'Input &amp; Settings'!$B$6*100),""))</f>
        <v/>
      </c>
      <c r="S454" s="37" t="str">
        <f>IF(I454="","",IFERROR(MIN(100,I454/'Input &amp; Settings'!$B$7*100),""))</f>
        <v/>
      </c>
      <c r="T454" s="37" t="str">
        <f>IF(J454="","",IFERROR(MIN(100,J454/'Input &amp; Settings'!$B$8*100),""))</f>
        <v/>
      </c>
      <c r="U454" s="37" t="str">
        <f>IF(K454="","",IFERROR(MIN(100,K454/'Input &amp; Settings'!$B$9*100),""))</f>
        <v/>
      </c>
      <c r="V454" s="37" t="str">
        <f>IF(L454="","",IFERROR(MIN(100,L454/'Input &amp; Settings'!$B$10*100),""))</f>
        <v/>
      </c>
      <c r="W454" s="37" t="str">
        <f>IF(M454="","",IFERROR(IF(M454&lt;='Input &amp; Settings'!$B$11,100,MAX(0,100-(M454-'Input &amp; Settings'!$B$11)*20)),""))</f>
        <v/>
      </c>
      <c r="X454" s="37" t="str">
        <f>IF(N454="","",IFERROR(MIN(100,N454/'Input &amp; Settings'!$B$12*100),""))</f>
        <v/>
      </c>
      <c r="Y454" s="37" t="str">
        <f>IF(O454="","",IFERROR(MIN(100,O454/'Input &amp; Settings'!$B$13*100),""))</f>
        <v/>
      </c>
      <c r="Z454" s="37" t="str">
        <f>IF(P454="","",IFERROR(IF(P454&lt;='Input &amp; Settings'!$B$14,100,MAX(0,100-(P454-'Input &amp; Settings'!$B$14)*20)),""))</f>
        <v/>
      </c>
      <c r="AA454" s="37" t="str">
        <f>IF(COUNTA(G454:P454)=0,"",ROUND(Q454*'Input &amp; Settings'!$C$5+R454*'Input &amp; Settings'!$C$6+S454*'Input &amp; Settings'!$C$7+T454*'Input &amp; Settings'!$C$8+U454*'Input &amp; Settings'!$C$9+V454*'Input &amp; Settings'!$C$10+W454*'Input &amp; Settings'!$C$11+X454*'Input &amp; Settings'!$C$12+Y454*'Input &amp; Settings'!$C$13+Z454*'Input &amp; Settings'!$C$14,1))</f>
        <v/>
      </c>
      <c r="AB454" s="38" t="str">
        <f>IF(OR(AA454="",E454=""),"",IFERROR(IF(AA454&gt;=VLOOKUP(E454,'Input &amp; Settings'!$F$5:$K$10,3,FALSE),"Outstanding",IF(AA454&gt;=VLOOKUP(E454,'Input &amp; Settings'!$F$5:$K$10,4,FALSE),"Exceeds Expectations",IF(AA454&gt;=VLOOKUP(E454,'Input &amp; Settings'!$F$5:$K$10,5,FALSE),"Meets Expectations",IF(AA454&gt;=VLOOKUP(E454,'Input &amp; Settings'!$F$5:$K$10,6,FALSE),"Needs Improvement","Performance Improvement Required")))),""))</f>
        <v/>
      </c>
      <c r="AC454" s="38" t="str">
        <f t="shared" si="28"/>
        <v/>
      </c>
      <c r="AD454" s="39"/>
      <c r="AE454" s="40"/>
      <c r="AF454" s="41" t="str">
        <f t="shared" si="29"/>
        <v/>
      </c>
      <c r="AG454" s="42" t="str">
        <f t="shared" si="30"/>
        <v/>
      </c>
      <c r="AH454" s="42" t="str">
        <f t="shared" si="31"/>
        <v>Alex Gomes|November</v>
      </c>
    </row>
    <row r="455" spans="1:34" hidden="1">
      <c r="A455" s="32">
        <v>2026</v>
      </c>
      <c r="B455" s="32" t="s">
        <v>96</v>
      </c>
      <c r="C455" s="32" t="s">
        <v>53</v>
      </c>
      <c r="D455" s="32" t="s">
        <v>70</v>
      </c>
      <c r="E455" s="33"/>
      <c r="F455" s="34" t="str">
        <f>IF(E455="","",IFERROR(VLOOKUP(E455,'Input &amp; Settings'!$F$5:$G$10,2,FALSE),""))</f>
        <v/>
      </c>
      <c r="G455" s="33"/>
      <c r="H455" s="33"/>
      <c r="I455" s="35"/>
      <c r="J455" s="33"/>
      <c r="K455" s="36"/>
      <c r="L455" s="35"/>
      <c r="M455" s="33"/>
      <c r="N455" s="33"/>
      <c r="O455" s="33"/>
      <c r="P455" s="33"/>
      <c r="Q455" s="37" t="str">
        <f>IF(G455="","",IFERROR(MIN(100,G455/'Input &amp; Settings'!$B$5*100),""))</f>
        <v/>
      </c>
      <c r="R455" s="37" t="str">
        <f>IF(H455="","",IFERROR(MIN(100,H455/'Input &amp; Settings'!$B$6*100),""))</f>
        <v/>
      </c>
      <c r="S455" s="37" t="str">
        <f>IF(I455="","",IFERROR(MIN(100,I455/'Input &amp; Settings'!$B$7*100),""))</f>
        <v/>
      </c>
      <c r="T455" s="37" t="str">
        <f>IF(J455="","",IFERROR(MIN(100,J455/'Input &amp; Settings'!$B$8*100),""))</f>
        <v/>
      </c>
      <c r="U455" s="37" t="str">
        <f>IF(K455="","",IFERROR(MIN(100,K455/'Input &amp; Settings'!$B$9*100),""))</f>
        <v/>
      </c>
      <c r="V455" s="37" t="str">
        <f>IF(L455="","",IFERROR(MIN(100,L455/'Input &amp; Settings'!$B$10*100),""))</f>
        <v/>
      </c>
      <c r="W455" s="37" t="str">
        <f>IF(M455="","",IFERROR(IF(M455&lt;='Input &amp; Settings'!$B$11,100,MAX(0,100-(M455-'Input &amp; Settings'!$B$11)*20)),""))</f>
        <v/>
      </c>
      <c r="X455" s="37" t="str">
        <f>IF(N455="","",IFERROR(MIN(100,N455/'Input &amp; Settings'!$B$12*100),""))</f>
        <v/>
      </c>
      <c r="Y455" s="37" t="str">
        <f>IF(O455="","",IFERROR(MIN(100,O455/'Input &amp; Settings'!$B$13*100),""))</f>
        <v/>
      </c>
      <c r="Z455" s="37" t="str">
        <f>IF(P455="","",IFERROR(IF(P455&lt;='Input &amp; Settings'!$B$14,100,MAX(0,100-(P455-'Input &amp; Settings'!$B$14)*20)),""))</f>
        <v/>
      </c>
      <c r="AA455" s="37" t="str">
        <f>IF(COUNTA(G455:P455)=0,"",ROUND(Q455*'Input &amp; Settings'!$C$5+R455*'Input &amp; Settings'!$C$6+S455*'Input &amp; Settings'!$C$7+T455*'Input &amp; Settings'!$C$8+U455*'Input &amp; Settings'!$C$9+V455*'Input &amp; Settings'!$C$10+W455*'Input &amp; Settings'!$C$11+X455*'Input &amp; Settings'!$C$12+Y455*'Input &amp; Settings'!$C$13+Z455*'Input &amp; Settings'!$C$14,1))</f>
        <v/>
      </c>
      <c r="AB455" s="38" t="str">
        <f>IF(OR(AA455="",E455=""),"",IFERROR(IF(AA455&gt;=VLOOKUP(E455,'Input &amp; Settings'!$F$5:$K$10,3,FALSE),"Outstanding",IF(AA455&gt;=VLOOKUP(E455,'Input &amp; Settings'!$F$5:$K$10,4,FALSE),"Exceeds Expectations",IF(AA455&gt;=VLOOKUP(E455,'Input &amp; Settings'!$F$5:$K$10,5,FALSE),"Meets Expectations",IF(AA455&gt;=VLOOKUP(E455,'Input &amp; Settings'!$F$5:$K$10,6,FALSE),"Needs Improvement","Performance Improvement Required")))),""))</f>
        <v/>
      </c>
      <c r="AC455" s="38" t="str">
        <f t="shared" si="28"/>
        <v/>
      </c>
      <c r="AD455" s="39"/>
      <c r="AE455" s="40"/>
      <c r="AF455" s="41" t="str">
        <f t="shared" si="29"/>
        <v/>
      </c>
      <c r="AG455" s="42" t="str">
        <f t="shared" si="30"/>
        <v/>
      </c>
      <c r="AH455" s="42" t="str">
        <f t="shared" si="31"/>
        <v>Teddy Joseph|November</v>
      </c>
    </row>
    <row r="456" spans="1:34" hidden="1">
      <c r="A456" s="32">
        <v>2026</v>
      </c>
      <c r="B456" s="32" t="s">
        <v>96</v>
      </c>
      <c r="C456" s="32" t="s">
        <v>53</v>
      </c>
      <c r="D456" s="32" t="s">
        <v>71</v>
      </c>
      <c r="E456" s="33"/>
      <c r="F456" s="34" t="str">
        <f>IF(E456="","",IFERROR(VLOOKUP(E456,'Input &amp; Settings'!$F$5:$G$10,2,FALSE),""))</f>
        <v/>
      </c>
      <c r="G456" s="33"/>
      <c r="H456" s="33"/>
      <c r="I456" s="35"/>
      <c r="J456" s="33"/>
      <c r="K456" s="36"/>
      <c r="L456" s="35"/>
      <c r="M456" s="33"/>
      <c r="N456" s="33"/>
      <c r="O456" s="33"/>
      <c r="P456" s="33"/>
      <c r="Q456" s="37" t="str">
        <f>IF(G456="","",IFERROR(MIN(100,G456/'Input &amp; Settings'!$B$5*100),""))</f>
        <v/>
      </c>
      <c r="R456" s="37" t="str">
        <f>IF(H456="","",IFERROR(MIN(100,H456/'Input &amp; Settings'!$B$6*100),""))</f>
        <v/>
      </c>
      <c r="S456" s="37" t="str">
        <f>IF(I456="","",IFERROR(MIN(100,I456/'Input &amp; Settings'!$B$7*100),""))</f>
        <v/>
      </c>
      <c r="T456" s="37" t="str">
        <f>IF(J456="","",IFERROR(MIN(100,J456/'Input &amp; Settings'!$B$8*100),""))</f>
        <v/>
      </c>
      <c r="U456" s="37" t="str">
        <f>IF(K456="","",IFERROR(MIN(100,K456/'Input &amp; Settings'!$B$9*100),""))</f>
        <v/>
      </c>
      <c r="V456" s="37" t="str">
        <f>IF(L456="","",IFERROR(MIN(100,L456/'Input &amp; Settings'!$B$10*100),""))</f>
        <v/>
      </c>
      <c r="W456" s="37" t="str">
        <f>IF(M456="","",IFERROR(IF(M456&lt;='Input &amp; Settings'!$B$11,100,MAX(0,100-(M456-'Input &amp; Settings'!$B$11)*20)),""))</f>
        <v/>
      </c>
      <c r="X456" s="37" t="str">
        <f>IF(N456="","",IFERROR(MIN(100,N456/'Input &amp; Settings'!$B$12*100),""))</f>
        <v/>
      </c>
      <c r="Y456" s="37" t="str">
        <f>IF(O456="","",IFERROR(MIN(100,O456/'Input &amp; Settings'!$B$13*100),""))</f>
        <v/>
      </c>
      <c r="Z456" s="37" t="str">
        <f>IF(P456="","",IFERROR(IF(P456&lt;='Input &amp; Settings'!$B$14,100,MAX(0,100-(P456-'Input &amp; Settings'!$B$14)*20)),""))</f>
        <v/>
      </c>
      <c r="AA456" s="37" t="str">
        <f>IF(COUNTA(G456:P456)=0,"",ROUND(Q456*'Input &amp; Settings'!$C$5+R456*'Input &amp; Settings'!$C$6+S456*'Input &amp; Settings'!$C$7+T456*'Input &amp; Settings'!$C$8+U456*'Input &amp; Settings'!$C$9+V456*'Input &amp; Settings'!$C$10+W456*'Input &amp; Settings'!$C$11+X456*'Input &amp; Settings'!$C$12+Y456*'Input &amp; Settings'!$C$13+Z456*'Input &amp; Settings'!$C$14,1))</f>
        <v/>
      </c>
      <c r="AB456" s="38" t="str">
        <f>IF(OR(AA456="",E456=""),"",IFERROR(IF(AA456&gt;=VLOOKUP(E456,'Input &amp; Settings'!$F$5:$K$10,3,FALSE),"Outstanding",IF(AA456&gt;=VLOOKUP(E456,'Input &amp; Settings'!$F$5:$K$10,4,FALSE),"Exceeds Expectations",IF(AA456&gt;=VLOOKUP(E456,'Input &amp; Settings'!$F$5:$K$10,5,FALSE),"Meets Expectations",IF(AA456&gt;=VLOOKUP(E456,'Input &amp; Settings'!$F$5:$K$10,6,FALSE),"Needs Improvement","Performance Improvement Required")))),""))</f>
        <v/>
      </c>
      <c r="AC456" s="38" t="str">
        <f t="shared" si="28"/>
        <v/>
      </c>
      <c r="AD456" s="39"/>
      <c r="AE456" s="40"/>
      <c r="AF456" s="41" t="str">
        <f t="shared" si="29"/>
        <v/>
      </c>
      <c r="AG456" s="42" t="str">
        <f t="shared" si="30"/>
        <v/>
      </c>
      <c r="AH456" s="42" t="str">
        <f t="shared" si="31"/>
        <v>Andrew Montgomery|November</v>
      </c>
    </row>
    <row r="457" spans="1:34" hidden="1">
      <c r="A457" s="32">
        <v>2026</v>
      </c>
      <c r="B457" s="32" t="s">
        <v>96</v>
      </c>
      <c r="C457" s="32" t="s">
        <v>53</v>
      </c>
      <c r="D457" s="32" t="s">
        <v>72</v>
      </c>
      <c r="E457" s="33"/>
      <c r="F457" s="34" t="str">
        <f>IF(E457="","",IFERROR(VLOOKUP(E457,'Input &amp; Settings'!$F$5:$G$10,2,FALSE),""))</f>
        <v/>
      </c>
      <c r="G457" s="33"/>
      <c r="H457" s="33"/>
      <c r="I457" s="35"/>
      <c r="J457" s="33"/>
      <c r="K457" s="36"/>
      <c r="L457" s="35"/>
      <c r="M457" s="33"/>
      <c r="N457" s="33"/>
      <c r="O457" s="33"/>
      <c r="P457" s="33"/>
      <c r="Q457" s="37" t="str">
        <f>IF(G457="","",IFERROR(MIN(100,G457/'Input &amp; Settings'!$B$5*100),""))</f>
        <v/>
      </c>
      <c r="R457" s="37" t="str">
        <f>IF(H457="","",IFERROR(MIN(100,H457/'Input &amp; Settings'!$B$6*100),""))</f>
        <v/>
      </c>
      <c r="S457" s="37" t="str">
        <f>IF(I457="","",IFERROR(MIN(100,I457/'Input &amp; Settings'!$B$7*100),""))</f>
        <v/>
      </c>
      <c r="T457" s="37" t="str">
        <f>IF(J457="","",IFERROR(MIN(100,J457/'Input &amp; Settings'!$B$8*100),""))</f>
        <v/>
      </c>
      <c r="U457" s="37" t="str">
        <f>IF(K457="","",IFERROR(MIN(100,K457/'Input &amp; Settings'!$B$9*100),""))</f>
        <v/>
      </c>
      <c r="V457" s="37" t="str">
        <f>IF(L457="","",IFERROR(MIN(100,L457/'Input &amp; Settings'!$B$10*100),""))</f>
        <v/>
      </c>
      <c r="W457" s="37" t="str">
        <f>IF(M457="","",IFERROR(IF(M457&lt;='Input &amp; Settings'!$B$11,100,MAX(0,100-(M457-'Input &amp; Settings'!$B$11)*20)),""))</f>
        <v/>
      </c>
      <c r="X457" s="37" t="str">
        <f>IF(N457="","",IFERROR(MIN(100,N457/'Input &amp; Settings'!$B$12*100),""))</f>
        <v/>
      </c>
      <c r="Y457" s="37" t="str">
        <f>IF(O457="","",IFERROR(MIN(100,O457/'Input &amp; Settings'!$B$13*100),""))</f>
        <v/>
      </c>
      <c r="Z457" s="37" t="str">
        <f>IF(P457="","",IFERROR(IF(P457&lt;='Input &amp; Settings'!$B$14,100,MAX(0,100-(P457-'Input &amp; Settings'!$B$14)*20)),""))</f>
        <v/>
      </c>
      <c r="AA457" s="37" t="str">
        <f>IF(COUNTA(G457:P457)=0,"",ROUND(Q457*'Input &amp; Settings'!$C$5+R457*'Input &amp; Settings'!$C$6+S457*'Input &amp; Settings'!$C$7+T457*'Input &amp; Settings'!$C$8+U457*'Input &amp; Settings'!$C$9+V457*'Input &amp; Settings'!$C$10+W457*'Input &amp; Settings'!$C$11+X457*'Input &amp; Settings'!$C$12+Y457*'Input &amp; Settings'!$C$13+Z457*'Input &amp; Settings'!$C$14,1))</f>
        <v/>
      </c>
      <c r="AB457" s="38" t="str">
        <f>IF(OR(AA457="",E457=""),"",IFERROR(IF(AA457&gt;=VLOOKUP(E457,'Input &amp; Settings'!$F$5:$K$10,3,FALSE),"Outstanding",IF(AA457&gt;=VLOOKUP(E457,'Input &amp; Settings'!$F$5:$K$10,4,FALSE),"Exceeds Expectations",IF(AA457&gt;=VLOOKUP(E457,'Input &amp; Settings'!$F$5:$K$10,5,FALSE),"Meets Expectations",IF(AA457&gt;=VLOOKUP(E457,'Input &amp; Settings'!$F$5:$K$10,6,FALSE),"Needs Improvement","Performance Improvement Required")))),""))</f>
        <v/>
      </c>
      <c r="AC457" s="38" t="str">
        <f t="shared" si="28"/>
        <v/>
      </c>
      <c r="AD457" s="39"/>
      <c r="AE457" s="40"/>
      <c r="AF457" s="41" t="str">
        <f t="shared" si="29"/>
        <v/>
      </c>
      <c r="AG457" s="42" t="str">
        <f t="shared" si="30"/>
        <v/>
      </c>
      <c r="AH457" s="42" t="str">
        <f t="shared" si="31"/>
        <v>Amanda Rodriguez|November</v>
      </c>
    </row>
    <row r="458" spans="1:34" hidden="1">
      <c r="A458" s="32">
        <v>2026</v>
      </c>
      <c r="B458" s="32" t="s">
        <v>96</v>
      </c>
      <c r="C458" s="32" t="s">
        <v>53</v>
      </c>
      <c r="D458" s="32" t="s">
        <v>73</v>
      </c>
      <c r="E458" s="33"/>
      <c r="F458" s="34" t="str">
        <f>IF(E458="","",IFERROR(VLOOKUP(E458,'Input &amp; Settings'!$F$5:$G$10,2,FALSE),""))</f>
        <v/>
      </c>
      <c r="G458" s="33"/>
      <c r="H458" s="33"/>
      <c r="I458" s="35"/>
      <c r="J458" s="33"/>
      <c r="K458" s="36"/>
      <c r="L458" s="35"/>
      <c r="M458" s="33"/>
      <c r="N458" s="33"/>
      <c r="O458" s="33"/>
      <c r="P458" s="33"/>
      <c r="Q458" s="37" t="str">
        <f>IF(G458="","",IFERROR(MIN(100,G458/'Input &amp; Settings'!$B$5*100),""))</f>
        <v/>
      </c>
      <c r="R458" s="37" t="str">
        <f>IF(H458="","",IFERROR(MIN(100,H458/'Input &amp; Settings'!$B$6*100),""))</f>
        <v/>
      </c>
      <c r="S458" s="37" t="str">
        <f>IF(I458="","",IFERROR(MIN(100,I458/'Input &amp; Settings'!$B$7*100),""))</f>
        <v/>
      </c>
      <c r="T458" s="37" t="str">
        <f>IF(J458="","",IFERROR(MIN(100,J458/'Input &amp; Settings'!$B$8*100),""))</f>
        <v/>
      </c>
      <c r="U458" s="37" t="str">
        <f>IF(K458="","",IFERROR(MIN(100,K458/'Input &amp; Settings'!$B$9*100),""))</f>
        <v/>
      </c>
      <c r="V458" s="37" t="str">
        <f>IF(L458="","",IFERROR(MIN(100,L458/'Input &amp; Settings'!$B$10*100),""))</f>
        <v/>
      </c>
      <c r="W458" s="37" t="str">
        <f>IF(M458="","",IFERROR(IF(M458&lt;='Input &amp; Settings'!$B$11,100,MAX(0,100-(M458-'Input &amp; Settings'!$B$11)*20)),""))</f>
        <v/>
      </c>
      <c r="X458" s="37" t="str">
        <f>IF(N458="","",IFERROR(MIN(100,N458/'Input &amp; Settings'!$B$12*100),""))</f>
        <v/>
      </c>
      <c r="Y458" s="37" t="str">
        <f>IF(O458="","",IFERROR(MIN(100,O458/'Input &amp; Settings'!$B$13*100),""))</f>
        <v/>
      </c>
      <c r="Z458" s="37" t="str">
        <f>IF(P458="","",IFERROR(IF(P458&lt;='Input &amp; Settings'!$B$14,100,MAX(0,100-(P458-'Input &amp; Settings'!$B$14)*20)),""))</f>
        <v/>
      </c>
      <c r="AA458" s="37" t="str">
        <f>IF(COUNTA(G458:P458)=0,"",ROUND(Q458*'Input &amp; Settings'!$C$5+R458*'Input &amp; Settings'!$C$6+S458*'Input &amp; Settings'!$C$7+T458*'Input &amp; Settings'!$C$8+U458*'Input &amp; Settings'!$C$9+V458*'Input &amp; Settings'!$C$10+W458*'Input &amp; Settings'!$C$11+X458*'Input &amp; Settings'!$C$12+Y458*'Input &amp; Settings'!$C$13+Z458*'Input &amp; Settings'!$C$14,1))</f>
        <v/>
      </c>
      <c r="AB458" s="38" t="str">
        <f>IF(OR(AA458="",E458=""),"",IFERROR(IF(AA458&gt;=VLOOKUP(E458,'Input &amp; Settings'!$F$5:$K$10,3,FALSE),"Outstanding",IF(AA458&gt;=VLOOKUP(E458,'Input &amp; Settings'!$F$5:$K$10,4,FALSE),"Exceeds Expectations",IF(AA458&gt;=VLOOKUP(E458,'Input &amp; Settings'!$F$5:$K$10,5,FALSE),"Meets Expectations",IF(AA458&gt;=VLOOKUP(E458,'Input &amp; Settings'!$F$5:$K$10,6,FALSE),"Needs Improvement","Performance Improvement Required")))),""))</f>
        <v/>
      </c>
      <c r="AC458" s="38" t="str">
        <f t="shared" si="28"/>
        <v/>
      </c>
      <c r="AD458" s="39"/>
      <c r="AE458" s="40"/>
      <c r="AF458" s="41" t="str">
        <f t="shared" si="29"/>
        <v/>
      </c>
      <c r="AG458" s="42" t="str">
        <f t="shared" si="30"/>
        <v/>
      </c>
      <c r="AH458" s="42" t="str">
        <f t="shared" si="31"/>
        <v>Erick Mojica|November</v>
      </c>
    </row>
    <row r="459" spans="1:34" hidden="1">
      <c r="A459" s="32">
        <v>2026</v>
      </c>
      <c r="B459" s="32" t="s">
        <v>96</v>
      </c>
      <c r="C459" s="32" t="s">
        <v>74</v>
      </c>
      <c r="D459" s="32" t="s">
        <v>75</v>
      </c>
      <c r="E459" s="33"/>
      <c r="F459" s="34" t="str">
        <f>IF(E459="","",IFERROR(VLOOKUP(E459,'Input &amp; Settings'!$F$5:$G$10,2,FALSE),""))</f>
        <v/>
      </c>
      <c r="G459" s="33"/>
      <c r="H459" s="33"/>
      <c r="I459" s="35"/>
      <c r="J459" s="33"/>
      <c r="K459" s="36"/>
      <c r="L459" s="35"/>
      <c r="M459" s="33"/>
      <c r="N459" s="33"/>
      <c r="O459" s="33"/>
      <c r="P459" s="33"/>
      <c r="Q459" s="37" t="str">
        <f>IF(G459="","",IFERROR(MIN(100,G459/'Input &amp; Settings'!$B$5*100),""))</f>
        <v/>
      </c>
      <c r="R459" s="37" t="str">
        <f>IF(H459="","",IFERROR(MIN(100,H459/'Input &amp; Settings'!$B$6*100),""))</f>
        <v/>
      </c>
      <c r="S459" s="37" t="str">
        <f>IF(I459="","",IFERROR(MIN(100,I459/'Input &amp; Settings'!$B$7*100),""))</f>
        <v/>
      </c>
      <c r="T459" s="37" t="str">
        <f>IF(J459="","",IFERROR(MIN(100,J459/'Input &amp; Settings'!$B$8*100),""))</f>
        <v/>
      </c>
      <c r="U459" s="37" t="str">
        <f>IF(K459="","",IFERROR(MIN(100,K459/'Input &amp; Settings'!$B$9*100),""))</f>
        <v/>
      </c>
      <c r="V459" s="37" t="str">
        <f>IF(L459="","",IFERROR(MIN(100,L459/'Input &amp; Settings'!$B$10*100),""))</f>
        <v/>
      </c>
      <c r="W459" s="37" t="str">
        <f>IF(M459="","",IFERROR(IF(M459&lt;='Input &amp; Settings'!$B$11,100,MAX(0,100-(M459-'Input &amp; Settings'!$B$11)*20)),""))</f>
        <v/>
      </c>
      <c r="X459" s="37" t="str">
        <f>IF(N459="","",IFERROR(MIN(100,N459/'Input &amp; Settings'!$B$12*100),""))</f>
        <v/>
      </c>
      <c r="Y459" s="37" t="str">
        <f>IF(O459="","",IFERROR(MIN(100,O459/'Input &amp; Settings'!$B$13*100),""))</f>
        <v/>
      </c>
      <c r="Z459" s="37" t="str">
        <f>IF(P459="","",IFERROR(IF(P459&lt;='Input &amp; Settings'!$B$14,100,MAX(0,100-(P459-'Input &amp; Settings'!$B$14)*20)),""))</f>
        <v/>
      </c>
      <c r="AA459" s="37" t="str">
        <f>IF(COUNTA(G459:P459)=0,"",ROUND(Q459*'Input &amp; Settings'!$C$5+R459*'Input &amp; Settings'!$C$6+S459*'Input &amp; Settings'!$C$7+T459*'Input &amp; Settings'!$C$8+U459*'Input &amp; Settings'!$C$9+V459*'Input &amp; Settings'!$C$10+W459*'Input &amp; Settings'!$C$11+X459*'Input &amp; Settings'!$C$12+Y459*'Input &amp; Settings'!$C$13+Z459*'Input &amp; Settings'!$C$14,1))</f>
        <v/>
      </c>
      <c r="AB459" s="38" t="str">
        <f>IF(OR(AA459="",E459=""),"",IFERROR(IF(AA459&gt;=VLOOKUP(E459,'Input &amp; Settings'!$F$5:$K$10,3,FALSE),"Outstanding",IF(AA459&gt;=VLOOKUP(E459,'Input &amp; Settings'!$F$5:$K$10,4,FALSE),"Exceeds Expectations",IF(AA459&gt;=VLOOKUP(E459,'Input &amp; Settings'!$F$5:$K$10,5,FALSE),"Meets Expectations",IF(AA459&gt;=VLOOKUP(E459,'Input &amp; Settings'!$F$5:$K$10,6,FALSE),"Needs Improvement","Performance Improvement Required")))),""))</f>
        <v/>
      </c>
      <c r="AC459" s="38" t="str">
        <f t="shared" si="28"/>
        <v/>
      </c>
      <c r="AD459" s="39"/>
      <c r="AE459" s="40"/>
      <c r="AF459" s="41" t="str">
        <f t="shared" si="29"/>
        <v/>
      </c>
      <c r="AG459" s="42" t="str">
        <f t="shared" si="30"/>
        <v/>
      </c>
      <c r="AH459" s="42" t="str">
        <f t="shared" si="31"/>
        <v>Raul Rama|November</v>
      </c>
    </row>
    <row r="460" spans="1:34" hidden="1">
      <c r="A460" s="32">
        <v>2026</v>
      </c>
      <c r="B460" s="32" t="s">
        <v>96</v>
      </c>
      <c r="C460" s="32" t="s">
        <v>74</v>
      </c>
      <c r="D460" s="32" t="s">
        <v>76</v>
      </c>
      <c r="E460" s="33"/>
      <c r="F460" s="34" t="str">
        <f>IF(E460="","",IFERROR(VLOOKUP(E460,'Input &amp; Settings'!$F$5:$G$10,2,FALSE),""))</f>
        <v/>
      </c>
      <c r="G460" s="33"/>
      <c r="H460" s="33"/>
      <c r="I460" s="35"/>
      <c r="J460" s="33"/>
      <c r="K460" s="36"/>
      <c r="L460" s="35"/>
      <c r="M460" s="33"/>
      <c r="N460" s="33"/>
      <c r="O460" s="33"/>
      <c r="P460" s="33"/>
      <c r="Q460" s="37" t="str">
        <f>IF(G460="","",IFERROR(MIN(100,G460/'Input &amp; Settings'!$B$5*100),""))</f>
        <v/>
      </c>
      <c r="R460" s="37" t="str">
        <f>IF(H460="","",IFERROR(MIN(100,H460/'Input &amp; Settings'!$B$6*100),""))</f>
        <v/>
      </c>
      <c r="S460" s="37" t="str">
        <f>IF(I460="","",IFERROR(MIN(100,I460/'Input &amp; Settings'!$B$7*100),""))</f>
        <v/>
      </c>
      <c r="T460" s="37" t="str">
        <f>IF(J460="","",IFERROR(MIN(100,J460/'Input &amp; Settings'!$B$8*100),""))</f>
        <v/>
      </c>
      <c r="U460" s="37" t="str">
        <f>IF(K460="","",IFERROR(MIN(100,K460/'Input &amp; Settings'!$B$9*100),""))</f>
        <v/>
      </c>
      <c r="V460" s="37" t="str">
        <f>IF(L460="","",IFERROR(MIN(100,L460/'Input &amp; Settings'!$B$10*100),""))</f>
        <v/>
      </c>
      <c r="W460" s="37" t="str">
        <f>IF(M460="","",IFERROR(IF(M460&lt;='Input &amp; Settings'!$B$11,100,MAX(0,100-(M460-'Input &amp; Settings'!$B$11)*20)),""))</f>
        <v/>
      </c>
      <c r="X460" s="37" t="str">
        <f>IF(N460="","",IFERROR(MIN(100,N460/'Input &amp; Settings'!$B$12*100),""))</f>
        <v/>
      </c>
      <c r="Y460" s="37" t="str">
        <f>IF(O460="","",IFERROR(MIN(100,O460/'Input &amp; Settings'!$B$13*100),""))</f>
        <v/>
      </c>
      <c r="Z460" s="37" t="str">
        <f>IF(P460="","",IFERROR(IF(P460&lt;='Input &amp; Settings'!$B$14,100,MAX(0,100-(P460-'Input &amp; Settings'!$B$14)*20)),""))</f>
        <v/>
      </c>
      <c r="AA460" s="37" t="str">
        <f>IF(COUNTA(G460:P460)=0,"",ROUND(Q460*'Input &amp; Settings'!$C$5+R460*'Input &amp; Settings'!$C$6+S460*'Input &amp; Settings'!$C$7+T460*'Input &amp; Settings'!$C$8+U460*'Input &amp; Settings'!$C$9+V460*'Input &amp; Settings'!$C$10+W460*'Input &amp; Settings'!$C$11+X460*'Input &amp; Settings'!$C$12+Y460*'Input &amp; Settings'!$C$13+Z460*'Input &amp; Settings'!$C$14,1))</f>
        <v/>
      </c>
      <c r="AB460" s="38" t="str">
        <f>IF(OR(AA460="",E460=""),"",IFERROR(IF(AA460&gt;=VLOOKUP(E460,'Input &amp; Settings'!$F$5:$K$10,3,FALSE),"Outstanding",IF(AA460&gt;=VLOOKUP(E460,'Input &amp; Settings'!$F$5:$K$10,4,FALSE),"Exceeds Expectations",IF(AA460&gt;=VLOOKUP(E460,'Input &amp; Settings'!$F$5:$K$10,5,FALSE),"Meets Expectations",IF(AA460&gt;=VLOOKUP(E460,'Input &amp; Settings'!$F$5:$K$10,6,FALSE),"Needs Improvement","Performance Improvement Required")))),""))</f>
        <v/>
      </c>
      <c r="AC460" s="38" t="str">
        <f t="shared" si="28"/>
        <v/>
      </c>
      <c r="AD460" s="39"/>
      <c r="AE460" s="40"/>
      <c r="AF460" s="41" t="str">
        <f t="shared" si="29"/>
        <v/>
      </c>
      <c r="AG460" s="42" t="str">
        <f t="shared" si="30"/>
        <v/>
      </c>
      <c r="AH460" s="42" t="str">
        <f t="shared" si="31"/>
        <v>Kaevon Tyler|November</v>
      </c>
    </row>
    <row r="461" spans="1:34" hidden="1">
      <c r="A461" s="32">
        <v>2026</v>
      </c>
      <c r="B461" s="32" t="s">
        <v>96</v>
      </c>
      <c r="C461" s="32" t="s">
        <v>74</v>
      </c>
      <c r="D461" s="32" t="s">
        <v>77</v>
      </c>
      <c r="E461" s="33"/>
      <c r="F461" s="34" t="str">
        <f>IF(E461="","",IFERROR(VLOOKUP(E461,'Input &amp; Settings'!$F$5:$G$10,2,FALSE),""))</f>
        <v/>
      </c>
      <c r="G461" s="33"/>
      <c r="H461" s="33"/>
      <c r="I461" s="35"/>
      <c r="J461" s="33"/>
      <c r="K461" s="36"/>
      <c r="L461" s="35"/>
      <c r="M461" s="33"/>
      <c r="N461" s="33"/>
      <c r="O461" s="33"/>
      <c r="P461" s="33"/>
      <c r="Q461" s="37" t="str">
        <f>IF(G461="","",IFERROR(MIN(100,G461/'Input &amp; Settings'!$B$5*100),""))</f>
        <v/>
      </c>
      <c r="R461" s="37" t="str">
        <f>IF(H461="","",IFERROR(MIN(100,H461/'Input &amp; Settings'!$B$6*100),""))</f>
        <v/>
      </c>
      <c r="S461" s="37" t="str">
        <f>IF(I461="","",IFERROR(MIN(100,I461/'Input &amp; Settings'!$B$7*100),""))</f>
        <v/>
      </c>
      <c r="T461" s="37" t="str">
        <f>IF(J461="","",IFERROR(MIN(100,J461/'Input &amp; Settings'!$B$8*100),""))</f>
        <v/>
      </c>
      <c r="U461" s="37" t="str">
        <f>IF(K461="","",IFERROR(MIN(100,K461/'Input &amp; Settings'!$B$9*100),""))</f>
        <v/>
      </c>
      <c r="V461" s="37" t="str">
        <f>IF(L461="","",IFERROR(MIN(100,L461/'Input &amp; Settings'!$B$10*100),""))</f>
        <v/>
      </c>
      <c r="W461" s="37" t="str">
        <f>IF(M461="","",IFERROR(IF(M461&lt;='Input &amp; Settings'!$B$11,100,MAX(0,100-(M461-'Input &amp; Settings'!$B$11)*20)),""))</f>
        <v/>
      </c>
      <c r="X461" s="37" t="str">
        <f>IF(N461="","",IFERROR(MIN(100,N461/'Input &amp; Settings'!$B$12*100),""))</f>
        <v/>
      </c>
      <c r="Y461" s="37" t="str">
        <f>IF(O461="","",IFERROR(MIN(100,O461/'Input &amp; Settings'!$B$13*100),""))</f>
        <v/>
      </c>
      <c r="Z461" s="37" t="str">
        <f>IF(P461="","",IFERROR(IF(P461&lt;='Input &amp; Settings'!$B$14,100,MAX(0,100-(P461-'Input &amp; Settings'!$B$14)*20)),""))</f>
        <v/>
      </c>
      <c r="AA461" s="37" t="str">
        <f>IF(COUNTA(G461:P461)=0,"",ROUND(Q461*'Input &amp; Settings'!$C$5+R461*'Input &amp; Settings'!$C$6+S461*'Input &amp; Settings'!$C$7+T461*'Input &amp; Settings'!$C$8+U461*'Input &amp; Settings'!$C$9+V461*'Input &amp; Settings'!$C$10+W461*'Input &amp; Settings'!$C$11+X461*'Input &amp; Settings'!$C$12+Y461*'Input &amp; Settings'!$C$13+Z461*'Input &amp; Settings'!$C$14,1))</f>
        <v/>
      </c>
      <c r="AB461" s="38" t="str">
        <f>IF(OR(AA461="",E461=""),"",IFERROR(IF(AA461&gt;=VLOOKUP(E461,'Input &amp; Settings'!$F$5:$K$10,3,FALSE),"Outstanding",IF(AA461&gt;=VLOOKUP(E461,'Input &amp; Settings'!$F$5:$K$10,4,FALSE),"Exceeds Expectations",IF(AA461&gt;=VLOOKUP(E461,'Input &amp; Settings'!$F$5:$K$10,5,FALSE),"Meets Expectations",IF(AA461&gt;=VLOOKUP(E461,'Input &amp; Settings'!$F$5:$K$10,6,FALSE),"Needs Improvement","Performance Improvement Required")))),""))</f>
        <v/>
      </c>
      <c r="AC461" s="38" t="str">
        <f t="shared" si="28"/>
        <v/>
      </c>
      <c r="AD461" s="39"/>
      <c r="AE461" s="40"/>
      <c r="AF461" s="41" t="str">
        <f t="shared" si="29"/>
        <v/>
      </c>
      <c r="AG461" s="42" t="str">
        <f t="shared" si="30"/>
        <v/>
      </c>
      <c r="AH461" s="42" t="str">
        <f t="shared" si="31"/>
        <v>Christopher Dorta|November</v>
      </c>
    </row>
    <row r="462" spans="1:34" hidden="1">
      <c r="A462" s="32">
        <v>2026</v>
      </c>
      <c r="B462" s="32" t="s">
        <v>96</v>
      </c>
      <c r="C462" s="32" t="s">
        <v>74</v>
      </c>
      <c r="D462" s="32" t="s">
        <v>78</v>
      </c>
      <c r="E462" s="33"/>
      <c r="F462" s="34" t="str">
        <f>IF(E462="","",IFERROR(VLOOKUP(E462,'Input &amp; Settings'!$F$5:$G$10,2,FALSE),""))</f>
        <v/>
      </c>
      <c r="G462" s="33"/>
      <c r="H462" s="33"/>
      <c r="I462" s="35"/>
      <c r="J462" s="33"/>
      <c r="K462" s="36"/>
      <c r="L462" s="35"/>
      <c r="M462" s="33"/>
      <c r="N462" s="33"/>
      <c r="O462" s="33"/>
      <c r="P462" s="33"/>
      <c r="Q462" s="37" t="str">
        <f>IF(G462="","",IFERROR(MIN(100,G462/'Input &amp; Settings'!$B$5*100),""))</f>
        <v/>
      </c>
      <c r="R462" s="37" t="str">
        <f>IF(H462="","",IFERROR(MIN(100,H462/'Input &amp; Settings'!$B$6*100),""))</f>
        <v/>
      </c>
      <c r="S462" s="37" t="str">
        <f>IF(I462="","",IFERROR(MIN(100,I462/'Input &amp; Settings'!$B$7*100),""))</f>
        <v/>
      </c>
      <c r="T462" s="37" t="str">
        <f>IF(J462="","",IFERROR(MIN(100,J462/'Input &amp; Settings'!$B$8*100),""))</f>
        <v/>
      </c>
      <c r="U462" s="37" t="str">
        <f>IF(K462="","",IFERROR(MIN(100,K462/'Input &amp; Settings'!$B$9*100),""))</f>
        <v/>
      </c>
      <c r="V462" s="37" t="str">
        <f>IF(L462="","",IFERROR(MIN(100,L462/'Input &amp; Settings'!$B$10*100),""))</f>
        <v/>
      </c>
      <c r="W462" s="37" t="str">
        <f>IF(M462="","",IFERROR(IF(M462&lt;='Input &amp; Settings'!$B$11,100,MAX(0,100-(M462-'Input &amp; Settings'!$B$11)*20)),""))</f>
        <v/>
      </c>
      <c r="X462" s="37" t="str">
        <f>IF(N462="","",IFERROR(MIN(100,N462/'Input &amp; Settings'!$B$12*100),""))</f>
        <v/>
      </c>
      <c r="Y462" s="37" t="str">
        <f>IF(O462="","",IFERROR(MIN(100,O462/'Input &amp; Settings'!$B$13*100),""))</f>
        <v/>
      </c>
      <c r="Z462" s="37" t="str">
        <f>IF(P462="","",IFERROR(IF(P462&lt;='Input &amp; Settings'!$B$14,100,MAX(0,100-(P462-'Input &amp; Settings'!$B$14)*20)),""))</f>
        <v/>
      </c>
      <c r="AA462" s="37" t="str">
        <f>IF(COUNTA(G462:P462)=0,"",ROUND(Q462*'Input &amp; Settings'!$C$5+R462*'Input &amp; Settings'!$C$6+S462*'Input &amp; Settings'!$C$7+T462*'Input &amp; Settings'!$C$8+U462*'Input &amp; Settings'!$C$9+V462*'Input &amp; Settings'!$C$10+W462*'Input &amp; Settings'!$C$11+X462*'Input &amp; Settings'!$C$12+Y462*'Input &amp; Settings'!$C$13+Z462*'Input &amp; Settings'!$C$14,1))</f>
        <v/>
      </c>
      <c r="AB462" s="38" t="str">
        <f>IF(OR(AA462="",E462=""),"",IFERROR(IF(AA462&gt;=VLOOKUP(E462,'Input &amp; Settings'!$F$5:$K$10,3,FALSE),"Outstanding",IF(AA462&gt;=VLOOKUP(E462,'Input &amp; Settings'!$F$5:$K$10,4,FALSE),"Exceeds Expectations",IF(AA462&gt;=VLOOKUP(E462,'Input &amp; Settings'!$F$5:$K$10,5,FALSE),"Meets Expectations",IF(AA462&gt;=VLOOKUP(E462,'Input &amp; Settings'!$F$5:$K$10,6,FALSE),"Needs Improvement","Performance Improvement Required")))),""))</f>
        <v/>
      </c>
      <c r="AC462" s="38" t="str">
        <f t="shared" si="28"/>
        <v/>
      </c>
      <c r="AD462" s="39"/>
      <c r="AE462" s="40"/>
      <c r="AF462" s="41" t="str">
        <f t="shared" si="29"/>
        <v/>
      </c>
      <c r="AG462" s="42" t="str">
        <f t="shared" si="30"/>
        <v/>
      </c>
      <c r="AH462" s="42" t="str">
        <f t="shared" si="31"/>
        <v>Andres Galvis|November</v>
      </c>
    </row>
    <row r="463" spans="1:34" hidden="1">
      <c r="A463" s="32">
        <v>2026</v>
      </c>
      <c r="B463" s="32" t="s">
        <v>96</v>
      </c>
      <c r="C463" s="32" t="s">
        <v>74</v>
      </c>
      <c r="D463" s="32" t="s">
        <v>79</v>
      </c>
      <c r="E463" s="33"/>
      <c r="F463" s="34" t="str">
        <f>IF(E463="","",IFERROR(VLOOKUP(E463,'Input &amp; Settings'!$F$5:$G$10,2,FALSE),""))</f>
        <v/>
      </c>
      <c r="G463" s="33"/>
      <c r="H463" s="33"/>
      <c r="I463" s="35"/>
      <c r="J463" s="33"/>
      <c r="K463" s="36"/>
      <c r="L463" s="35"/>
      <c r="M463" s="33"/>
      <c r="N463" s="33"/>
      <c r="O463" s="33"/>
      <c r="P463" s="33"/>
      <c r="Q463" s="37" t="str">
        <f>IF(G463="","",IFERROR(MIN(100,G463/'Input &amp; Settings'!$B$5*100),""))</f>
        <v/>
      </c>
      <c r="R463" s="37" t="str">
        <f>IF(H463="","",IFERROR(MIN(100,H463/'Input &amp; Settings'!$B$6*100),""))</f>
        <v/>
      </c>
      <c r="S463" s="37" t="str">
        <f>IF(I463="","",IFERROR(MIN(100,I463/'Input &amp; Settings'!$B$7*100),""))</f>
        <v/>
      </c>
      <c r="T463" s="37" t="str">
        <f>IF(J463="","",IFERROR(MIN(100,J463/'Input &amp; Settings'!$B$8*100),""))</f>
        <v/>
      </c>
      <c r="U463" s="37" t="str">
        <f>IF(K463="","",IFERROR(MIN(100,K463/'Input &amp; Settings'!$B$9*100),""))</f>
        <v/>
      </c>
      <c r="V463" s="37" t="str">
        <f>IF(L463="","",IFERROR(MIN(100,L463/'Input &amp; Settings'!$B$10*100),""))</f>
        <v/>
      </c>
      <c r="W463" s="37" t="str">
        <f>IF(M463="","",IFERROR(IF(M463&lt;='Input &amp; Settings'!$B$11,100,MAX(0,100-(M463-'Input &amp; Settings'!$B$11)*20)),""))</f>
        <v/>
      </c>
      <c r="X463" s="37" t="str">
        <f>IF(N463="","",IFERROR(MIN(100,N463/'Input &amp; Settings'!$B$12*100),""))</f>
        <v/>
      </c>
      <c r="Y463" s="37" t="str">
        <f>IF(O463="","",IFERROR(MIN(100,O463/'Input &amp; Settings'!$B$13*100),""))</f>
        <v/>
      </c>
      <c r="Z463" s="37" t="str">
        <f>IF(P463="","",IFERROR(IF(P463&lt;='Input &amp; Settings'!$B$14,100,MAX(0,100-(P463-'Input &amp; Settings'!$B$14)*20)),""))</f>
        <v/>
      </c>
      <c r="AA463" s="37" t="str">
        <f>IF(COUNTA(G463:P463)=0,"",ROUND(Q463*'Input &amp; Settings'!$C$5+R463*'Input &amp; Settings'!$C$6+S463*'Input &amp; Settings'!$C$7+T463*'Input &amp; Settings'!$C$8+U463*'Input &amp; Settings'!$C$9+V463*'Input &amp; Settings'!$C$10+W463*'Input &amp; Settings'!$C$11+X463*'Input &amp; Settings'!$C$12+Y463*'Input &amp; Settings'!$C$13+Z463*'Input &amp; Settings'!$C$14,1))</f>
        <v/>
      </c>
      <c r="AB463" s="38" t="str">
        <f>IF(OR(AA463="",E463=""),"",IFERROR(IF(AA463&gt;=VLOOKUP(E463,'Input &amp; Settings'!$F$5:$K$10,3,FALSE),"Outstanding",IF(AA463&gt;=VLOOKUP(E463,'Input &amp; Settings'!$F$5:$K$10,4,FALSE),"Exceeds Expectations",IF(AA463&gt;=VLOOKUP(E463,'Input &amp; Settings'!$F$5:$K$10,5,FALSE),"Meets Expectations",IF(AA463&gt;=VLOOKUP(E463,'Input &amp; Settings'!$F$5:$K$10,6,FALSE),"Needs Improvement","Performance Improvement Required")))),""))</f>
        <v/>
      </c>
      <c r="AC463" s="38" t="str">
        <f t="shared" si="28"/>
        <v/>
      </c>
      <c r="AD463" s="39"/>
      <c r="AE463" s="40"/>
      <c r="AF463" s="41" t="str">
        <f t="shared" si="29"/>
        <v/>
      </c>
      <c r="AG463" s="42" t="str">
        <f t="shared" si="30"/>
        <v/>
      </c>
      <c r="AH463" s="42" t="str">
        <f t="shared" si="31"/>
        <v>Roberto Eckardt|November</v>
      </c>
    </row>
    <row r="464" spans="1:34" hidden="1">
      <c r="A464" s="32">
        <v>2026</v>
      </c>
      <c r="B464" s="32" t="s">
        <v>96</v>
      </c>
      <c r="C464" s="32" t="s">
        <v>74</v>
      </c>
      <c r="D464" s="32" t="s">
        <v>80</v>
      </c>
      <c r="E464" s="33"/>
      <c r="F464" s="34" t="str">
        <f>IF(E464="","",IFERROR(VLOOKUP(E464,'Input &amp; Settings'!$F$5:$G$10,2,FALSE),""))</f>
        <v/>
      </c>
      <c r="G464" s="33"/>
      <c r="H464" s="33"/>
      <c r="I464" s="35"/>
      <c r="J464" s="33"/>
      <c r="K464" s="36"/>
      <c r="L464" s="35"/>
      <c r="M464" s="33"/>
      <c r="N464" s="33"/>
      <c r="O464" s="33"/>
      <c r="P464" s="33"/>
      <c r="Q464" s="37" t="str">
        <f>IF(G464="","",IFERROR(MIN(100,G464/'Input &amp; Settings'!$B$5*100),""))</f>
        <v/>
      </c>
      <c r="R464" s="37" t="str">
        <f>IF(H464="","",IFERROR(MIN(100,H464/'Input &amp; Settings'!$B$6*100),""))</f>
        <v/>
      </c>
      <c r="S464" s="37" t="str">
        <f>IF(I464="","",IFERROR(MIN(100,I464/'Input &amp; Settings'!$B$7*100),""))</f>
        <v/>
      </c>
      <c r="T464" s="37" t="str">
        <f>IF(J464="","",IFERROR(MIN(100,J464/'Input &amp; Settings'!$B$8*100),""))</f>
        <v/>
      </c>
      <c r="U464" s="37" t="str">
        <f>IF(K464="","",IFERROR(MIN(100,K464/'Input &amp; Settings'!$B$9*100),""))</f>
        <v/>
      </c>
      <c r="V464" s="37" t="str">
        <f>IF(L464="","",IFERROR(MIN(100,L464/'Input &amp; Settings'!$B$10*100),""))</f>
        <v/>
      </c>
      <c r="W464" s="37" t="str">
        <f>IF(M464="","",IFERROR(IF(M464&lt;='Input &amp; Settings'!$B$11,100,MAX(0,100-(M464-'Input &amp; Settings'!$B$11)*20)),""))</f>
        <v/>
      </c>
      <c r="X464" s="37" t="str">
        <f>IF(N464="","",IFERROR(MIN(100,N464/'Input &amp; Settings'!$B$12*100),""))</f>
        <v/>
      </c>
      <c r="Y464" s="37" t="str">
        <f>IF(O464="","",IFERROR(MIN(100,O464/'Input &amp; Settings'!$B$13*100),""))</f>
        <v/>
      </c>
      <c r="Z464" s="37" t="str">
        <f>IF(P464="","",IFERROR(IF(P464&lt;='Input &amp; Settings'!$B$14,100,MAX(0,100-(P464-'Input &amp; Settings'!$B$14)*20)),""))</f>
        <v/>
      </c>
      <c r="AA464" s="37" t="str">
        <f>IF(COUNTA(G464:P464)=0,"",ROUND(Q464*'Input &amp; Settings'!$C$5+R464*'Input &amp; Settings'!$C$6+S464*'Input &amp; Settings'!$C$7+T464*'Input &amp; Settings'!$C$8+U464*'Input &amp; Settings'!$C$9+V464*'Input &amp; Settings'!$C$10+W464*'Input &amp; Settings'!$C$11+X464*'Input &amp; Settings'!$C$12+Y464*'Input &amp; Settings'!$C$13+Z464*'Input &amp; Settings'!$C$14,1))</f>
        <v/>
      </c>
      <c r="AB464" s="38" t="str">
        <f>IF(OR(AA464="",E464=""),"",IFERROR(IF(AA464&gt;=VLOOKUP(E464,'Input &amp; Settings'!$F$5:$K$10,3,FALSE),"Outstanding",IF(AA464&gt;=VLOOKUP(E464,'Input &amp; Settings'!$F$5:$K$10,4,FALSE),"Exceeds Expectations",IF(AA464&gt;=VLOOKUP(E464,'Input &amp; Settings'!$F$5:$K$10,5,FALSE),"Meets Expectations",IF(AA464&gt;=VLOOKUP(E464,'Input &amp; Settings'!$F$5:$K$10,6,FALSE),"Needs Improvement","Performance Improvement Required")))),""))</f>
        <v/>
      </c>
      <c r="AC464" s="38" t="str">
        <f t="shared" si="28"/>
        <v/>
      </c>
      <c r="AD464" s="39"/>
      <c r="AE464" s="40"/>
      <c r="AF464" s="41" t="str">
        <f t="shared" si="29"/>
        <v/>
      </c>
      <c r="AG464" s="42" t="str">
        <f t="shared" si="30"/>
        <v/>
      </c>
      <c r="AH464" s="42" t="str">
        <f t="shared" si="31"/>
        <v>Angel Perez Martinez|November</v>
      </c>
    </row>
    <row r="465" spans="1:34" hidden="1">
      <c r="A465" s="32">
        <v>2026</v>
      </c>
      <c r="B465" s="32" t="s">
        <v>97</v>
      </c>
      <c r="C465" s="32" t="s">
        <v>36</v>
      </c>
      <c r="D465" s="32" t="s">
        <v>37</v>
      </c>
      <c r="E465" s="33"/>
      <c r="F465" s="34" t="str">
        <f>IF(E465="","",IFERROR(VLOOKUP(E465,'Input &amp; Settings'!$F$5:$G$10,2,FALSE),""))</f>
        <v/>
      </c>
      <c r="G465" s="33"/>
      <c r="H465" s="33"/>
      <c r="I465" s="35"/>
      <c r="J465" s="33"/>
      <c r="K465" s="36"/>
      <c r="L465" s="35"/>
      <c r="M465" s="33"/>
      <c r="N465" s="33"/>
      <c r="O465" s="33"/>
      <c r="P465" s="33"/>
      <c r="Q465" s="37" t="str">
        <f>IF(G465="","",IFERROR(MIN(100,G465/'Input &amp; Settings'!$B$5*100),""))</f>
        <v/>
      </c>
      <c r="R465" s="37" t="str">
        <f>IF(H465="","",IFERROR(MIN(100,H465/'Input &amp; Settings'!$B$6*100),""))</f>
        <v/>
      </c>
      <c r="S465" s="37" t="str">
        <f>IF(I465="","",IFERROR(MIN(100,I465/'Input &amp; Settings'!$B$7*100),""))</f>
        <v/>
      </c>
      <c r="T465" s="37" t="str">
        <f>IF(J465="","",IFERROR(MIN(100,J465/'Input &amp; Settings'!$B$8*100),""))</f>
        <v/>
      </c>
      <c r="U465" s="37" t="str">
        <f>IF(K465="","",IFERROR(MIN(100,K465/'Input &amp; Settings'!$B$9*100),""))</f>
        <v/>
      </c>
      <c r="V465" s="37" t="str">
        <f>IF(L465="","",IFERROR(MIN(100,L465/'Input &amp; Settings'!$B$10*100),""))</f>
        <v/>
      </c>
      <c r="W465" s="37" t="str">
        <f>IF(M465="","",IFERROR(IF(M465&lt;='Input &amp; Settings'!$B$11,100,MAX(0,100-(M465-'Input &amp; Settings'!$B$11)*20)),""))</f>
        <v/>
      </c>
      <c r="X465" s="37" t="str">
        <f>IF(N465="","",IFERROR(MIN(100,N465/'Input &amp; Settings'!$B$12*100),""))</f>
        <v/>
      </c>
      <c r="Y465" s="37" t="str">
        <f>IF(O465="","",IFERROR(MIN(100,O465/'Input &amp; Settings'!$B$13*100),""))</f>
        <v/>
      </c>
      <c r="Z465" s="37" t="str">
        <f>IF(P465="","",IFERROR(IF(P465&lt;='Input &amp; Settings'!$B$14,100,MAX(0,100-(P465-'Input &amp; Settings'!$B$14)*20)),""))</f>
        <v/>
      </c>
      <c r="AA465" s="37" t="str">
        <f>IF(COUNTA(G465:P465)=0,"",ROUND(Q465*'Input &amp; Settings'!$C$5+R465*'Input &amp; Settings'!$C$6+S465*'Input &amp; Settings'!$C$7+T465*'Input &amp; Settings'!$C$8+U465*'Input &amp; Settings'!$C$9+V465*'Input &amp; Settings'!$C$10+W465*'Input &amp; Settings'!$C$11+X465*'Input &amp; Settings'!$C$12+Y465*'Input &amp; Settings'!$C$13+Z465*'Input &amp; Settings'!$C$14,1))</f>
        <v/>
      </c>
      <c r="AB465" s="38" t="str">
        <f>IF(OR(AA465="",E465=""),"",IFERROR(IF(AA465&gt;=VLOOKUP(E465,'Input &amp; Settings'!$F$5:$K$10,3,FALSE),"Outstanding",IF(AA465&gt;=VLOOKUP(E465,'Input &amp; Settings'!$F$5:$K$10,4,FALSE),"Exceeds Expectations",IF(AA465&gt;=VLOOKUP(E465,'Input &amp; Settings'!$F$5:$K$10,5,FALSE),"Meets Expectations",IF(AA465&gt;=VLOOKUP(E465,'Input &amp; Settings'!$F$5:$K$10,6,FALSE),"Needs Improvement","Performance Improvement Required")))),""))</f>
        <v/>
      </c>
      <c r="AC465" s="38" t="str">
        <f t="shared" si="28"/>
        <v/>
      </c>
      <c r="AD465" s="39"/>
      <c r="AE465" s="40"/>
      <c r="AF465" s="41" t="str">
        <f t="shared" si="29"/>
        <v/>
      </c>
      <c r="AG465" s="42" t="str">
        <f t="shared" si="30"/>
        <v/>
      </c>
      <c r="AH465" s="42" t="str">
        <f t="shared" si="31"/>
        <v>Carly Huber|December</v>
      </c>
    </row>
    <row r="466" spans="1:34" hidden="1">
      <c r="A466" s="32">
        <v>2026</v>
      </c>
      <c r="B466" s="32" t="s">
        <v>97</v>
      </c>
      <c r="C466" s="32" t="s">
        <v>36</v>
      </c>
      <c r="D466" s="32" t="s">
        <v>38</v>
      </c>
      <c r="E466" s="33"/>
      <c r="F466" s="34" t="str">
        <f>IF(E466="","",IFERROR(VLOOKUP(E466,'Input &amp; Settings'!$F$5:$G$10,2,FALSE),""))</f>
        <v/>
      </c>
      <c r="G466" s="33"/>
      <c r="H466" s="33"/>
      <c r="I466" s="35"/>
      <c r="J466" s="33"/>
      <c r="K466" s="36"/>
      <c r="L466" s="35"/>
      <c r="M466" s="33"/>
      <c r="N466" s="33"/>
      <c r="O466" s="33"/>
      <c r="P466" s="33"/>
      <c r="Q466" s="37" t="str">
        <f>IF(G466="","",IFERROR(MIN(100,G466/'Input &amp; Settings'!$B$5*100),""))</f>
        <v/>
      </c>
      <c r="R466" s="37" t="str">
        <f>IF(H466="","",IFERROR(MIN(100,H466/'Input &amp; Settings'!$B$6*100),""))</f>
        <v/>
      </c>
      <c r="S466" s="37" t="str">
        <f>IF(I466="","",IFERROR(MIN(100,I466/'Input &amp; Settings'!$B$7*100),""))</f>
        <v/>
      </c>
      <c r="T466" s="37" t="str">
        <f>IF(J466="","",IFERROR(MIN(100,J466/'Input &amp; Settings'!$B$8*100),""))</f>
        <v/>
      </c>
      <c r="U466" s="37" t="str">
        <f>IF(K466="","",IFERROR(MIN(100,K466/'Input &amp; Settings'!$B$9*100),""))</f>
        <v/>
      </c>
      <c r="V466" s="37" t="str">
        <f>IF(L466="","",IFERROR(MIN(100,L466/'Input &amp; Settings'!$B$10*100),""))</f>
        <v/>
      </c>
      <c r="W466" s="37" t="str">
        <f>IF(M466="","",IFERROR(IF(M466&lt;='Input &amp; Settings'!$B$11,100,MAX(0,100-(M466-'Input &amp; Settings'!$B$11)*20)),""))</f>
        <v/>
      </c>
      <c r="X466" s="37" t="str">
        <f>IF(N466="","",IFERROR(MIN(100,N466/'Input &amp; Settings'!$B$12*100),""))</f>
        <v/>
      </c>
      <c r="Y466" s="37" t="str">
        <f>IF(O466="","",IFERROR(MIN(100,O466/'Input &amp; Settings'!$B$13*100),""))</f>
        <v/>
      </c>
      <c r="Z466" s="37" t="str">
        <f>IF(P466="","",IFERROR(IF(P466&lt;='Input &amp; Settings'!$B$14,100,MAX(0,100-(P466-'Input &amp; Settings'!$B$14)*20)),""))</f>
        <v/>
      </c>
      <c r="AA466" s="37" t="str">
        <f>IF(COUNTA(G466:P466)=0,"",ROUND(Q466*'Input &amp; Settings'!$C$5+R466*'Input &amp; Settings'!$C$6+S466*'Input &amp; Settings'!$C$7+T466*'Input &amp; Settings'!$C$8+U466*'Input &amp; Settings'!$C$9+V466*'Input &amp; Settings'!$C$10+W466*'Input &amp; Settings'!$C$11+X466*'Input &amp; Settings'!$C$12+Y466*'Input &amp; Settings'!$C$13+Z466*'Input &amp; Settings'!$C$14,1))</f>
        <v/>
      </c>
      <c r="AB466" s="38" t="str">
        <f>IF(OR(AA466="",E466=""),"",IFERROR(IF(AA466&gt;=VLOOKUP(E466,'Input &amp; Settings'!$F$5:$K$10,3,FALSE),"Outstanding",IF(AA466&gt;=VLOOKUP(E466,'Input &amp; Settings'!$F$5:$K$10,4,FALSE),"Exceeds Expectations",IF(AA466&gt;=VLOOKUP(E466,'Input &amp; Settings'!$F$5:$K$10,5,FALSE),"Meets Expectations",IF(AA466&gt;=VLOOKUP(E466,'Input &amp; Settings'!$F$5:$K$10,6,FALSE),"Needs Improvement","Performance Improvement Required")))),""))</f>
        <v/>
      </c>
      <c r="AC466" s="38" t="str">
        <f t="shared" si="28"/>
        <v/>
      </c>
      <c r="AD466" s="39"/>
      <c r="AE466" s="40"/>
      <c r="AF466" s="41" t="str">
        <f t="shared" si="29"/>
        <v/>
      </c>
      <c r="AG466" s="42" t="str">
        <f t="shared" si="30"/>
        <v/>
      </c>
      <c r="AH466" s="42" t="str">
        <f t="shared" si="31"/>
        <v>Julian Grier|December</v>
      </c>
    </row>
    <row r="467" spans="1:34" hidden="1">
      <c r="A467" s="32">
        <v>2026</v>
      </c>
      <c r="B467" s="32" t="s">
        <v>97</v>
      </c>
      <c r="C467" s="32" t="s">
        <v>36</v>
      </c>
      <c r="D467" s="32" t="s">
        <v>39</v>
      </c>
      <c r="E467" s="33"/>
      <c r="F467" s="34" t="str">
        <f>IF(E467="","",IFERROR(VLOOKUP(E467,'Input &amp; Settings'!$F$5:$G$10,2,FALSE),""))</f>
        <v/>
      </c>
      <c r="G467" s="33"/>
      <c r="H467" s="33"/>
      <c r="I467" s="35"/>
      <c r="J467" s="33"/>
      <c r="K467" s="36"/>
      <c r="L467" s="35"/>
      <c r="M467" s="33"/>
      <c r="N467" s="33"/>
      <c r="O467" s="33"/>
      <c r="P467" s="33"/>
      <c r="Q467" s="37" t="str">
        <f>IF(G467="","",IFERROR(MIN(100,G467/'Input &amp; Settings'!$B$5*100),""))</f>
        <v/>
      </c>
      <c r="R467" s="37" t="str">
        <f>IF(H467="","",IFERROR(MIN(100,H467/'Input &amp; Settings'!$B$6*100),""))</f>
        <v/>
      </c>
      <c r="S467" s="37" t="str">
        <f>IF(I467="","",IFERROR(MIN(100,I467/'Input &amp; Settings'!$B$7*100),""))</f>
        <v/>
      </c>
      <c r="T467" s="37" t="str">
        <f>IF(J467="","",IFERROR(MIN(100,J467/'Input &amp; Settings'!$B$8*100),""))</f>
        <v/>
      </c>
      <c r="U467" s="37" t="str">
        <f>IF(K467="","",IFERROR(MIN(100,K467/'Input &amp; Settings'!$B$9*100),""))</f>
        <v/>
      </c>
      <c r="V467" s="37" t="str">
        <f>IF(L467="","",IFERROR(MIN(100,L467/'Input &amp; Settings'!$B$10*100),""))</f>
        <v/>
      </c>
      <c r="W467" s="37" t="str">
        <f>IF(M467="","",IFERROR(IF(M467&lt;='Input &amp; Settings'!$B$11,100,MAX(0,100-(M467-'Input &amp; Settings'!$B$11)*20)),""))</f>
        <v/>
      </c>
      <c r="X467" s="37" t="str">
        <f>IF(N467="","",IFERROR(MIN(100,N467/'Input &amp; Settings'!$B$12*100),""))</f>
        <v/>
      </c>
      <c r="Y467" s="37" t="str">
        <f>IF(O467="","",IFERROR(MIN(100,O467/'Input &amp; Settings'!$B$13*100),""))</f>
        <v/>
      </c>
      <c r="Z467" s="37" t="str">
        <f>IF(P467="","",IFERROR(IF(P467&lt;='Input &amp; Settings'!$B$14,100,MAX(0,100-(P467-'Input &amp; Settings'!$B$14)*20)),""))</f>
        <v/>
      </c>
      <c r="AA467" s="37" t="str">
        <f>IF(COUNTA(G467:P467)=0,"",ROUND(Q467*'Input &amp; Settings'!$C$5+R467*'Input &amp; Settings'!$C$6+S467*'Input &amp; Settings'!$C$7+T467*'Input &amp; Settings'!$C$8+U467*'Input &amp; Settings'!$C$9+V467*'Input &amp; Settings'!$C$10+W467*'Input &amp; Settings'!$C$11+X467*'Input &amp; Settings'!$C$12+Y467*'Input &amp; Settings'!$C$13+Z467*'Input &amp; Settings'!$C$14,1))</f>
        <v/>
      </c>
      <c r="AB467" s="38" t="str">
        <f>IF(OR(AA467="",E467=""),"",IFERROR(IF(AA467&gt;=VLOOKUP(E467,'Input &amp; Settings'!$F$5:$K$10,3,FALSE),"Outstanding",IF(AA467&gt;=VLOOKUP(E467,'Input &amp; Settings'!$F$5:$K$10,4,FALSE),"Exceeds Expectations",IF(AA467&gt;=VLOOKUP(E467,'Input &amp; Settings'!$F$5:$K$10,5,FALSE),"Meets Expectations",IF(AA467&gt;=VLOOKUP(E467,'Input &amp; Settings'!$F$5:$K$10,6,FALSE),"Needs Improvement","Performance Improvement Required")))),""))</f>
        <v/>
      </c>
      <c r="AC467" s="38" t="str">
        <f t="shared" si="28"/>
        <v/>
      </c>
      <c r="AD467" s="39"/>
      <c r="AE467" s="40"/>
      <c r="AF467" s="41" t="str">
        <f t="shared" si="29"/>
        <v/>
      </c>
      <c r="AG467" s="42" t="str">
        <f t="shared" si="30"/>
        <v/>
      </c>
      <c r="AH467" s="42" t="str">
        <f t="shared" si="31"/>
        <v>Jorge Lopez|December</v>
      </c>
    </row>
    <row r="468" spans="1:34" hidden="1">
      <c r="A468" s="32">
        <v>2026</v>
      </c>
      <c r="B468" s="32" t="s">
        <v>97</v>
      </c>
      <c r="C468" s="32" t="s">
        <v>36</v>
      </c>
      <c r="D468" s="32" t="s">
        <v>40</v>
      </c>
      <c r="E468" s="33"/>
      <c r="F468" s="34" t="str">
        <f>IF(E468="","",IFERROR(VLOOKUP(E468,'Input &amp; Settings'!$F$5:$G$10,2,FALSE),""))</f>
        <v/>
      </c>
      <c r="G468" s="33"/>
      <c r="H468" s="33"/>
      <c r="I468" s="35"/>
      <c r="J468" s="33"/>
      <c r="K468" s="36"/>
      <c r="L468" s="35"/>
      <c r="M468" s="33"/>
      <c r="N468" s="33"/>
      <c r="O468" s="33"/>
      <c r="P468" s="33"/>
      <c r="Q468" s="37" t="str">
        <f>IF(G468="","",IFERROR(MIN(100,G468/'Input &amp; Settings'!$B$5*100),""))</f>
        <v/>
      </c>
      <c r="R468" s="37" t="str">
        <f>IF(H468="","",IFERROR(MIN(100,H468/'Input &amp; Settings'!$B$6*100),""))</f>
        <v/>
      </c>
      <c r="S468" s="37" t="str">
        <f>IF(I468="","",IFERROR(MIN(100,I468/'Input &amp; Settings'!$B$7*100),""))</f>
        <v/>
      </c>
      <c r="T468" s="37" t="str">
        <f>IF(J468="","",IFERROR(MIN(100,J468/'Input &amp; Settings'!$B$8*100),""))</f>
        <v/>
      </c>
      <c r="U468" s="37" t="str">
        <f>IF(K468="","",IFERROR(MIN(100,K468/'Input &amp; Settings'!$B$9*100),""))</f>
        <v/>
      </c>
      <c r="V468" s="37" t="str">
        <f>IF(L468="","",IFERROR(MIN(100,L468/'Input &amp; Settings'!$B$10*100),""))</f>
        <v/>
      </c>
      <c r="W468" s="37" t="str">
        <f>IF(M468="","",IFERROR(IF(M468&lt;='Input &amp; Settings'!$B$11,100,MAX(0,100-(M468-'Input &amp; Settings'!$B$11)*20)),""))</f>
        <v/>
      </c>
      <c r="X468" s="37" t="str">
        <f>IF(N468="","",IFERROR(MIN(100,N468/'Input &amp; Settings'!$B$12*100),""))</f>
        <v/>
      </c>
      <c r="Y468" s="37" t="str">
        <f>IF(O468="","",IFERROR(MIN(100,O468/'Input &amp; Settings'!$B$13*100),""))</f>
        <v/>
      </c>
      <c r="Z468" s="37" t="str">
        <f>IF(P468="","",IFERROR(IF(P468&lt;='Input &amp; Settings'!$B$14,100,MAX(0,100-(P468-'Input &amp; Settings'!$B$14)*20)),""))</f>
        <v/>
      </c>
      <c r="AA468" s="37" t="str">
        <f>IF(COUNTA(G468:P468)=0,"",ROUND(Q468*'Input &amp; Settings'!$C$5+R468*'Input &amp; Settings'!$C$6+S468*'Input &amp; Settings'!$C$7+T468*'Input &amp; Settings'!$C$8+U468*'Input &amp; Settings'!$C$9+V468*'Input &amp; Settings'!$C$10+W468*'Input &amp; Settings'!$C$11+X468*'Input &amp; Settings'!$C$12+Y468*'Input &amp; Settings'!$C$13+Z468*'Input &amp; Settings'!$C$14,1))</f>
        <v/>
      </c>
      <c r="AB468" s="38" t="str">
        <f>IF(OR(AA468="",E468=""),"",IFERROR(IF(AA468&gt;=VLOOKUP(E468,'Input &amp; Settings'!$F$5:$K$10,3,FALSE),"Outstanding",IF(AA468&gt;=VLOOKUP(E468,'Input &amp; Settings'!$F$5:$K$10,4,FALSE),"Exceeds Expectations",IF(AA468&gt;=VLOOKUP(E468,'Input &amp; Settings'!$F$5:$K$10,5,FALSE),"Meets Expectations",IF(AA468&gt;=VLOOKUP(E468,'Input &amp; Settings'!$F$5:$K$10,6,FALSE),"Needs Improvement","Performance Improvement Required")))),""))</f>
        <v/>
      </c>
      <c r="AC468" s="38" t="str">
        <f t="shared" si="28"/>
        <v/>
      </c>
      <c r="AD468" s="39"/>
      <c r="AE468" s="40"/>
      <c r="AF468" s="41" t="str">
        <f t="shared" si="29"/>
        <v/>
      </c>
      <c r="AG468" s="42" t="str">
        <f t="shared" si="30"/>
        <v/>
      </c>
      <c r="AH468" s="42" t="str">
        <f t="shared" si="31"/>
        <v>Juan Pablo Pique Buil (JP)|December</v>
      </c>
    </row>
    <row r="469" spans="1:34" hidden="1">
      <c r="A469" s="32">
        <v>2026</v>
      </c>
      <c r="B469" s="32" t="s">
        <v>97</v>
      </c>
      <c r="C469" s="32" t="s">
        <v>36</v>
      </c>
      <c r="D469" s="32" t="s">
        <v>41</v>
      </c>
      <c r="E469" s="33"/>
      <c r="F469" s="34" t="str">
        <f>IF(E469="","",IFERROR(VLOOKUP(E469,'Input &amp; Settings'!$F$5:$G$10,2,FALSE),""))</f>
        <v/>
      </c>
      <c r="G469" s="33"/>
      <c r="H469" s="33"/>
      <c r="I469" s="35"/>
      <c r="J469" s="33"/>
      <c r="K469" s="36"/>
      <c r="L469" s="35"/>
      <c r="M469" s="33"/>
      <c r="N469" s="33"/>
      <c r="O469" s="33"/>
      <c r="P469" s="33"/>
      <c r="Q469" s="37" t="str">
        <f>IF(G469="","",IFERROR(MIN(100,G469/'Input &amp; Settings'!$B$5*100),""))</f>
        <v/>
      </c>
      <c r="R469" s="37" t="str">
        <f>IF(H469="","",IFERROR(MIN(100,H469/'Input &amp; Settings'!$B$6*100),""))</f>
        <v/>
      </c>
      <c r="S469" s="37" t="str">
        <f>IF(I469="","",IFERROR(MIN(100,I469/'Input &amp; Settings'!$B$7*100),""))</f>
        <v/>
      </c>
      <c r="T469" s="37" t="str">
        <f>IF(J469="","",IFERROR(MIN(100,J469/'Input &amp; Settings'!$B$8*100),""))</f>
        <v/>
      </c>
      <c r="U469" s="37" t="str">
        <f>IF(K469="","",IFERROR(MIN(100,K469/'Input &amp; Settings'!$B$9*100),""))</f>
        <v/>
      </c>
      <c r="V469" s="37" t="str">
        <f>IF(L469="","",IFERROR(MIN(100,L469/'Input &amp; Settings'!$B$10*100),""))</f>
        <v/>
      </c>
      <c r="W469" s="37" t="str">
        <f>IF(M469="","",IFERROR(IF(M469&lt;='Input &amp; Settings'!$B$11,100,MAX(0,100-(M469-'Input &amp; Settings'!$B$11)*20)),""))</f>
        <v/>
      </c>
      <c r="X469" s="37" t="str">
        <f>IF(N469="","",IFERROR(MIN(100,N469/'Input &amp; Settings'!$B$12*100),""))</f>
        <v/>
      </c>
      <c r="Y469" s="37" t="str">
        <f>IF(O469="","",IFERROR(MIN(100,O469/'Input &amp; Settings'!$B$13*100),""))</f>
        <v/>
      </c>
      <c r="Z469" s="37" t="str">
        <f>IF(P469="","",IFERROR(IF(P469&lt;='Input &amp; Settings'!$B$14,100,MAX(0,100-(P469-'Input &amp; Settings'!$B$14)*20)),""))</f>
        <v/>
      </c>
      <c r="AA469" s="37" t="str">
        <f>IF(COUNTA(G469:P469)=0,"",ROUND(Q469*'Input &amp; Settings'!$C$5+R469*'Input &amp; Settings'!$C$6+S469*'Input &amp; Settings'!$C$7+T469*'Input &amp; Settings'!$C$8+U469*'Input &amp; Settings'!$C$9+V469*'Input &amp; Settings'!$C$10+W469*'Input &amp; Settings'!$C$11+X469*'Input &amp; Settings'!$C$12+Y469*'Input &amp; Settings'!$C$13+Z469*'Input &amp; Settings'!$C$14,1))</f>
        <v/>
      </c>
      <c r="AB469" s="38" t="str">
        <f>IF(OR(AA469="",E469=""),"",IFERROR(IF(AA469&gt;=VLOOKUP(E469,'Input &amp; Settings'!$F$5:$K$10,3,FALSE),"Outstanding",IF(AA469&gt;=VLOOKUP(E469,'Input &amp; Settings'!$F$5:$K$10,4,FALSE),"Exceeds Expectations",IF(AA469&gt;=VLOOKUP(E469,'Input &amp; Settings'!$F$5:$K$10,5,FALSE),"Meets Expectations",IF(AA469&gt;=VLOOKUP(E469,'Input &amp; Settings'!$F$5:$K$10,6,FALSE),"Needs Improvement","Performance Improvement Required")))),""))</f>
        <v/>
      </c>
      <c r="AC469" s="38" t="str">
        <f t="shared" si="28"/>
        <v/>
      </c>
      <c r="AD469" s="39"/>
      <c r="AE469" s="40"/>
      <c r="AF469" s="41" t="str">
        <f t="shared" si="29"/>
        <v/>
      </c>
      <c r="AG469" s="42" t="str">
        <f t="shared" si="30"/>
        <v/>
      </c>
      <c r="AH469" s="42" t="str">
        <f t="shared" si="31"/>
        <v>Peter Gonzalez|December</v>
      </c>
    </row>
    <row r="470" spans="1:34" hidden="1">
      <c r="A470" s="32">
        <v>2026</v>
      </c>
      <c r="B470" s="32" t="s">
        <v>97</v>
      </c>
      <c r="C470" s="32" t="s">
        <v>36</v>
      </c>
      <c r="D470" s="32" t="s">
        <v>42</v>
      </c>
      <c r="E470" s="33"/>
      <c r="F470" s="34" t="str">
        <f>IF(E470="","",IFERROR(VLOOKUP(E470,'Input &amp; Settings'!$F$5:$G$10,2,FALSE),""))</f>
        <v/>
      </c>
      <c r="G470" s="33"/>
      <c r="H470" s="33"/>
      <c r="I470" s="35"/>
      <c r="J470" s="33"/>
      <c r="K470" s="36"/>
      <c r="L470" s="35"/>
      <c r="M470" s="33"/>
      <c r="N470" s="33"/>
      <c r="O470" s="33"/>
      <c r="P470" s="33"/>
      <c r="Q470" s="37" t="str">
        <f>IF(G470="","",IFERROR(MIN(100,G470/'Input &amp; Settings'!$B$5*100),""))</f>
        <v/>
      </c>
      <c r="R470" s="37" t="str">
        <f>IF(H470="","",IFERROR(MIN(100,H470/'Input &amp; Settings'!$B$6*100),""))</f>
        <v/>
      </c>
      <c r="S470" s="37" t="str">
        <f>IF(I470="","",IFERROR(MIN(100,I470/'Input &amp; Settings'!$B$7*100),""))</f>
        <v/>
      </c>
      <c r="T470" s="37" t="str">
        <f>IF(J470="","",IFERROR(MIN(100,J470/'Input &amp; Settings'!$B$8*100),""))</f>
        <v/>
      </c>
      <c r="U470" s="37" t="str">
        <f>IF(K470="","",IFERROR(MIN(100,K470/'Input &amp; Settings'!$B$9*100),""))</f>
        <v/>
      </c>
      <c r="V470" s="37" t="str">
        <f>IF(L470="","",IFERROR(MIN(100,L470/'Input &amp; Settings'!$B$10*100),""))</f>
        <v/>
      </c>
      <c r="W470" s="37" t="str">
        <f>IF(M470="","",IFERROR(IF(M470&lt;='Input &amp; Settings'!$B$11,100,MAX(0,100-(M470-'Input &amp; Settings'!$B$11)*20)),""))</f>
        <v/>
      </c>
      <c r="X470" s="37" t="str">
        <f>IF(N470="","",IFERROR(MIN(100,N470/'Input &amp; Settings'!$B$12*100),""))</f>
        <v/>
      </c>
      <c r="Y470" s="37" t="str">
        <f>IF(O470="","",IFERROR(MIN(100,O470/'Input &amp; Settings'!$B$13*100),""))</f>
        <v/>
      </c>
      <c r="Z470" s="37" t="str">
        <f>IF(P470="","",IFERROR(IF(P470&lt;='Input &amp; Settings'!$B$14,100,MAX(0,100-(P470-'Input &amp; Settings'!$B$14)*20)),""))</f>
        <v/>
      </c>
      <c r="AA470" s="37" t="str">
        <f>IF(COUNTA(G470:P470)=0,"",ROUND(Q470*'Input &amp; Settings'!$C$5+R470*'Input &amp; Settings'!$C$6+S470*'Input &amp; Settings'!$C$7+T470*'Input &amp; Settings'!$C$8+U470*'Input &amp; Settings'!$C$9+V470*'Input &amp; Settings'!$C$10+W470*'Input &amp; Settings'!$C$11+X470*'Input &amp; Settings'!$C$12+Y470*'Input &amp; Settings'!$C$13+Z470*'Input &amp; Settings'!$C$14,1))</f>
        <v/>
      </c>
      <c r="AB470" s="38" t="str">
        <f>IF(OR(AA470="",E470=""),"",IFERROR(IF(AA470&gt;=VLOOKUP(E470,'Input &amp; Settings'!$F$5:$K$10,3,FALSE),"Outstanding",IF(AA470&gt;=VLOOKUP(E470,'Input &amp; Settings'!$F$5:$K$10,4,FALSE),"Exceeds Expectations",IF(AA470&gt;=VLOOKUP(E470,'Input &amp; Settings'!$F$5:$K$10,5,FALSE),"Meets Expectations",IF(AA470&gt;=VLOOKUP(E470,'Input &amp; Settings'!$F$5:$K$10,6,FALSE),"Needs Improvement","Performance Improvement Required")))),""))</f>
        <v/>
      </c>
      <c r="AC470" s="38" t="str">
        <f t="shared" si="28"/>
        <v/>
      </c>
      <c r="AD470" s="39"/>
      <c r="AE470" s="40"/>
      <c r="AF470" s="41" t="str">
        <f t="shared" si="29"/>
        <v/>
      </c>
      <c r="AG470" s="42" t="str">
        <f t="shared" si="30"/>
        <v/>
      </c>
      <c r="AH470" s="42" t="str">
        <f t="shared" si="31"/>
        <v>Dennis Hartling|December</v>
      </c>
    </row>
    <row r="471" spans="1:34" hidden="1">
      <c r="A471" s="32">
        <v>2026</v>
      </c>
      <c r="B471" s="32" t="s">
        <v>97</v>
      </c>
      <c r="C471" s="32" t="s">
        <v>36</v>
      </c>
      <c r="D471" s="32" t="s">
        <v>43</v>
      </c>
      <c r="E471" s="33"/>
      <c r="F471" s="34" t="str">
        <f>IF(E471="","",IFERROR(VLOOKUP(E471,'Input &amp; Settings'!$F$5:$G$10,2,FALSE),""))</f>
        <v/>
      </c>
      <c r="G471" s="33"/>
      <c r="H471" s="33"/>
      <c r="I471" s="35"/>
      <c r="J471" s="33"/>
      <c r="K471" s="36"/>
      <c r="L471" s="35"/>
      <c r="M471" s="33"/>
      <c r="N471" s="33"/>
      <c r="O471" s="33"/>
      <c r="P471" s="33"/>
      <c r="Q471" s="37" t="str">
        <f>IF(G471="","",IFERROR(MIN(100,G471/'Input &amp; Settings'!$B$5*100),""))</f>
        <v/>
      </c>
      <c r="R471" s="37" t="str">
        <f>IF(H471="","",IFERROR(MIN(100,H471/'Input &amp; Settings'!$B$6*100),""))</f>
        <v/>
      </c>
      <c r="S471" s="37" t="str">
        <f>IF(I471="","",IFERROR(MIN(100,I471/'Input &amp; Settings'!$B$7*100),""))</f>
        <v/>
      </c>
      <c r="T471" s="37" t="str">
        <f>IF(J471="","",IFERROR(MIN(100,J471/'Input &amp; Settings'!$B$8*100),""))</f>
        <v/>
      </c>
      <c r="U471" s="37" t="str">
        <f>IF(K471="","",IFERROR(MIN(100,K471/'Input &amp; Settings'!$B$9*100),""))</f>
        <v/>
      </c>
      <c r="V471" s="37" t="str">
        <f>IF(L471="","",IFERROR(MIN(100,L471/'Input &amp; Settings'!$B$10*100),""))</f>
        <v/>
      </c>
      <c r="W471" s="37" t="str">
        <f>IF(M471="","",IFERROR(IF(M471&lt;='Input &amp; Settings'!$B$11,100,MAX(0,100-(M471-'Input &amp; Settings'!$B$11)*20)),""))</f>
        <v/>
      </c>
      <c r="X471" s="37" t="str">
        <f>IF(N471="","",IFERROR(MIN(100,N471/'Input &amp; Settings'!$B$12*100),""))</f>
        <v/>
      </c>
      <c r="Y471" s="37" t="str">
        <f>IF(O471="","",IFERROR(MIN(100,O471/'Input &amp; Settings'!$B$13*100),""))</f>
        <v/>
      </c>
      <c r="Z471" s="37" t="str">
        <f>IF(P471="","",IFERROR(IF(P471&lt;='Input &amp; Settings'!$B$14,100,MAX(0,100-(P471-'Input &amp; Settings'!$B$14)*20)),""))</f>
        <v/>
      </c>
      <c r="AA471" s="37" t="str">
        <f>IF(COUNTA(G471:P471)=0,"",ROUND(Q471*'Input &amp; Settings'!$C$5+R471*'Input &amp; Settings'!$C$6+S471*'Input &amp; Settings'!$C$7+T471*'Input &amp; Settings'!$C$8+U471*'Input &amp; Settings'!$C$9+V471*'Input &amp; Settings'!$C$10+W471*'Input &amp; Settings'!$C$11+X471*'Input &amp; Settings'!$C$12+Y471*'Input &amp; Settings'!$C$13+Z471*'Input &amp; Settings'!$C$14,1))</f>
        <v/>
      </c>
      <c r="AB471" s="38" t="str">
        <f>IF(OR(AA471="",E471=""),"",IFERROR(IF(AA471&gt;=VLOOKUP(E471,'Input &amp; Settings'!$F$5:$K$10,3,FALSE),"Outstanding",IF(AA471&gt;=VLOOKUP(E471,'Input &amp; Settings'!$F$5:$K$10,4,FALSE),"Exceeds Expectations",IF(AA471&gt;=VLOOKUP(E471,'Input &amp; Settings'!$F$5:$K$10,5,FALSE),"Meets Expectations",IF(AA471&gt;=VLOOKUP(E471,'Input &amp; Settings'!$F$5:$K$10,6,FALSE),"Needs Improvement","Performance Improvement Required")))),""))</f>
        <v/>
      </c>
      <c r="AC471" s="38" t="str">
        <f t="shared" si="28"/>
        <v/>
      </c>
      <c r="AD471" s="39"/>
      <c r="AE471" s="40"/>
      <c r="AF471" s="41" t="str">
        <f t="shared" si="29"/>
        <v/>
      </c>
      <c r="AG471" s="42" t="str">
        <f t="shared" si="30"/>
        <v/>
      </c>
      <c r="AH471" s="42" t="str">
        <f t="shared" si="31"/>
        <v>Gilbert Eugene|December</v>
      </c>
    </row>
    <row r="472" spans="1:34" hidden="1">
      <c r="A472" s="32">
        <v>2026</v>
      </c>
      <c r="B472" s="32" t="s">
        <v>97</v>
      </c>
      <c r="C472" s="32" t="s">
        <v>36</v>
      </c>
      <c r="D472" s="32" t="s">
        <v>44</v>
      </c>
      <c r="E472" s="33"/>
      <c r="F472" s="34" t="str">
        <f>IF(E472="","",IFERROR(VLOOKUP(E472,'Input &amp; Settings'!$F$5:$G$10,2,FALSE),""))</f>
        <v/>
      </c>
      <c r="G472" s="33"/>
      <c r="H472" s="33"/>
      <c r="I472" s="35"/>
      <c r="J472" s="33"/>
      <c r="K472" s="36"/>
      <c r="L472" s="35"/>
      <c r="M472" s="33"/>
      <c r="N472" s="33"/>
      <c r="O472" s="33"/>
      <c r="P472" s="33"/>
      <c r="Q472" s="37" t="str">
        <f>IF(G472="","",IFERROR(MIN(100,G472/'Input &amp; Settings'!$B$5*100),""))</f>
        <v/>
      </c>
      <c r="R472" s="37" t="str">
        <f>IF(H472="","",IFERROR(MIN(100,H472/'Input &amp; Settings'!$B$6*100),""))</f>
        <v/>
      </c>
      <c r="S472" s="37" t="str">
        <f>IF(I472="","",IFERROR(MIN(100,I472/'Input &amp; Settings'!$B$7*100),""))</f>
        <v/>
      </c>
      <c r="T472" s="37" t="str">
        <f>IF(J472="","",IFERROR(MIN(100,J472/'Input &amp; Settings'!$B$8*100),""))</f>
        <v/>
      </c>
      <c r="U472" s="37" t="str">
        <f>IF(K472="","",IFERROR(MIN(100,K472/'Input &amp; Settings'!$B$9*100),""))</f>
        <v/>
      </c>
      <c r="V472" s="37" t="str">
        <f>IF(L472="","",IFERROR(MIN(100,L472/'Input &amp; Settings'!$B$10*100),""))</f>
        <v/>
      </c>
      <c r="W472" s="37" t="str">
        <f>IF(M472="","",IFERROR(IF(M472&lt;='Input &amp; Settings'!$B$11,100,MAX(0,100-(M472-'Input &amp; Settings'!$B$11)*20)),""))</f>
        <v/>
      </c>
      <c r="X472" s="37" t="str">
        <f>IF(N472="","",IFERROR(MIN(100,N472/'Input &amp; Settings'!$B$12*100),""))</f>
        <v/>
      </c>
      <c r="Y472" s="37" t="str">
        <f>IF(O472="","",IFERROR(MIN(100,O472/'Input &amp; Settings'!$B$13*100),""))</f>
        <v/>
      </c>
      <c r="Z472" s="37" t="str">
        <f>IF(P472="","",IFERROR(IF(P472&lt;='Input &amp; Settings'!$B$14,100,MAX(0,100-(P472-'Input &amp; Settings'!$B$14)*20)),""))</f>
        <v/>
      </c>
      <c r="AA472" s="37" t="str">
        <f>IF(COUNTA(G472:P472)=0,"",ROUND(Q472*'Input &amp; Settings'!$C$5+R472*'Input &amp; Settings'!$C$6+S472*'Input &amp; Settings'!$C$7+T472*'Input &amp; Settings'!$C$8+U472*'Input &amp; Settings'!$C$9+V472*'Input &amp; Settings'!$C$10+W472*'Input &amp; Settings'!$C$11+X472*'Input &amp; Settings'!$C$12+Y472*'Input &amp; Settings'!$C$13+Z472*'Input &amp; Settings'!$C$14,1))</f>
        <v/>
      </c>
      <c r="AB472" s="38" t="str">
        <f>IF(OR(AA472="",E472=""),"",IFERROR(IF(AA472&gt;=VLOOKUP(E472,'Input &amp; Settings'!$F$5:$K$10,3,FALSE),"Outstanding",IF(AA472&gt;=VLOOKUP(E472,'Input &amp; Settings'!$F$5:$K$10,4,FALSE),"Exceeds Expectations",IF(AA472&gt;=VLOOKUP(E472,'Input &amp; Settings'!$F$5:$K$10,5,FALSE),"Meets Expectations",IF(AA472&gt;=VLOOKUP(E472,'Input &amp; Settings'!$F$5:$K$10,6,FALSE),"Needs Improvement","Performance Improvement Required")))),""))</f>
        <v/>
      </c>
      <c r="AC472" s="38" t="str">
        <f t="shared" si="28"/>
        <v/>
      </c>
      <c r="AD472" s="39"/>
      <c r="AE472" s="40"/>
      <c r="AF472" s="41" t="str">
        <f t="shared" si="29"/>
        <v/>
      </c>
      <c r="AG472" s="42" t="str">
        <f t="shared" si="30"/>
        <v/>
      </c>
      <c r="AH472" s="42" t="str">
        <f t="shared" si="31"/>
        <v>Cory Colstock|December</v>
      </c>
    </row>
    <row r="473" spans="1:34" hidden="1">
      <c r="A473" s="32">
        <v>2026</v>
      </c>
      <c r="B473" s="32" t="s">
        <v>97</v>
      </c>
      <c r="C473" s="32" t="s">
        <v>36</v>
      </c>
      <c r="D473" s="32" t="s">
        <v>45</v>
      </c>
      <c r="E473" s="33"/>
      <c r="F473" s="34" t="str">
        <f>IF(E473="","",IFERROR(VLOOKUP(E473,'Input &amp; Settings'!$F$5:$G$10,2,FALSE),""))</f>
        <v/>
      </c>
      <c r="G473" s="33"/>
      <c r="H473" s="33"/>
      <c r="I473" s="35"/>
      <c r="J473" s="33"/>
      <c r="K473" s="36"/>
      <c r="L473" s="35"/>
      <c r="M473" s="33"/>
      <c r="N473" s="33"/>
      <c r="O473" s="33"/>
      <c r="P473" s="33"/>
      <c r="Q473" s="37" t="str">
        <f>IF(G473="","",IFERROR(MIN(100,G473/'Input &amp; Settings'!$B$5*100),""))</f>
        <v/>
      </c>
      <c r="R473" s="37" t="str">
        <f>IF(H473="","",IFERROR(MIN(100,H473/'Input &amp; Settings'!$B$6*100),""))</f>
        <v/>
      </c>
      <c r="S473" s="37" t="str">
        <f>IF(I473="","",IFERROR(MIN(100,I473/'Input &amp; Settings'!$B$7*100),""))</f>
        <v/>
      </c>
      <c r="T473" s="37" t="str">
        <f>IF(J473="","",IFERROR(MIN(100,J473/'Input &amp; Settings'!$B$8*100),""))</f>
        <v/>
      </c>
      <c r="U473" s="37" t="str">
        <f>IF(K473="","",IFERROR(MIN(100,K473/'Input &amp; Settings'!$B$9*100),""))</f>
        <v/>
      </c>
      <c r="V473" s="37" t="str">
        <f>IF(L473="","",IFERROR(MIN(100,L473/'Input &amp; Settings'!$B$10*100),""))</f>
        <v/>
      </c>
      <c r="W473" s="37" t="str">
        <f>IF(M473="","",IFERROR(IF(M473&lt;='Input &amp; Settings'!$B$11,100,MAX(0,100-(M473-'Input &amp; Settings'!$B$11)*20)),""))</f>
        <v/>
      </c>
      <c r="X473" s="37" t="str">
        <f>IF(N473="","",IFERROR(MIN(100,N473/'Input &amp; Settings'!$B$12*100),""))</f>
        <v/>
      </c>
      <c r="Y473" s="37" t="str">
        <f>IF(O473="","",IFERROR(MIN(100,O473/'Input &amp; Settings'!$B$13*100),""))</f>
        <v/>
      </c>
      <c r="Z473" s="37" t="str">
        <f>IF(P473="","",IFERROR(IF(P473&lt;='Input &amp; Settings'!$B$14,100,MAX(0,100-(P473-'Input &amp; Settings'!$B$14)*20)),""))</f>
        <v/>
      </c>
      <c r="AA473" s="37" t="str">
        <f>IF(COUNTA(G473:P473)=0,"",ROUND(Q473*'Input &amp; Settings'!$C$5+R473*'Input &amp; Settings'!$C$6+S473*'Input &amp; Settings'!$C$7+T473*'Input &amp; Settings'!$C$8+U473*'Input &amp; Settings'!$C$9+V473*'Input &amp; Settings'!$C$10+W473*'Input &amp; Settings'!$C$11+X473*'Input &amp; Settings'!$C$12+Y473*'Input &amp; Settings'!$C$13+Z473*'Input &amp; Settings'!$C$14,1))</f>
        <v/>
      </c>
      <c r="AB473" s="38" t="str">
        <f>IF(OR(AA473="",E473=""),"",IFERROR(IF(AA473&gt;=VLOOKUP(E473,'Input &amp; Settings'!$F$5:$K$10,3,FALSE),"Outstanding",IF(AA473&gt;=VLOOKUP(E473,'Input &amp; Settings'!$F$5:$K$10,4,FALSE),"Exceeds Expectations",IF(AA473&gt;=VLOOKUP(E473,'Input &amp; Settings'!$F$5:$K$10,5,FALSE),"Meets Expectations",IF(AA473&gt;=VLOOKUP(E473,'Input &amp; Settings'!$F$5:$K$10,6,FALSE),"Needs Improvement","Performance Improvement Required")))),""))</f>
        <v/>
      </c>
      <c r="AC473" s="38" t="str">
        <f t="shared" si="28"/>
        <v/>
      </c>
      <c r="AD473" s="39"/>
      <c r="AE473" s="40"/>
      <c r="AF473" s="41" t="str">
        <f t="shared" si="29"/>
        <v/>
      </c>
      <c r="AG473" s="42" t="str">
        <f t="shared" si="30"/>
        <v/>
      </c>
      <c r="AH473" s="42" t="str">
        <f t="shared" si="31"/>
        <v>Jerald Woodward (Jerry)|December</v>
      </c>
    </row>
    <row r="474" spans="1:34" hidden="1">
      <c r="A474" s="32">
        <v>2026</v>
      </c>
      <c r="B474" s="32" t="s">
        <v>97</v>
      </c>
      <c r="C474" s="32" t="s">
        <v>36</v>
      </c>
      <c r="D474" s="32" t="s">
        <v>46</v>
      </c>
      <c r="E474" s="33"/>
      <c r="F474" s="34" t="str">
        <f>IF(E474="","",IFERROR(VLOOKUP(E474,'Input &amp; Settings'!$F$5:$G$10,2,FALSE),""))</f>
        <v/>
      </c>
      <c r="G474" s="33"/>
      <c r="H474" s="33"/>
      <c r="I474" s="35"/>
      <c r="J474" s="33"/>
      <c r="K474" s="36"/>
      <c r="L474" s="35"/>
      <c r="M474" s="33"/>
      <c r="N474" s="33"/>
      <c r="O474" s="33"/>
      <c r="P474" s="33"/>
      <c r="Q474" s="37" t="str">
        <f>IF(G474="","",IFERROR(MIN(100,G474/'Input &amp; Settings'!$B$5*100),""))</f>
        <v/>
      </c>
      <c r="R474" s="37" t="str">
        <f>IF(H474="","",IFERROR(MIN(100,H474/'Input &amp; Settings'!$B$6*100),""))</f>
        <v/>
      </c>
      <c r="S474" s="37" t="str">
        <f>IF(I474="","",IFERROR(MIN(100,I474/'Input &amp; Settings'!$B$7*100),""))</f>
        <v/>
      </c>
      <c r="T474" s="37" t="str">
        <f>IF(J474="","",IFERROR(MIN(100,J474/'Input &amp; Settings'!$B$8*100),""))</f>
        <v/>
      </c>
      <c r="U474" s="37" t="str">
        <f>IF(K474="","",IFERROR(MIN(100,K474/'Input &amp; Settings'!$B$9*100),""))</f>
        <v/>
      </c>
      <c r="V474" s="37" t="str">
        <f>IF(L474="","",IFERROR(MIN(100,L474/'Input &amp; Settings'!$B$10*100),""))</f>
        <v/>
      </c>
      <c r="W474" s="37" t="str">
        <f>IF(M474="","",IFERROR(IF(M474&lt;='Input &amp; Settings'!$B$11,100,MAX(0,100-(M474-'Input &amp; Settings'!$B$11)*20)),""))</f>
        <v/>
      </c>
      <c r="X474" s="37" t="str">
        <f>IF(N474="","",IFERROR(MIN(100,N474/'Input &amp; Settings'!$B$12*100),""))</f>
        <v/>
      </c>
      <c r="Y474" s="37" t="str">
        <f>IF(O474="","",IFERROR(MIN(100,O474/'Input &amp; Settings'!$B$13*100),""))</f>
        <v/>
      </c>
      <c r="Z474" s="37" t="str">
        <f>IF(P474="","",IFERROR(IF(P474&lt;='Input &amp; Settings'!$B$14,100,MAX(0,100-(P474-'Input &amp; Settings'!$B$14)*20)),""))</f>
        <v/>
      </c>
      <c r="AA474" s="37" t="str">
        <f>IF(COUNTA(G474:P474)=0,"",ROUND(Q474*'Input &amp; Settings'!$C$5+R474*'Input &amp; Settings'!$C$6+S474*'Input &amp; Settings'!$C$7+T474*'Input &amp; Settings'!$C$8+U474*'Input &amp; Settings'!$C$9+V474*'Input &amp; Settings'!$C$10+W474*'Input &amp; Settings'!$C$11+X474*'Input &amp; Settings'!$C$12+Y474*'Input &amp; Settings'!$C$13+Z474*'Input &amp; Settings'!$C$14,1))</f>
        <v/>
      </c>
      <c r="AB474" s="38" t="str">
        <f>IF(OR(AA474="",E474=""),"",IFERROR(IF(AA474&gt;=VLOOKUP(E474,'Input &amp; Settings'!$F$5:$K$10,3,FALSE),"Outstanding",IF(AA474&gt;=VLOOKUP(E474,'Input &amp; Settings'!$F$5:$K$10,4,FALSE),"Exceeds Expectations",IF(AA474&gt;=VLOOKUP(E474,'Input &amp; Settings'!$F$5:$K$10,5,FALSE),"Meets Expectations",IF(AA474&gt;=VLOOKUP(E474,'Input &amp; Settings'!$F$5:$K$10,6,FALSE),"Needs Improvement","Performance Improvement Required")))),""))</f>
        <v/>
      </c>
      <c r="AC474" s="38" t="str">
        <f t="shared" si="28"/>
        <v/>
      </c>
      <c r="AD474" s="39"/>
      <c r="AE474" s="40"/>
      <c r="AF474" s="41" t="str">
        <f t="shared" si="29"/>
        <v/>
      </c>
      <c r="AG474" s="42" t="str">
        <f t="shared" si="30"/>
        <v/>
      </c>
      <c r="AH474" s="42" t="str">
        <f t="shared" si="31"/>
        <v>Alvaro Hernandez|December</v>
      </c>
    </row>
    <row r="475" spans="1:34" hidden="1">
      <c r="A475" s="32">
        <v>2026</v>
      </c>
      <c r="B475" s="32" t="s">
        <v>97</v>
      </c>
      <c r="C475" s="32" t="s">
        <v>36</v>
      </c>
      <c r="D475" s="32" t="s">
        <v>47</v>
      </c>
      <c r="E475" s="33"/>
      <c r="F475" s="34" t="str">
        <f>IF(E475="","",IFERROR(VLOOKUP(E475,'Input &amp; Settings'!$F$5:$G$10,2,FALSE),""))</f>
        <v/>
      </c>
      <c r="G475" s="33"/>
      <c r="H475" s="33"/>
      <c r="I475" s="35"/>
      <c r="J475" s="33"/>
      <c r="K475" s="36"/>
      <c r="L475" s="35"/>
      <c r="M475" s="33"/>
      <c r="N475" s="33"/>
      <c r="O475" s="33"/>
      <c r="P475" s="33"/>
      <c r="Q475" s="37" t="str">
        <f>IF(G475="","",IFERROR(MIN(100,G475/'Input &amp; Settings'!$B$5*100),""))</f>
        <v/>
      </c>
      <c r="R475" s="37" t="str">
        <f>IF(H475="","",IFERROR(MIN(100,H475/'Input &amp; Settings'!$B$6*100),""))</f>
        <v/>
      </c>
      <c r="S475" s="37" t="str">
        <f>IF(I475="","",IFERROR(MIN(100,I475/'Input &amp; Settings'!$B$7*100),""))</f>
        <v/>
      </c>
      <c r="T475" s="37" t="str">
        <f>IF(J475="","",IFERROR(MIN(100,J475/'Input &amp; Settings'!$B$8*100),""))</f>
        <v/>
      </c>
      <c r="U475" s="37" t="str">
        <f>IF(K475="","",IFERROR(MIN(100,K475/'Input &amp; Settings'!$B$9*100),""))</f>
        <v/>
      </c>
      <c r="V475" s="37" t="str">
        <f>IF(L475="","",IFERROR(MIN(100,L475/'Input &amp; Settings'!$B$10*100),""))</f>
        <v/>
      </c>
      <c r="W475" s="37" t="str">
        <f>IF(M475="","",IFERROR(IF(M475&lt;='Input &amp; Settings'!$B$11,100,MAX(0,100-(M475-'Input &amp; Settings'!$B$11)*20)),""))</f>
        <v/>
      </c>
      <c r="X475" s="37" t="str">
        <f>IF(N475="","",IFERROR(MIN(100,N475/'Input &amp; Settings'!$B$12*100),""))</f>
        <v/>
      </c>
      <c r="Y475" s="37" t="str">
        <f>IF(O475="","",IFERROR(MIN(100,O475/'Input &amp; Settings'!$B$13*100),""))</f>
        <v/>
      </c>
      <c r="Z475" s="37" t="str">
        <f>IF(P475="","",IFERROR(IF(P475&lt;='Input &amp; Settings'!$B$14,100,MAX(0,100-(P475-'Input &amp; Settings'!$B$14)*20)),""))</f>
        <v/>
      </c>
      <c r="AA475" s="37" t="str">
        <f>IF(COUNTA(G475:P475)=0,"",ROUND(Q475*'Input &amp; Settings'!$C$5+R475*'Input &amp; Settings'!$C$6+S475*'Input &amp; Settings'!$C$7+T475*'Input &amp; Settings'!$C$8+U475*'Input &amp; Settings'!$C$9+V475*'Input &amp; Settings'!$C$10+W475*'Input &amp; Settings'!$C$11+X475*'Input &amp; Settings'!$C$12+Y475*'Input &amp; Settings'!$C$13+Z475*'Input &amp; Settings'!$C$14,1))</f>
        <v/>
      </c>
      <c r="AB475" s="38" t="str">
        <f>IF(OR(AA475="",E475=""),"",IFERROR(IF(AA475&gt;=VLOOKUP(E475,'Input &amp; Settings'!$F$5:$K$10,3,FALSE),"Outstanding",IF(AA475&gt;=VLOOKUP(E475,'Input &amp; Settings'!$F$5:$K$10,4,FALSE),"Exceeds Expectations",IF(AA475&gt;=VLOOKUP(E475,'Input &amp; Settings'!$F$5:$K$10,5,FALSE),"Meets Expectations",IF(AA475&gt;=VLOOKUP(E475,'Input &amp; Settings'!$F$5:$K$10,6,FALSE),"Needs Improvement","Performance Improvement Required")))),""))</f>
        <v/>
      </c>
      <c r="AC475" s="38" t="str">
        <f t="shared" si="28"/>
        <v/>
      </c>
      <c r="AD475" s="39"/>
      <c r="AE475" s="40"/>
      <c r="AF475" s="41" t="str">
        <f t="shared" si="29"/>
        <v/>
      </c>
      <c r="AG475" s="42" t="str">
        <f t="shared" si="30"/>
        <v/>
      </c>
      <c r="AH475" s="42" t="str">
        <f t="shared" si="31"/>
        <v>Sarah Clervil|December</v>
      </c>
    </row>
    <row r="476" spans="1:34" hidden="1">
      <c r="A476" s="32">
        <v>2026</v>
      </c>
      <c r="B476" s="32" t="s">
        <v>97</v>
      </c>
      <c r="C476" s="32" t="s">
        <v>36</v>
      </c>
      <c r="D476" s="32" t="s">
        <v>48</v>
      </c>
      <c r="E476" s="33"/>
      <c r="F476" s="34" t="str">
        <f>IF(E476="","",IFERROR(VLOOKUP(E476,'Input &amp; Settings'!$F$5:$G$10,2,FALSE),""))</f>
        <v/>
      </c>
      <c r="G476" s="33"/>
      <c r="H476" s="33"/>
      <c r="I476" s="35"/>
      <c r="J476" s="33"/>
      <c r="K476" s="36"/>
      <c r="L476" s="35"/>
      <c r="M476" s="33"/>
      <c r="N476" s="33"/>
      <c r="O476" s="33"/>
      <c r="P476" s="33"/>
      <c r="Q476" s="37" t="str">
        <f>IF(G476="","",IFERROR(MIN(100,G476/'Input &amp; Settings'!$B$5*100),""))</f>
        <v/>
      </c>
      <c r="R476" s="37" t="str">
        <f>IF(H476="","",IFERROR(MIN(100,H476/'Input &amp; Settings'!$B$6*100),""))</f>
        <v/>
      </c>
      <c r="S476" s="37" t="str">
        <f>IF(I476="","",IFERROR(MIN(100,I476/'Input &amp; Settings'!$B$7*100),""))</f>
        <v/>
      </c>
      <c r="T476" s="37" t="str">
        <f>IF(J476="","",IFERROR(MIN(100,J476/'Input &amp; Settings'!$B$8*100),""))</f>
        <v/>
      </c>
      <c r="U476" s="37" t="str">
        <f>IF(K476="","",IFERROR(MIN(100,K476/'Input &amp; Settings'!$B$9*100),""))</f>
        <v/>
      </c>
      <c r="V476" s="37" t="str">
        <f>IF(L476="","",IFERROR(MIN(100,L476/'Input &amp; Settings'!$B$10*100),""))</f>
        <v/>
      </c>
      <c r="W476" s="37" t="str">
        <f>IF(M476="","",IFERROR(IF(M476&lt;='Input &amp; Settings'!$B$11,100,MAX(0,100-(M476-'Input &amp; Settings'!$B$11)*20)),""))</f>
        <v/>
      </c>
      <c r="X476" s="37" t="str">
        <f>IF(N476="","",IFERROR(MIN(100,N476/'Input &amp; Settings'!$B$12*100),""))</f>
        <v/>
      </c>
      <c r="Y476" s="37" t="str">
        <f>IF(O476="","",IFERROR(MIN(100,O476/'Input &amp; Settings'!$B$13*100),""))</f>
        <v/>
      </c>
      <c r="Z476" s="37" t="str">
        <f>IF(P476="","",IFERROR(IF(P476&lt;='Input &amp; Settings'!$B$14,100,MAX(0,100-(P476-'Input &amp; Settings'!$B$14)*20)),""))</f>
        <v/>
      </c>
      <c r="AA476" s="37" t="str">
        <f>IF(COUNTA(G476:P476)=0,"",ROUND(Q476*'Input &amp; Settings'!$C$5+R476*'Input &amp; Settings'!$C$6+S476*'Input &amp; Settings'!$C$7+T476*'Input &amp; Settings'!$C$8+U476*'Input &amp; Settings'!$C$9+V476*'Input &amp; Settings'!$C$10+W476*'Input &amp; Settings'!$C$11+X476*'Input &amp; Settings'!$C$12+Y476*'Input &amp; Settings'!$C$13+Z476*'Input &amp; Settings'!$C$14,1))</f>
        <v/>
      </c>
      <c r="AB476" s="38" t="str">
        <f>IF(OR(AA476="",E476=""),"",IFERROR(IF(AA476&gt;=VLOOKUP(E476,'Input &amp; Settings'!$F$5:$K$10,3,FALSE),"Outstanding",IF(AA476&gt;=VLOOKUP(E476,'Input &amp; Settings'!$F$5:$K$10,4,FALSE),"Exceeds Expectations",IF(AA476&gt;=VLOOKUP(E476,'Input &amp; Settings'!$F$5:$K$10,5,FALSE),"Meets Expectations",IF(AA476&gt;=VLOOKUP(E476,'Input &amp; Settings'!$F$5:$K$10,6,FALSE),"Needs Improvement","Performance Improvement Required")))),""))</f>
        <v/>
      </c>
      <c r="AC476" s="38" t="str">
        <f t="shared" si="28"/>
        <v/>
      </c>
      <c r="AD476" s="39"/>
      <c r="AE476" s="40"/>
      <c r="AF476" s="41" t="str">
        <f t="shared" si="29"/>
        <v/>
      </c>
      <c r="AG476" s="42" t="str">
        <f t="shared" si="30"/>
        <v/>
      </c>
      <c r="AH476" s="42" t="str">
        <f t="shared" si="31"/>
        <v>Christopher Ovid|December</v>
      </c>
    </row>
    <row r="477" spans="1:34" hidden="1">
      <c r="A477" s="32">
        <v>2026</v>
      </c>
      <c r="B477" s="32" t="s">
        <v>97</v>
      </c>
      <c r="C477" s="32" t="s">
        <v>36</v>
      </c>
      <c r="D477" s="32" t="s">
        <v>49</v>
      </c>
      <c r="E477" s="33"/>
      <c r="F477" s="34" t="str">
        <f>IF(E477="","",IFERROR(VLOOKUP(E477,'Input &amp; Settings'!$F$5:$G$10,2,FALSE),""))</f>
        <v/>
      </c>
      <c r="G477" s="33"/>
      <c r="H477" s="33"/>
      <c r="I477" s="35"/>
      <c r="J477" s="33"/>
      <c r="K477" s="36"/>
      <c r="L477" s="35"/>
      <c r="M477" s="33"/>
      <c r="N477" s="33"/>
      <c r="O477" s="33"/>
      <c r="P477" s="33"/>
      <c r="Q477" s="37" t="str">
        <f>IF(G477="","",IFERROR(MIN(100,G477/'Input &amp; Settings'!$B$5*100),""))</f>
        <v/>
      </c>
      <c r="R477" s="37" t="str">
        <f>IF(H477="","",IFERROR(MIN(100,H477/'Input &amp; Settings'!$B$6*100),""))</f>
        <v/>
      </c>
      <c r="S477" s="37" t="str">
        <f>IF(I477="","",IFERROR(MIN(100,I477/'Input &amp; Settings'!$B$7*100),""))</f>
        <v/>
      </c>
      <c r="T477" s="37" t="str">
        <f>IF(J477="","",IFERROR(MIN(100,J477/'Input &amp; Settings'!$B$8*100),""))</f>
        <v/>
      </c>
      <c r="U477" s="37" t="str">
        <f>IF(K477="","",IFERROR(MIN(100,K477/'Input &amp; Settings'!$B$9*100),""))</f>
        <v/>
      </c>
      <c r="V477" s="37" t="str">
        <f>IF(L477="","",IFERROR(MIN(100,L477/'Input &amp; Settings'!$B$10*100),""))</f>
        <v/>
      </c>
      <c r="W477" s="37" t="str">
        <f>IF(M477="","",IFERROR(IF(M477&lt;='Input &amp; Settings'!$B$11,100,MAX(0,100-(M477-'Input &amp; Settings'!$B$11)*20)),""))</f>
        <v/>
      </c>
      <c r="X477" s="37" t="str">
        <f>IF(N477="","",IFERROR(MIN(100,N477/'Input &amp; Settings'!$B$12*100),""))</f>
        <v/>
      </c>
      <c r="Y477" s="37" t="str">
        <f>IF(O477="","",IFERROR(MIN(100,O477/'Input &amp; Settings'!$B$13*100),""))</f>
        <v/>
      </c>
      <c r="Z477" s="37" t="str">
        <f>IF(P477="","",IFERROR(IF(P477&lt;='Input &amp; Settings'!$B$14,100,MAX(0,100-(P477-'Input &amp; Settings'!$B$14)*20)),""))</f>
        <v/>
      </c>
      <c r="AA477" s="37" t="str">
        <f>IF(COUNTA(G477:P477)=0,"",ROUND(Q477*'Input &amp; Settings'!$C$5+R477*'Input &amp; Settings'!$C$6+S477*'Input &amp; Settings'!$C$7+T477*'Input &amp; Settings'!$C$8+U477*'Input &amp; Settings'!$C$9+V477*'Input &amp; Settings'!$C$10+W477*'Input &amp; Settings'!$C$11+X477*'Input &amp; Settings'!$C$12+Y477*'Input &amp; Settings'!$C$13+Z477*'Input &amp; Settings'!$C$14,1))</f>
        <v/>
      </c>
      <c r="AB477" s="38" t="str">
        <f>IF(OR(AA477="",E477=""),"",IFERROR(IF(AA477&gt;=VLOOKUP(E477,'Input &amp; Settings'!$F$5:$K$10,3,FALSE),"Outstanding",IF(AA477&gt;=VLOOKUP(E477,'Input &amp; Settings'!$F$5:$K$10,4,FALSE),"Exceeds Expectations",IF(AA477&gt;=VLOOKUP(E477,'Input &amp; Settings'!$F$5:$K$10,5,FALSE),"Meets Expectations",IF(AA477&gt;=VLOOKUP(E477,'Input &amp; Settings'!$F$5:$K$10,6,FALSE),"Needs Improvement","Performance Improvement Required")))),""))</f>
        <v/>
      </c>
      <c r="AC477" s="38" t="str">
        <f t="shared" si="28"/>
        <v/>
      </c>
      <c r="AD477" s="39"/>
      <c r="AE477" s="40"/>
      <c r="AF477" s="41" t="str">
        <f t="shared" si="29"/>
        <v/>
      </c>
      <c r="AG477" s="42" t="str">
        <f t="shared" si="30"/>
        <v/>
      </c>
      <c r="AH477" s="42" t="str">
        <f t="shared" si="31"/>
        <v>Rafael Godinez|December</v>
      </c>
    </row>
    <row r="478" spans="1:34" hidden="1">
      <c r="A478" s="32">
        <v>2026</v>
      </c>
      <c r="B478" s="32" t="s">
        <v>97</v>
      </c>
      <c r="C478" s="32" t="s">
        <v>36</v>
      </c>
      <c r="D478" s="32" t="s">
        <v>50</v>
      </c>
      <c r="E478" s="33"/>
      <c r="F478" s="34" t="str">
        <f>IF(E478="","",IFERROR(VLOOKUP(E478,'Input &amp; Settings'!$F$5:$G$10,2,FALSE),""))</f>
        <v/>
      </c>
      <c r="G478" s="33"/>
      <c r="H478" s="33"/>
      <c r="I478" s="35"/>
      <c r="J478" s="33"/>
      <c r="K478" s="36"/>
      <c r="L478" s="35"/>
      <c r="M478" s="33"/>
      <c r="N478" s="33"/>
      <c r="O478" s="33"/>
      <c r="P478" s="33"/>
      <c r="Q478" s="37" t="str">
        <f>IF(G478="","",IFERROR(MIN(100,G478/'Input &amp; Settings'!$B$5*100),""))</f>
        <v/>
      </c>
      <c r="R478" s="37" t="str">
        <f>IF(H478="","",IFERROR(MIN(100,H478/'Input &amp; Settings'!$B$6*100),""))</f>
        <v/>
      </c>
      <c r="S478" s="37" t="str">
        <f>IF(I478="","",IFERROR(MIN(100,I478/'Input &amp; Settings'!$B$7*100),""))</f>
        <v/>
      </c>
      <c r="T478" s="37" t="str">
        <f>IF(J478="","",IFERROR(MIN(100,J478/'Input &amp; Settings'!$B$8*100),""))</f>
        <v/>
      </c>
      <c r="U478" s="37" t="str">
        <f>IF(K478="","",IFERROR(MIN(100,K478/'Input &amp; Settings'!$B$9*100),""))</f>
        <v/>
      </c>
      <c r="V478" s="37" t="str">
        <f>IF(L478="","",IFERROR(MIN(100,L478/'Input &amp; Settings'!$B$10*100),""))</f>
        <v/>
      </c>
      <c r="W478" s="37" t="str">
        <f>IF(M478="","",IFERROR(IF(M478&lt;='Input &amp; Settings'!$B$11,100,MAX(0,100-(M478-'Input &amp; Settings'!$B$11)*20)),""))</f>
        <v/>
      </c>
      <c r="X478" s="37" t="str">
        <f>IF(N478="","",IFERROR(MIN(100,N478/'Input &amp; Settings'!$B$12*100),""))</f>
        <v/>
      </c>
      <c r="Y478" s="37" t="str">
        <f>IF(O478="","",IFERROR(MIN(100,O478/'Input &amp; Settings'!$B$13*100),""))</f>
        <v/>
      </c>
      <c r="Z478" s="37" t="str">
        <f>IF(P478="","",IFERROR(IF(P478&lt;='Input &amp; Settings'!$B$14,100,MAX(0,100-(P478-'Input &amp; Settings'!$B$14)*20)),""))</f>
        <v/>
      </c>
      <c r="AA478" s="37" t="str">
        <f>IF(COUNTA(G478:P478)=0,"",ROUND(Q478*'Input &amp; Settings'!$C$5+R478*'Input &amp; Settings'!$C$6+S478*'Input &amp; Settings'!$C$7+T478*'Input &amp; Settings'!$C$8+U478*'Input &amp; Settings'!$C$9+V478*'Input &amp; Settings'!$C$10+W478*'Input &amp; Settings'!$C$11+X478*'Input &amp; Settings'!$C$12+Y478*'Input &amp; Settings'!$C$13+Z478*'Input &amp; Settings'!$C$14,1))</f>
        <v/>
      </c>
      <c r="AB478" s="38" t="str">
        <f>IF(OR(AA478="",E478=""),"",IFERROR(IF(AA478&gt;=VLOOKUP(E478,'Input &amp; Settings'!$F$5:$K$10,3,FALSE),"Outstanding",IF(AA478&gt;=VLOOKUP(E478,'Input &amp; Settings'!$F$5:$K$10,4,FALSE),"Exceeds Expectations",IF(AA478&gt;=VLOOKUP(E478,'Input &amp; Settings'!$F$5:$K$10,5,FALSE),"Meets Expectations",IF(AA478&gt;=VLOOKUP(E478,'Input &amp; Settings'!$F$5:$K$10,6,FALSE),"Needs Improvement","Performance Improvement Required")))),""))</f>
        <v/>
      </c>
      <c r="AC478" s="38" t="str">
        <f t="shared" si="28"/>
        <v/>
      </c>
      <c r="AD478" s="39"/>
      <c r="AE478" s="40"/>
      <c r="AF478" s="41" t="str">
        <f t="shared" si="29"/>
        <v/>
      </c>
      <c r="AG478" s="42" t="str">
        <f t="shared" si="30"/>
        <v/>
      </c>
      <c r="AH478" s="42" t="str">
        <f t="shared" si="31"/>
        <v>Dennis Mayorga|December</v>
      </c>
    </row>
    <row r="479" spans="1:34" hidden="1">
      <c r="A479" s="32">
        <v>2026</v>
      </c>
      <c r="B479" s="32" t="s">
        <v>97</v>
      </c>
      <c r="C479" s="32" t="s">
        <v>36</v>
      </c>
      <c r="D479" s="32" t="s">
        <v>51</v>
      </c>
      <c r="E479" s="33"/>
      <c r="F479" s="34" t="str">
        <f>IF(E479="","",IFERROR(VLOOKUP(E479,'Input &amp; Settings'!$F$5:$G$10,2,FALSE),""))</f>
        <v/>
      </c>
      <c r="G479" s="33"/>
      <c r="H479" s="33"/>
      <c r="I479" s="35"/>
      <c r="J479" s="33"/>
      <c r="K479" s="36"/>
      <c r="L479" s="35"/>
      <c r="M479" s="33"/>
      <c r="N479" s="33"/>
      <c r="O479" s="33"/>
      <c r="P479" s="33"/>
      <c r="Q479" s="37" t="str">
        <f>IF(G479="","",IFERROR(MIN(100,G479/'Input &amp; Settings'!$B$5*100),""))</f>
        <v/>
      </c>
      <c r="R479" s="37" t="str">
        <f>IF(H479="","",IFERROR(MIN(100,H479/'Input &amp; Settings'!$B$6*100),""))</f>
        <v/>
      </c>
      <c r="S479" s="37" t="str">
        <f>IF(I479="","",IFERROR(MIN(100,I479/'Input &amp; Settings'!$B$7*100),""))</f>
        <v/>
      </c>
      <c r="T479" s="37" t="str">
        <f>IF(J479="","",IFERROR(MIN(100,J479/'Input &amp; Settings'!$B$8*100),""))</f>
        <v/>
      </c>
      <c r="U479" s="37" t="str">
        <f>IF(K479="","",IFERROR(MIN(100,K479/'Input &amp; Settings'!$B$9*100),""))</f>
        <v/>
      </c>
      <c r="V479" s="37" t="str">
        <f>IF(L479="","",IFERROR(MIN(100,L479/'Input &amp; Settings'!$B$10*100),""))</f>
        <v/>
      </c>
      <c r="W479" s="37" t="str">
        <f>IF(M479="","",IFERROR(IF(M479&lt;='Input &amp; Settings'!$B$11,100,MAX(0,100-(M479-'Input &amp; Settings'!$B$11)*20)),""))</f>
        <v/>
      </c>
      <c r="X479" s="37" t="str">
        <f>IF(N479="","",IFERROR(MIN(100,N479/'Input &amp; Settings'!$B$12*100),""))</f>
        <v/>
      </c>
      <c r="Y479" s="37" t="str">
        <f>IF(O479="","",IFERROR(MIN(100,O479/'Input &amp; Settings'!$B$13*100),""))</f>
        <v/>
      </c>
      <c r="Z479" s="37" t="str">
        <f>IF(P479="","",IFERROR(IF(P479&lt;='Input &amp; Settings'!$B$14,100,MAX(0,100-(P479-'Input &amp; Settings'!$B$14)*20)),""))</f>
        <v/>
      </c>
      <c r="AA479" s="37" t="str">
        <f>IF(COUNTA(G479:P479)=0,"",ROUND(Q479*'Input &amp; Settings'!$C$5+R479*'Input &amp; Settings'!$C$6+S479*'Input &amp; Settings'!$C$7+T479*'Input &amp; Settings'!$C$8+U479*'Input &amp; Settings'!$C$9+V479*'Input &amp; Settings'!$C$10+W479*'Input &amp; Settings'!$C$11+X479*'Input &amp; Settings'!$C$12+Y479*'Input &amp; Settings'!$C$13+Z479*'Input &amp; Settings'!$C$14,1))</f>
        <v/>
      </c>
      <c r="AB479" s="38" t="str">
        <f>IF(OR(AA479="",E479=""),"",IFERROR(IF(AA479&gt;=VLOOKUP(E479,'Input &amp; Settings'!$F$5:$K$10,3,FALSE),"Outstanding",IF(AA479&gt;=VLOOKUP(E479,'Input &amp; Settings'!$F$5:$K$10,4,FALSE),"Exceeds Expectations",IF(AA479&gt;=VLOOKUP(E479,'Input &amp; Settings'!$F$5:$K$10,5,FALSE),"Meets Expectations",IF(AA479&gt;=VLOOKUP(E479,'Input &amp; Settings'!$F$5:$K$10,6,FALSE),"Needs Improvement","Performance Improvement Required")))),""))</f>
        <v/>
      </c>
      <c r="AC479" s="38" t="str">
        <f t="shared" si="28"/>
        <v/>
      </c>
      <c r="AD479" s="39"/>
      <c r="AE479" s="40"/>
      <c r="AF479" s="41" t="str">
        <f t="shared" si="29"/>
        <v/>
      </c>
      <c r="AG479" s="42" t="str">
        <f t="shared" si="30"/>
        <v/>
      </c>
      <c r="AH479" s="42" t="str">
        <f t="shared" si="31"/>
        <v>Jose Reyes-Navolskyi (Ivan)|December</v>
      </c>
    </row>
    <row r="480" spans="1:34" hidden="1">
      <c r="A480" s="32">
        <v>2026</v>
      </c>
      <c r="B480" s="32" t="s">
        <v>97</v>
      </c>
      <c r="C480" s="32" t="s">
        <v>36</v>
      </c>
      <c r="D480" s="32" t="s">
        <v>52</v>
      </c>
      <c r="E480" s="33"/>
      <c r="F480" s="34" t="str">
        <f>IF(E480="","",IFERROR(VLOOKUP(E480,'Input &amp; Settings'!$F$5:$G$10,2,FALSE),""))</f>
        <v/>
      </c>
      <c r="G480" s="33"/>
      <c r="H480" s="33"/>
      <c r="I480" s="35"/>
      <c r="J480" s="33"/>
      <c r="K480" s="36"/>
      <c r="L480" s="35"/>
      <c r="M480" s="33"/>
      <c r="N480" s="33"/>
      <c r="O480" s="33"/>
      <c r="P480" s="33"/>
      <c r="Q480" s="37" t="str">
        <f>IF(G480="","",IFERROR(MIN(100,G480/'Input &amp; Settings'!$B$5*100),""))</f>
        <v/>
      </c>
      <c r="R480" s="37" t="str">
        <f>IF(H480="","",IFERROR(MIN(100,H480/'Input &amp; Settings'!$B$6*100),""))</f>
        <v/>
      </c>
      <c r="S480" s="37" t="str">
        <f>IF(I480="","",IFERROR(MIN(100,I480/'Input &amp; Settings'!$B$7*100),""))</f>
        <v/>
      </c>
      <c r="T480" s="37" t="str">
        <f>IF(J480="","",IFERROR(MIN(100,J480/'Input &amp; Settings'!$B$8*100),""))</f>
        <v/>
      </c>
      <c r="U480" s="37" t="str">
        <f>IF(K480="","",IFERROR(MIN(100,K480/'Input &amp; Settings'!$B$9*100),""))</f>
        <v/>
      </c>
      <c r="V480" s="37" t="str">
        <f>IF(L480="","",IFERROR(MIN(100,L480/'Input &amp; Settings'!$B$10*100),""))</f>
        <v/>
      </c>
      <c r="W480" s="37" t="str">
        <f>IF(M480="","",IFERROR(IF(M480&lt;='Input &amp; Settings'!$B$11,100,MAX(0,100-(M480-'Input &amp; Settings'!$B$11)*20)),""))</f>
        <v/>
      </c>
      <c r="X480" s="37" t="str">
        <f>IF(N480="","",IFERROR(MIN(100,N480/'Input &amp; Settings'!$B$12*100),""))</f>
        <v/>
      </c>
      <c r="Y480" s="37" t="str">
        <f>IF(O480="","",IFERROR(MIN(100,O480/'Input &amp; Settings'!$B$13*100),""))</f>
        <v/>
      </c>
      <c r="Z480" s="37" t="str">
        <f>IF(P480="","",IFERROR(IF(P480&lt;='Input &amp; Settings'!$B$14,100,MAX(0,100-(P480-'Input &amp; Settings'!$B$14)*20)),""))</f>
        <v/>
      </c>
      <c r="AA480" s="37" t="str">
        <f>IF(COUNTA(G480:P480)=0,"",ROUND(Q480*'Input &amp; Settings'!$C$5+R480*'Input &amp; Settings'!$C$6+S480*'Input &amp; Settings'!$C$7+T480*'Input &amp; Settings'!$C$8+U480*'Input &amp; Settings'!$C$9+V480*'Input &amp; Settings'!$C$10+W480*'Input &amp; Settings'!$C$11+X480*'Input &amp; Settings'!$C$12+Y480*'Input &amp; Settings'!$C$13+Z480*'Input &amp; Settings'!$C$14,1))</f>
        <v/>
      </c>
      <c r="AB480" s="38" t="str">
        <f>IF(OR(AA480="",E480=""),"",IFERROR(IF(AA480&gt;=VLOOKUP(E480,'Input &amp; Settings'!$F$5:$K$10,3,FALSE),"Outstanding",IF(AA480&gt;=VLOOKUP(E480,'Input &amp; Settings'!$F$5:$K$10,4,FALSE),"Exceeds Expectations",IF(AA480&gt;=VLOOKUP(E480,'Input &amp; Settings'!$F$5:$K$10,5,FALSE),"Meets Expectations",IF(AA480&gt;=VLOOKUP(E480,'Input &amp; Settings'!$F$5:$K$10,6,FALSE),"Needs Improvement","Performance Improvement Required")))),""))</f>
        <v/>
      </c>
      <c r="AC480" s="38" t="str">
        <f t="shared" si="28"/>
        <v/>
      </c>
      <c r="AD480" s="39"/>
      <c r="AE480" s="40"/>
      <c r="AF480" s="41" t="str">
        <f t="shared" si="29"/>
        <v/>
      </c>
      <c r="AG480" s="42" t="str">
        <f t="shared" si="30"/>
        <v/>
      </c>
      <c r="AH480" s="42" t="str">
        <f t="shared" si="31"/>
        <v>Jonathan Davila|December</v>
      </c>
    </row>
    <row r="481" spans="1:34" hidden="1">
      <c r="A481" s="32">
        <v>2026</v>
      </c>
      <c r="B481" s="32" t="s">
        <v>97</v>
      </c>
      <c r="C481" s="32" t="s">
        <v>53</v>
      </c>
      <c r="D481" s="32" t="s">
        <v>54</v>
      </c>
      <c r="E481" s="33"/>
      <c r="F481" s="34" t="str">
        <f>IF(E481="","",IFERROR(VLOOKUP(E481,'Input &amp; Settings'!$F$5:$G$10,2,FALSE),""))</f>
        <v/>
      </c>
      <c r="G481" s="33"/>
      <c r="H481" s="33"/>
      <c r="I481" s="35"/>
      <c r="J481" s="33"/>
      <c r="K481" s="36"/>
      <c r="L481" s="35"/>
      <c r="M481" s="33"/>
      <c r="N481" s="33"/>
      <c r="O481" s="33"/>
      <c r="P481" s="33"/>
      <c r="Q481" s="37" t="str">
        <f>IF(G481="","",IFERROR(MIN(100,G481/'Input &amp; Settings'!$B$5*100),""))</f>
        <v/>
      </c>
      <c r="R481" s="37" t="str">
        <f>IF(H481="","",IFERROR(MIN(100,H481/'Input &amp; Settings'!$B$6*100),""))</f>
        <v/>
      </c>
      <c r="S481" s="37" t="str">
        <f>IF(I481="","",IFERROR(MIN(100,I481/'Input &amp; Settings'!$B$7*100),""))</f>
        <v/>
      </c>
      <c r="T481" s="37" t="str">
        <f>IF(J481="","",IFERROR(MIN(100,J481/'Input &amp; Settings'!$B$8*100),""))</f>
        <v/>
      </c>
      <c r="U481" s="37" t="str">
        <f>IF(K481="","",IFERROR(MIN(100,K481/'Input &amp; Settings'!$B$9*100),""))</f>
        <v/>
      </c>
      <c r="V481" s="37" t="str">
        <f>IF(L481="","",IFERROR(MIN(100,L481/'Input &amp; Settings'!$B$10*100),""))</f>
        <v/>
      </c>
      <c r="W481" s="37" t="str">
        <f>IF(M481="","",IFERROR(IF(M481&lt;='Input &amp; Settings'!$B$11,100,MAX(0,100-(M481-'Input &amp; Settings'!$B$11)*20)),""))</f>
        <v/>
      </c>
      <c r="X481" s="37" t="str">
        <f>IF(N481="","",IFERROR(MIN(100,N481/'Input &amp; Settings'!$B$12*100),""))</f>
        <v/>
      </c>
      <c r="Y481" s="37" t="str">
        <f>IF(O481="","",IFERROR(MIN(100,O481/'Input &amp; Settings'!$B$13*100),""))</f>
        <v/>
      </c>
      <c r="Z481" s="37" t="str">
        <f>IF(P481="","",IFERROR(IF(P481&lt;='Input &amp; Settings'!$B$14,100,MAX(0,100-(P481-'Input &amp; Settings'!$B$14)*20)),""))</f>
        <v/>
      </c>
      <c r="AA481" s="37" t="str">
        <f>IF(COUNTA(G481:P481)=0,"",ROUND(Q481*'Input &amp; Settings'!$C$5+R481*'Input &amp; Settings'!$C$6+S481*'Input &amp; Settings'!$C$7+T481*'Input &amp; Settings'!$C$8+U481*'Input &amp; Settings'!$C$9+V481*'Input &amp; Settings'!$C$10+W481*'Input &amp; Settings'!$C$11+X481*'Input &amp; Settings'!$C$12+Y481*'Input &amp; Settings'!$C$13+Z481*'Input &amp; Settings'!$C$14,1))</f>
        <v/>
      </c>
      <c r="AB481" s="38" t="str">
        <f>IF(OR(AA481="",E481=""),"",IFERROR(IF(AA481&gt;=VLOOKUP(E481,'Input &amp; Settings'!$F$5:$K$10,3,FALSE),"Outstanding",IF(AA481&gt;=VLOOKUP(E481,'Input &amp; Settings'!$F$5:$K$10,4,FALSE),"Exceeds Expectations",IF(AA481&gt;=VLOOKUP(E481,'Input &amp; Settings'!$F$5:$K$10,5,FALSE),"Meets Expectations",IF(AA481&gt;=VLOOKUP(E481,'Input &amp; Settings'!$F$5:$K$10,6,FALSE),"Needs Improvement","Performance Improvement Required")))),""))</f>
        <v/>
      </c>
      <c r="AC481" s="38" t="str">
        <f t="shared" si="28"/>
        <v/>
      </c>
      <c r="AD481" s="39"/>
      <c r="AE481" s="40"/>
      <c r="AF481" s="41" t="str">
        <f t="shared" si="29"/>
        <v/>
      </c>
      <c r="AG481" s="42" t="str">
        <f t="shared" si="30"/>
        <v/>
      </c>
      <c r="AH481" s="42" t="str">
        <f t="shared" si="31"/>
        <v>Kevin Luburd|December</v>
      </c>
    </row>
    <row r="482" spans="1:34" hidden="1">
      <c r="A482" s="32">
        <v>2026</v>
      </c>
      <c r="B482" s="32" t="s">
        <v>97</v>
      </c>
      <c r="C482" s="32" t="s">
        <v>53</v>
      </c>
      <c r="D482" s="32" t="s">
        <v>55</v>
      </c>
      <c r="E482" s="33"/>
      <c r="F482" s="34" t="str">
        <f>IF(E482="","",IFERROR(VLOOKUP(E482,'Input &amp; Settings'!$F$5:$G$10,2,FALSE),""))</f>
        <v/>
      </c>
      <c r="G482" s="33"/>
      <c r="H482" s="33"/>
      <c r="I482" s="35"/>
      <c r="J482" s="33"/>
      <c r="K482" s="36"/>
      <c r="L482" s="35"/>
      <c r="M482" s="33"/>
      <c r="N482" s="33"/>
      <c r="O482" s="33"/>
      <c r="P482" s="33"/>
      <c r="Q482" s="37" t="str">
        <f>IF(G482="","",IFERROR(MIN(100,G482/'Input &amp; Settings'!$B$5*100),""))</f>
        <v/>
      </c>
      <c r="R482" s="37" t="str">
        <f>IF(H482="","",IFERROR(MIN(100,H482/'Input &amp; Settings'!$B$6*100),""))</f>
        <v/>
      </c>
      <c r="S482" s="37" t="str">
        <f>IF(I482="","",IFERROR(MIN(100,I482/'Input &amp; Settings'!$B$7*100),""))</f>
        <v/>
      </c>
      <c r="T482" s="37" t="str">
        <f>IF(J482="","",IFERROR(MIN(100,J482/'Input &amp; Settings'!$B$8*100),""))</f>
        <v/>
      </c>
      <c r="U482" s="37" t="str">
        <f>IF(K482="","",IFERROR(MIN(100,K482/'Input &amp; Settings'!$B$9*100),""))</f>
        <v/>
      </c>
      <c r="V482" s="37" t="str">
        <f>IF(L482="","",IFERROR(MIN(100,L482/'Input &amp; Settings'!$B$10*100),""))</f>
        <v/>
      </c>
      <c r="W482" s="37" t="str">
        <f>IF(M482="","",IFERROR(IF(M482&lt;='Input &amp; Settings'!$B$11,100,MAX(0,100-(M482-'Input &amp; Settings'!$B$11)*20)),""))</f>
        <v/>
      </c>
      <c r="X482" s="37" t="str">
        <f>IF(N482="","",IFERROR(MIN(100,N482/'Input &amp; Settings'!$B$12*100),""))</f>
        <v/>
      </c>
      <c r="Y482" s="37" t="str">
        <f>IF(O482="","",IFERROR(MIN(100,O482/'Input &amp; Settings'!$B$13*100),""))</f>
        <v/>
      </c>
      <c r="Z482" s="37" t="str">
        <f>IF(P482="","",IFERROR(IF(P482&lt;='Input &amp; Settings'!$B$14,100,MAX(0,100-(P482-'Input &amp; Settings'!$B$14)*20)),""))</f>
        <v/>
      </c>
      <c r="AA482" s="37" t="str">
        <f>IF(COUNTA(G482:P482)=0,"",ROUND(Q482*'Input &amp; Settings'!$C$5+R482*'Input &amp; Settings'!$C$6+S482*'Input &amp; Settings'!$C$7+T482*'Input &amp; Settings'!$C$8+U482*'Input &amp; Settings'!$C$9+V482*'Input &amp; Settings'!$C$10+W482*'Input &amp; Settings'!$C$11+X482*'Input &amp; Settings'!$C$12+Y482*'Input &amp; Settings'!$C$13+Z482*'Input &amp; Settings'!$C$14,1))</f>
        <v/>
      </c>
      <c r="AB482" s="38" t="str">
        <f>IF(OR(AA482="",E482=""),"",IFERROR(IF(AA482&gt;=VLOOKUP(E482,'Input &amp; Settings'!$F$5:$K$10,3,FALSE),"Outstanding",IF(AA482&gt;=VLOOKUP(E482,'Input &amp; Settings'!$F$5:$K$10,4,FALSE),"Exceeds Expectations",IF(AA482&gt;=VLOOKUP(E482,'Input &amp; Settings'!$F$5:$K$10,5,FALSE),"Meets Expectations",IF(AA482&gt;=VLOOKUP(E482,'Input &amp; Settings'!$F$5:$K$10,6,FALSE),"Needs Improvement","Performance Improvement Required")))),""))</f>
        <v/>
      </c>
      <c r="AC482" s="38" t="str">
        <f t="shared" si="28"/>
        <v/>
      </c>
      <c r="AD482" s="39"/>
      <c r="AE482" s="40"/>
      <c r="AF482" s="41" t="str">
        <f t="shared" si="29"/>
        <v/>
      </c>
      <c r="AG482" s="42" t="str">
        <f t="shared" si="30"/>
        <v/>
      </c>
      <c r="AH482" s="42" t="str">
        <f t="shared" si="31"/>
        <v>Anthony Thompson|December</v>
      </c>
    </row>
    <row r="483" spans="1:34" hidden="1">
      <c r="A483" s="32">
        <v>2026</v>
      </c>
      <c r="B483" s="32" t="s">
        <v>97</v>
      </c>
      <c r="C483" s="32" t="s">
        <v>53</v>
      </c>
      <c r="D483" s="32" t="s">
        <v>56</v>
      </c>
      <c r="E483" s="33"/>
      <c r="F483" s="34" t="str">
        <f>IF(E483="","",IFERROR(VLOOKUP(E483,'Input &amp; Settings'!$F$5:$G$10,2,FALSE),""))</f>
        <v/>
      </c>
      <c r="G483" s="33"/>
      <c r="H483" s="33"/>
      <c r="I483" s="35"/>
      <c r="J483" s="33"/>
      <c r="K483" s="36"/>
      <c r="L483" s="35"/>
      <c r="M483" s="33"/>
      <c r="N483" s="33"/>
      <c r="O483" s="33"/>
      <c r="P483" s="33"/>
      <c r="Q483" s="37" t="str">
        <f>IF(G483="","",IFERROR(MIN(100,G483/'Input &amp; Settings'!$B$5*100),""))</f>
        <v/>
      </c>
      <c r="R483" s="37" t="str">
        <f>IF(H483="","",IFERROR(MIN(100,H483/'Input &amp; Settings'!$B$6*100),""))</f>
        <v/>
      </c>
      <c r="S483" s="37" t="str">
        <f>IF(I483="","",IFERROR(MIN(100,I483/'Input &amp; Settings'!$B$7*100),""))</f>
        <v/>
      </c>
      <c r="T483" s="37" t="str">
        <f>IF(J483="","",IFERROR(MIN(100,J483/'Input &amp; Settings'!$B$8*100),""))</f>
        <v/>
      </c>
      <c r="U483" s="37" t="str">
        <f>IF(K483="","",IFERROR(MIN(100,K483/'Input &amp; Settings'!$B$9*100),""))</f>
        <v/>
      </c>
      <c r="V483" s="37" t="str">
        <f>IF(L483="","",IFERROR(MIN(100,L483/'Input &amp; Settings'!$B$10*100),""))</f>
        <v/>
      </c>
      <c r="W483" s="37" t="str">
        <f>IF(M483="","",IFERROR(IF(M483&lt;='Input &amp; Settings'!$B$11,100,MAX(0,100-(M483-'Input &amp; Settings'!$B$11)*20)),""))</f>
        <v/>
      </c>
      <c r="X483" s="37" t="str">
        <f>IF(N483="","",IFERROR(MIN(100,N483/'Input &amp; Settings'!$B$12*100),""))</f>
        <v/>
      </c>
      <c r="Y483" s="37" t="str">
        <f>IF(O483="","",IFERROR(MIN(100,O483/'Input &amp; Settings'!$B$13*100),""))</f>
        <v/>
      </c>
      <c r="Z483" s="37" t="str">
        <f>IF(P483="","",IFERROR(IF(P483&lt;='Input &amp; Settings'!$B$14,100,MAX(0,100-(P483-'Input &amp; Settings'!$B$14)*20)),""))</f>
        <v/>
      </c>
      <c r="AA483" s="37" t="str">
        <f>IF(COUNTA(G483:P483)=0,"",ROUND(Q483*'Input &amp; Settings'!$C$5+R483*'Input &amp; Settings'!$C$6+S483*'Input &amp; Settings'!$C$7+T483*'Input &amp; Settings'!$C$8+U483*'Input &amp; Settings'!$C$9+V483*'Input &amp; Settings'!$C$10+W483*'Input &amp; Settings'!$C$11+X483*'Input &amp; Settings'!$C$12+Y483*'Input &amp; Settings'!$C$13+Z483*'Input &amp; Settings'!$C$14,1))</f>
        <v/>
      </c>
      <c r="AB483" s="38" t="str">
        <f>IF(OR(AA483="",E483=""),"",IFERROR(IF(AA483&gt;=VLOOKUP(E483,'Input &amp; Settings'!$F$5:$K$10,3,FALSE),"Outstanding",IF(AA483&gt;=VLOOKUP(E483,'Input &amp; Settings'!$F$5:$K$10,4,FALSE),"Exceeds Expectations",IF(AA483&gt;=VLOOKUP(E483,'Input &amp; Settings'!$F$5:$K$10,5,FALSE),"Meets Expectations",IF(AA483&gt;=VLOOKUP(E483,'Input &amp; Settings'!$F$5:$K$10,6,FALSE),"Needs Improvement","Performance Improvement Required")))),""))</f>
        <v/>
      </c>
      <c r="AC483" s="38" t="str">
        <f t="shared" si="28"/>
        <v/>
      </c>
      <c r="AD483" s="39"/>
      <c r="AE483" s="40"/>
      <c r="AF483" s="41" t="str">
        <f t="shared" si="29"/>
        <v/>
      </c>
      <c r="AG483" s="42" t="str">
        <f t="shared" si="30"/>
        <v/>
      </c>
      <c r="AH483" s="42" t="str">
        <f t="shared" si="31"/>
        <v>Shamar Modeste|December</v>
      </c>
    </row>
    <row r="484" spans="1:34" hidden="1">
      <c r="A484" s="32">
        <v>2026</v>
      </c>
      <c r="B484" s="32" t="s">
        <v>97</v>
      </c>
      <c r="C484" s="32" t="s">
        <v>53</v>
      </c>
      <c r="D484" s="32" t="s">
        <v>57</v>
      </c>
      <c r="E484" s="33"/>
      <c r="F484" s="34" t="str">
        <f>IF(E484="","",IFERROR(VLOOKUP(E484,'Input &amp; Settings'!$F$5:$G$10,2,FALSE),""))</f>
        <v/>
      </c>
      <c r="G484" s="33"/>
      <c r="H484" s="33"/>
      <c r="I484" s="35"/>
      <c r="J484" s="33"/>
      <c r="K484" s="36"/>
      <c r="L484" s="35"/>
      <c r="M484" s="33"/>
      <c r="N484" s="33"/>
      <c r="O484" s="33"/>
      <c r="P484" s="33"/>
      <c r="Q484" s="37" t="str">
        <f>IF(G484="","",IFERROR(MIN(100,G484/'Input &amp; Settings'!$B$5*100),""))</f>
        <v/>
      </c>
      <c r="R484" s="37" t="str">
        <f>IF(H484="","",IFERROR(MIN(100,H484/'Input &amp; Settings'!$B$6*100),""))</f>
        <v/>
      </c>
      <c r="S484" s="37" t="str">
        <f>IF(I484="","",IFERROR(MIN(100,I484/'Input &amp; Settings'!$B$7*100),""))</f>
        <v/>
      </c>
      <c r="T484" s="37" t="str">
        <f>IF(J484="","",IFERROR(MIN(100,J484/'Input &amp; Settings'!$B$8*100),""))</f>
        <v/>
      </c>
      <c r="U484" s="37" t="str">
        <f>IF(K484="","",IFERROR(MIN(100,K484/'Input &amp; Settings'!$B$9*100),""))</f>
        <v/>
      </c>
      <c r="V484" s="37" t="str">
        <f>IF(L484="","",IFERROR(MIN(100,L484/'Input &amp; Settings'!$B$10*100),""))</f>
        <v/>
      </c>
      <c r="W484" s="37" t="str">
        <f>IF(M484="","",IFERROR(IF(M484&lt;='Input &amp; Settings'!$B$11,100,MAX(0,100-(M484-'Input &amp; Settings'!$B$11)*20)),""))</f>
        <v/>
      </c>
      <c r="X484" s="37" t="str">
        <f>IF(N484="","",IFERROR(MIN(100,N484/'Input &amp; Settings'!$B$12*100),""))</f>
        <v/>
      </c>
      <c r="Y484" s="37" t="str">
        <f>IF(O484="","",IFERROR(MIN(100,O484/'Input &amp; Settings'!$B$13*100),""))</f>
        <v/>
      </c>
      <c r="Z484" s="37" t="str">
        <f>IF(P484="","",IFERROR(IF(P484&lt;='Input &amp; Settings'!$B$14,100,MAX(0,100-(P484-'Input &amp; Settings'!$B$14)*20)),""))</f>
        <v/>
      </c>
      <c r="AA484" s="37" t="str">
        <f>IF(COUNTA(G484:P484)=0,"",ROUND(Q484*'Input &amp; Settings'!$C$5+R484*'Input &amp; Settings'!$C$6+S484*'Input &amp; Settings'!$C$7+T484*'Input &amp; Settings'!$C$8+U484*'Input &amp; Settings'!$C$9+V484*'Input &amp; Settings'!$C$10+W484*'Input &amp; Settings'!$C$11+X484*'Input &amp; Settings'!$C$12+Y484*'Input &amp; Settings'!$C$13+Z484*'Input &amp; Settings'!$C$14,1))</f>
        <v/>
      </c>
      <c r="AB484" s="38" t="str">
        <f>IF(OR(AA484="",E484=""),"",IFERROR(IF(AA484&gt;=VLOOKUP(E484,'Input &amp; Settings'!$F$5:$K$10,3,FALSE),"Outstanding",IF(AA484&gt;=VLOOKUP(E484,'Input &amp; Settings'!$F$5:$K$10,4,FALSE),"Exceeds Expectations",IF(AA484&gt;=VLOOKUP(E484,'Input &amp; Settings'!$F$5:$K$10,5,FALSE),"Meets Expectations",IF(AA484&gt;=VLOOKUP(E484,'Input &amp; Settings'!$F$5:$K$10,6,FALSE),"Needs Improvement","Performance Improvement Required")))),""))</f>
        <v/>
      </c>
      <c r="AC484" s="38" t="str">
        <f t="shared" si="28"/>
        <v/>
      </c>
      <c r="AD484" s="39"/>
      <c r="AE484" s="40"/>
      <c r="AF484" s="41" t="str">
        <f t="shared" si="29"/>
        <v/>
      </c>
      <c r="AG484" s="42" t="str">
        <f t="shared" si="30"/>
        <v/>
      </c>
      <c r="AH484" s="42" t="str">
        <f t="shared" si="31"/>
        <v>Steven Morejon|December</v>
      </c>
    </row>
    <row r="485" spans="1:34" hidden="1">
      <c r="A485" s="32">
        <v>2026</v>
      </c>
      <c r="B485" s="32" t="s">
        <v>97</v>
      </c>
      <c r="C485" s="32" t="s">
        <v>53</v>
      </c>
      <c r="D485" s="32" t="s">
        <v>58</v>
      </c>
      <c r="E485" s="33"/>
      <c r="F485" s="34" t="str">
        <f>IF(E485="","",IFERROR(VLOOKUP(E485,'Input &amp; Settings'!$F$5:$G$10,2,FALSE),""))</f>
        <v/>
      </c>
      <c r="G485" s="33"/>
      <c r="H485" s="33"/>
      <c r="I485" s="35"/>
      <c r="J485" s="33"/>
      <c r="K485" s="36"/>
      <c r="L485" s="35"/>
      <c r="M485" s="33"/>
      <c r="N485" s="33"/>
      <c r="O485" s="33"/>
      <c r="P485" s="33"/>
      <c r="Q485" s="37" t="str">
        <f>IF(G485="","",IFERROR(MIN(100,G485/'Input &amp; Settings'!$B$5*100),""))</f>
        <v/>
      </c>
      <c r="R485" s="37" t="str">
        <f>IF(H485="","",IFERROR(MIN(100,H485/'Input &amp; Settings'!$B$6*100),""))</f>
        <v/>
      </c>
      <c r="S485" s="37" t="str">
        <f>IF(I485="","",IFERROR(MIN(100,I485/'Input &amp; Settings'!$B$7*100),""))</f>
        <v/>
      </c>
      <c r="T485" s="37" t="str">
        <f>IF(J485="","",IFERROR(MIN(100,J485/'Input &amp; Settings'!$B$8*100),""))</f>
        <v/>
      </c>
      <c r="U485" s="37" t="str">
        <f>IF(K485="","",IFERROR(MIN(100,K485/'Input &amp; Settings'!$B$9*100),""))</f>
        <v/>
      </c>
      <c r="V485" s="37" t="str">
        <f>IF(L485="","",IFERROR(MIN(100,L485/'Input &amp; Settings'!$B$10*100),""))</f>
        <v/>
      </c>
      <c r="W485" s="37" t="str">
        <f>IF(M485="","",IFERROR(IF(M485&lt;='Input &amp; Settings'!$B$11,100,MAX(0,100-(M485-'Input &amp; Settings'!$B$11)*20)),""))</f>
        <v/>
      </c>
      <c r="X485" s="37" t="str">
        <f>IF(N485="","",IFERROR(MIN(100,N485/'Input &amp; Settings'!$B$12*100),""))</f>
        <v/>
      </c>
      <c r="Y485" s="37" t="str">
        <f>IF(O485="","",IFERROR(MIN(100,O485/'Input &amp; Settings'!$B$13*100),""))</f>
        <v/>
      </c>
      <c r="Z485" s="37" t="str">
        <f>IF(P485="","",IFERROR(IF(P485&lt;='Input &amp; Settings'!$B$14,100,MAX(0,100-(P485-'Input &amp; Settings'!$B$14)*20)),""))</f>
        <v/>
      </c>
      <c r="AA485" s="37" t="str">
        <f>IF(COUNTA(G485:P485)=0,"",ROUND(Q485*'Input &amp; Settings'!$C$5+R485*'Input &amp; Settings'!$C$6+S485*'Input &amp; Settings'!$C$7+T485*'Input &amp; Settings'!$C$8+U485*'Input &amp; Settings'!$C$9+V485*'Input &amp; Settings'!$C$10+W485*'Input &amp; Settings'!$C$11+X485*'Input &amp; Settings'!$C$12+Y485*'Input &amp; Settings'!$C$13+Z485*'Input &amp; Settings'!$C$14,1))</f>
        <v/>
      </c>
      <c r="AB485" s="38" t="str">
        <f>IF(OR(AA485="",E485=""),"",IFERROR(IF(AA485&gt;=VLOOKUP(E485,'Input &amp; Settings'!$F$5:$K$10,3,FALSE),"Outstanding",IF(AA485&gt;=VLOOKUP(E485,'Input &amp; Settings'!$F$5:$K$10,4,FALSE),"Exceeds Expectations",IF(AA485&gt;=VLOOKUP(E485,'Input &amp; Settings'!$F$5:$K$10,5,FALSE),"Meets Expectations",IF(AA485&gt;=VLOOKUP(E485,'Input &amp; Settings'!$F$5:$K$10,6,FALSE),"Needs Improvement","Performance Improvement Required")))),""))</f>
        <v/>
      </c>
      <c r="AC485" s="38" t="str">
        <f t="shared" si="28"/>
        <v/>
      </c>
      <c r="AD485" s="39"/>
      <c r="AE485" s="40"/>
      <c r="AF485" s="41" t="str">
        <f t="shared" si="29"/>
        <v/>
      </c>
      <c r="AG485" s="42" t="str">
        <f t="shared" si="30"/>
        <v/>
      </c>
      <c r="AH485" s="42" t="str">
        <f t="shared" si="31"/>
        <v>Nicolas Abello|December</v>
      </c>
    </row>
    <row r="486" spans="1:34" hidden="1">
      <c r="A486" s="32">
        <v>2026</v>
      </c>
      <c r="B486" s="32" t="s">
        <v>97</v>
      </c>
      <c r="C486" s="32" t="s">
        <v>53</v>
      </c>
      <c r="D486" s="32" t="s">
        <v>59</v>
      </c>
      <c r="E486" s="33"/>
      <c r="F486" s="34" t="str">
        <f>IF(E486="","",IFERROR(VLOOKUP(E486,'Input &amp; Settings'!$F$5:$G$10,2,FALSE),""))</f>
        <v/>
      </c>
      <c r="G486" s="33"/>
      <c r="H486" s="33"/>
      <c r="I486" s="35"/>
      <c r="J486" s="33"/>
      <c r="K486" s="36"/>
      <c r="L486" s="35"/>
      <c r="M486" s="33"/>
      <c r="N486" s="33"/>
      <c r="O486" s="33"/>
      <c r="P486" s="33"/>
      <c r="Q486" s="37" t="str">
        <f>IF(G486="","",IFERROR(MIN(100,G486/'Input &amp; Settings'!$B$5*100),""))</f>
        <v/>
      </c>
      <c r="R486" s="37" t="str">
        <f>IF(H486="","",IFERROR(MIN(100,H486/'Input &amp; Settings'!$B$6*100),""))</f>
        <v/>
      </c>
      <c r="S486" s="37" t="str">
        <f>IF(I486="","",IFERROR(MIN(100,I486/'Input &amp; Settings'!$B$7*100),""))</f>
        <v/>
      </c>
      <c r="T486" s="37" t="str">
        <f>IF(J486="","",IFERROR(MIN(100,J486/'Input &amp; Settings'!$B$8*100),""))</f>
        <v/>
      </c>
      <c r="U486" s="37" t="str">
        <f>IF(K486="","",IFERROR(MIN(100,K486/'Input &amp; Settings'!$B$9*100),""))</f>
        <v/>
      </c>
      <c r="V486" s="37" t="str">
        <f>IF(L486="","",IFERROR(MIN(100,L486/'Input &amp; Settings'!$B$10*100),""))</f>
        <v/>
      </c>
      <c r="W486" s="37" t="str">
        <f>IF(M486="","",IFERROR(IF(M486&lt;='Input &amp; Settings'!$B$11,100,MAX(0,100-(M486-'Input &amp; Settings'!$B$11)*20)),""))</f>
        <v/>
      </c>
      <c r="X486" s="37" t="str">
        <f>IF(N486="","",IFERROR(MIN(100,N486/'Input &amp; Settings'!$B$12*100),""))</f>
        <v/>
      </c>
      <c r="Y486" s="37" t="str">
        <f>IF(O486="","",IFERROR(MIN(100,O486/'Input &amp; Settings'!$B$13*100),""))</f>
        <v/>
      </c>
      <c r="Z486" s="37" t="str">
        <f>IF(P486="","",IFERROR(IF(P486&lt;='Input &amp; Settings'!$B$14,100,MAX(0,100-(P486-'Input &amp; Settings'!$B$14)*20)),""))</f>
        <v/>
      </c>
      <c r="AA486" s="37" t="str">
        <f>IF(COUNTA(G486:P486)=0,"",ROUND(Q486*'Input &amp; Settings'!$C$5+R486*'Input &amp; Settings'!$C$6+S486*'Input &amp; Settings'!$C$7+T486*'Input &amp; Settings'!$C$8+U486*'Input &amp; Settings'!$C$9+V486*'Input &amp; Settings'!$C$10+W486*'Input &amp; Settings'!$C$11+X486*'Input &amp; Settings'!$C$12+Y486*'Input &amp; Settings'!$C$13+Z486*'Input &amp; Settings'!$C$14,1))</f>
        <v/>
      </c>
      <c r="AB486" s="38" t="str">
        <f>IF(OR(AA486="",E486=""),"",IFERROR(IF(AA486&gt;=VLOOKUP(E486,'Input &amp; Settings'!$F$5:$K$10,3,FALSE),"Outstanding",IF(AA486&gt;=VLOOKUP(E486,'Input &amp; Settings'!$F$5:$K$10,4,FALSE),"Exceeds Expectations",IF(AA486&gt;=VLOOKUP(E486,'Input &amp; Settings'!$F$5:$K$10,5,FALSE),"Meets Expectations",IF(AA486&gt;=VLOOKUP(E486,'Input &amp; Settings'!$F$5:$K$10,6,FALSE),"Needs Improvement","Performance Improvement Required")))),""))</f>
        <v/>
      </c>
      <c r="AC486" s="38" t="str">
        <f t="shared" si="28"/>
        <v/>
      </c>
      <c r="AD486" s="39"/>
      <c r="AE486" s="40"/>
      <c r="AF486" s="41" t="str">
        <f t="shared" si="29"/>
        <v/>
      </c>
      <c r="AG486" s="42" t="str">
        <f t="shared" si="30"/>
        <v/>
      </c>
      <c r="AH486" s="42" t="str">
        <f t="shared" si="31"/>
        <v>Carlos Espinosa|December</v>
      </c>
    </row>
    <row r="487" spans="1:34" hidden="1">
      <c r="A487" s="32">
        <v>2026</v>
      </c>
      <c r="B487" s="32" t="s">
        <v>97</v>
      </c>
      <c r="C487" s="32" t="s">
        <v>53</v>
      </c>
      <c r="D487" s="32" t="s">
        <v>60</v>
      </c>
      <c r="E487" s="33"/>
      <c r="F487" s="34" t="str">
        <f>IF(E487="","",IFERROR(VLOOKUP(E487,'Input &amp; Settings'!$F$5:$G$10,2,FALSE),""))</f>
        <v/>
      </c>
      <c r="G487" s="33"/>
      <c r="H487" s="33"/>
      <c r="I487" s="35"/>
      <c r="J487" s="33"/>
      <c r="K487" s="36"/>
      <c r="L487" s="35"/>
      <c r="M487" s="33"/>
      <c r="N487" s="33"/>
      <c r="O487" s="33"/>
      <c r="P487" s="33"/>
      <c r="Q487" s="37" t="str">
        <f>IF(G487="","",IFERROR(MIN(100,G487/'Input &amp; Settings'!$B$5*100),""))</f>
        <v/>
      </c>
      <c r="R487" s="37" t="str">
        <f>IF(H487="","",IFERROR(MIN(100,H487/'Input &amp; Settings'!$B$6*100),""))</f>
        <v/>
      </c>
      <c r="S487" s="37" t="str">
        <f>IF(I487="","",IFERROR(MIN(100,I487/'Input &amp; Settings'!$B$7*100),""))</f>
        <v/>
      </c>
      <c r="T487" s="37" t="str">
        <f>IF(J487="","",IFERROR(MIN(100,J487/'Input &amp; Settings'!$B$8*100),""))</f>
        <v/>
      </c>
      <c r="U487" s="37" t="str">
        <f>IF(K487="","",IFERROR(MIN(100,K487/'Input &amp; Settings'!$B$9*100),""))</f>
        <v/>
      </c>
      <c r="V487" s="37" t="str">
        <f>IF(L487="","",IFERROR(MIN(100,L487/'Input &amp; Settings'!$B$10*100),""))</f>
        <v/>
      </c>
      <c r="W487" s="37" t="str">
        <f>IF(M487="","",IFERROR(IF(M487&lt;='Input &amp; Settings'!$B$11,100,MAX(0,100-(M487-'Input &amp; Settings'!$B$11)*20)),""))</f>
        <v/>
      </c>
      <c r="X487" s="37" t="str">
        <f>IF(N487="","",IFERROR(MIN(100,N487/'Input &amp; Settings'!$B$12*100),""))</f>
        <v/>
      </c>
      <c r="Y487" s="37" t="str">
        <f>IF(O487="","",IFERROR(MIN(100,O487/'Input &amp; Settings'!$B$13*100),""))</f>
        <v/>
      </c>
      <c r="Z487" s="37" t="str">
        <f>IF(P487="","",IFERROR(IF(P487&lt;='Input &amp; Settings'!$B$14,100,MAX(0,100-(P487-'Input &amp; Settings'!$B$14)*20)),""))</f>
        <v/>
      </c>
      <c r="AA487" s="37" t="str">
        <f>IF(COUNTA(G487:P487)=0,"",ROUND(Q487*'Input &amp; Settings'!$C$5+R487*'Input &amp; Settings'!$C$6+S487*'Input &amp; Settings'!$C$7+T487*'Input &amp; Settings'!$C$8+U487*'Input &amp; Settings'!$C$9+V487*'Input &amp; Settings'!$C$10+W487*'Input &amp; Settings'!$C$11+X487*'Input &amp; Settings'!$C$12+Y487*'Input &amp; Settings'!$C$13+Z487*'Input &amp; Settings'!$C$14,1))</f>
        <v/>
      </c>
      <c r="AB487" s="38" t="str">
        <f>IF(OR(AA487="",E487=""),"",IFERROR(IF(AA487&gt;=VLOOKUP(E487,'Input &amp; Settings'!$F$5:$K$10,3,FALSE),"Outstanding",IF(AA487&gt;=VLOOKUP(E487,'Input &amp; Settings'!$F$5:$K$10,4,FALSE),"Exceeds Expectations",IF(AA487&gt;=VLOOKUP(E487,'Input &amp; Settings'!$F$5:$K$10,5,FALSE),"Meets Expectations",IF(AA487&gt;=VLOOKUP(E487,'Input &amp; Settings'!$F$5:$K$10,6,FALSE),"Needs Improvement","Performance Improvement Required")))),""))</f>
        <v/>
      </c>
      <c r="AC487" s="38" t="str">
        <f t="shared" si="28"/>
        <v/>
      </c>
      <c r="AD487" s="39"/>
      <c r="AE487" s="40"/>
      <c r="AF487" s="41" t="str">
        <f t="shared" si="29"/>
        <v/>
      </c>
      <c r="AG487" s="42" t="str">
        <f t="shared" si="30"/>
        <v/>
      </c>
      <c r="AH487" s="42" t="str">
        <f t="shared" si="31"/>
        <v>Fernando Barbera - Boyer|December</v>
      </c>
    </row>
    <row r="488" spans="1:34" hidden="1">
      <c r="A488" s="32">
        <v>2026</v>
      </c>
      <c r="B488" s="32" t="s">
        <v>97</v>
      </c>
      <c r="C488" s="32" t="s">
        <v>53</v>
      </c>
      <c r="D488" s="32" t="s">
        <v>61</v>
      </c>
      <c r="E488" s="33"/>
      <c r="F488" s="34" t="str">
        <f>IF(E488="","",IFERROR(VLOOKUP(E488,'Input &amp; Settings'!$F$5:$G$10,2,FALSE),""))</f>
        <v/>
      </c>
      <c r="G488" s="33"/>
      <c r="H488" s="33"/>
      <c r="I488" s="35"/>
      <c r="J488" s="33"/>
      <c r="K488" s="36"/>
      <c r="L488" s="35"/>
      <c r="M488" s="33"/>
      <c r="N488" s="33"/>
      <c r="O488" s="33"/>
      <c r="P488" s="33"/>
      <c r="Q488" s="37" t="str">
        <f>IF(G488="","",IFERROR(MIN(100,G488/'Input &amp; Settings'!$B$5*100),""))</f>
        <v/>
      </c>
      <c r="R488" s="37" t="str">
        <f>IF(H488="","",IFERROR(MIN(100,H488/'Input &amp; Settings'!$B$6*100),""))</f>
        <v/>
      </c>
      <c r="S488" s="37" t="str">
        <f>IF(I488="","",IFERROR(MIN(100,I488/'Input &amp; Settings'!$B$7*100),""))</f>
        <v/>
      </c>
      <c r="T488" s="37" t="str">
        <f>IF(J488="","",IFERROR(MIN(100,J488/'Input &amp; Settings'!$B$8*100),""))</f>
        <v/>
      </c>
      <c r="U488" s="37" t="str">
        <f>IF(K488="","",IFERROR(MIN(100,K488/'Input &amp; Settings'!$B$9*100),""))</f>
        <v/>
      </c>
      <c r="V488" s="37" t="str">
        <f>IF(L488="","",IFERROR(MIN(100,L488/'Input &amp; Settings'!$B$10*100),""))</f>
        <v/>
      </c>
      <c r="W488" s="37" t="str">
        <f>IF(M488="","",IFERROR(IF(M488&lt;='Input &amp; Settings'!$B$11,100,MAX(0,100-(M488-'Input &amp; Settings'!$B$11)*20)),""))</f>
        <v/>
      </c>
      <c r="X488" s="37" t="str">
        <f>IF(N488="","",IFERROR(MIN(100,N488/'Input &amp; Settings'!$B$12*100),""))</f>
        <v/>
      </c>
      <c r="Y488" s="37" t="str">
        <f>IF(O488="","",IFERROR(MIN(100,O488/'Input &amp; Settings'!$B$13*100),""))</f>
        <v/>
      </c>
      <c r="Z488" s="37" t="str">
        <f>IF(P488="","",IFERROR(IF(P488&lt;='Input &amp; Settings'!$B$14,100,MAX(0,100-(P488-'Input &amp; Settings'!$B$14)*20)),""))</f>
        <v/>
      </c>
      <c r="AA488" s="37" t="str">
        <f>IF(COUNTA(G488:P488)=0,"",ROUND(Q488*'Input &amp; Settings'!$C$5+R488*'Input &amp; Settings'!$C$6+S488*'Input &amp; Settings'!$C$7+T488*'Input &amp; Settings'!$C$8+U488*'Input &amp; Settings'!$C$9+V488*'Input &amp; Settings'!$C$10+W488*'Input &amp; Settings'!$C$11+X488*'Input &amp; Settings'!$C$12+Y488*'Input &amp; Settings'!$C$13+Z488*'Input &amp; Settings'!$C$14,1))</f>
        <v/>
      </c>
      <c r="AB488" s="38" t="str">
        <f>IF(OR(AA488="",E488=""),"",IFERROR(IF(AA488&gt;=VLOOKUP(E488,'Input &amp; Settings'!$F$5:$K$10,3,FALSE),"Outstanding",IF(AA488&gt;=VLOOKUP(E488,'Input &amp; Settings'!$F$5:$K$10,4,FALSE),"Exceeds Expectations",IF(AA488&gt;=VLOOKUP(E488,'Input &amp; Settings'!$F$5:$K$10,5,FALSE),"Meets Expectations",IF(AA488&gt;=VLOOKUP(E488,'Input &amp; Settings'!$F$5:$K$10,6,FALSE),"Needs Improvement","Performance Improvement Required")))),""))</f>
        <v/>
      </c>
      <c r="AC488" s="38" t="str">
        <f t="shared" si="28"/>
        <v/>
      </c>
      <c r="AD488" s="39"/>
      <c r="AE488" s="40"/>
      <c r="AF488" s="41" t="str">
        <f t="shared" si="29"/>
        <v/>
      </c>
      <c r="AG488" s="42" t="str">
        <f t="shared" si="30"/>
        <v/>
      </c>
      <c r="AH488" s="42" t="str">
        <f t="shared" si="31"/>
        <v>Miquelle Cordova|December</v>
      </c>
    </row>
    <row r="489" spans="1:34" hidden="1">
      <c r="A489" s="32">
        <v>2026</v>
      </c>
      <c r="B489" s="32" t="s">
        <v>97</v>
      </c>
      <c r="C489" s="32" t="s">
        <v>53</v>
      </c>
      <c r="D489" s="32" t="s">
        <v>62</v>
      </c>
      <c r="E489" s="33"/>
      <c r="F489" s="34" t="str">
        <f>IF(E489="","",IFERROR(VLOOKUP(E489,'Input &amp; Settings'!$F$5:$G$10,2,FALSE),""))</f>
        <v/>
      </c>
      <c r="G489" s="33"/>
      <c r="H489" s="33"/>
      <c r="I489" s="35"/>
      <c r="J489" s="33"/>
      <c r="K489" s="36"/>
      <c r="L489" s="35"/>
      <c r="M489" s="33"/>
      <c r="N489" s="33"/>
      <c r="O489" s="33"/>
      <c r="P489" s="33"/>
      <c r="Q489" s="37" t="str">
        <f>IF(G489="","",IFERROR(MIN(100,G489/'Input &amp; Settings'!$B$5*100),""))</f>
        <v/>
      </c>
      <c r="R489" s="37" t="str">
        <f>IF(H489="","",IFERROR(MIN(100,H489/'Input &amp; Settings'!$B$6*100),""))</f>
        <v/>
      </c>
      <c r="S489" s="37" t="str">
        <f>IF(I489="","",IFERROR(MIN(100,I489/'Input &amp; Settings'!$B$7*100),""))</f>
        <v/>
      </c>
      <c r="T489" s="37" t="str">
        <f>IF(J489="","",IFERROR(MIN(100,J489/'Input &amp; Settings'!$B$8*100),""))</f>
        <v/>
      </c>
      <c r="U489" s="37" t="str">
        <f>IF(K489="","",IFERROR(MIN(100,K489/'Input &amp; Settings'!$B$9*100),""))</f>
        <v/>
      </c>
      <c r="V489" s="37" t="str">
        <f>IF(L489="","",IFERROR(MIN(100,L489/'Input &amp; Settings'!$B$10*100),""))</f>
        <v/>
      </c>
      <c r="W489" s="37" t="str">
        <f>IF(M489="","",IFERROR(IF(M489&lt;='Input &amp; Settings'!$B$11,100,MAX(0,100-(M489-'Input &amp; Settings'!$B$11)*20)),""))</f>
        <v/>
      </c>
      <c r="X489" s="37" t="str">
        <f>IF(N489="","",IFERROR(MIN(100,N489/'Input &amp; Settings'!$B$12*100),""))</f>
        <v/>
      </c>
      <c r="Y489" s="37" t="str">
        <f>IF(O489="","",IFERROR(MIN(100,O489/'Input &amp; Settings'!$B$13*100),""))</f>
        <v/>
      </c>
      <c r="Z489" s="37" t="str">
        <f>IF(P489="","",IFERROR(IF(P489&lt;='Input &amp; Settings'!$B$14,100,MAX(0,100-(P489-'Input &amp; Settings'!$B$14)*20)),""))</f>
        <v/>
      </c>
      <c r="AA489" s="37" t="str">
        <f>IF(COUNTA(G489:P489)=0,"",ROUND(Q489*'Input &amp; Settings'!$C$5+R489*'Input &amp; Settings'!$C$6+S489*'Input &amp; Settings'!$C$7+T489*'Input &amp; Settings'!$C$8+U489*'Input &amp; Settings'!$C$9+V489*'Input &amp; Settings'!$C$10+W489*'Input &amp; Settings'!$C$11+X489*'Input &amp; Settings'!$C$12+Y489*'Input &amp; Settings'!$C$13+Z489*'Input &amp; Settings'!$C$14,1))</f>
        <v/>
      </c>
      <c r="AB489" s="38" t="str">
        <f>IF(OR(AA489="",E489=""),"",IFERROR(IF(AA489&gt;=VLOOKUP(E489,'Input &amp; Settings'!$F$5:$K$10,3,FALSE),"Outstanding",IF(AA489&gt;=VLOOKUP(E489,'Input &amp; Settings'!$F$5:$K$10,4,FALSE),"Exceeds Expectations",IF(AA489&gt;=VLOOKUP(E489,'Input &amp; Settings'!$F$5:$K$10,5,FALSE),"Meets Expectations",IF(AA489&gt;=VLOOKUP(E489,'Input &amp; Settings'!$F$5:$K$10,6,FALSE),"Needs Improvement","Performance Improvement Required")))),""))</f>
        <v/>
      </c>
      <c r="AC489" s="38" t="str">
        <f t="shared" si="28"/>
        <v/>
      </c>
      <c r="AD489" s="39"/>
      <c r="AE489" s="40"/>
      <c r="AF489" s="41" t="str">
        <f t="shared" si="29"/>
        <v/>
      </c>
      <c r="AG489" s="42" t="str">
        <f t="shared" si="30"/>
        <v/>
      </c>
      <c r="AH489" s="42" t="str">
        <f t="shared" si="31"/>
        <v>Daniel Sanchez|December</v>
      </c>
    </row>
    <row r="490" spans="1:34" hidden="1">
      <c r="A490" s="32">
        <v>2026</v>
      </c>
      <c r="B490" s="32" t="s">
        <v>97</v>
      </c>
      <c r="C490" s="32" t="s">
        <v>53</v>
      </c>
      <c r="D490" s="32" t="s">
        <v>63</v>
      </c>
      <c r="E490" s="33"/>
      <c r="F490" s="34" t="str">
        <f>IF(E490="","",IFERROR(VLOOKUP(E490,'Input &amp; Settings'!$F$5:$G$10,2,FALSE),""))</f>
        <v/>
      </c>
      <c r="G490" s="33"/>
      <c r="H490" s="33"/>
      <c r="I490" s="35"/>
      <c r="J490" s="33"/>
      <c r="K490" s="36"/>
      <c r="L490" s="35"/>
      <c r="M490" s="33"/>
      <c r="N490" s="33"/>
      <c r="O490" s="33"/>
      <c r="P490" s="33"/>
      <c r="Q490" s="37" t="str">
        <f>IF(G490="","",IFERROR(MIN(100,G490/'Input &amp; Settings'!$B$5*100),""))</f>
        <v/>
      </c>
      <c r="R490" s="37" t="str">
        <f>IF(H490="","",IFERROR(MIN(100,H490/'Input &amp; Settings'!$B$6*100),""))</f>
        <v/>
      </c>
      <c r="S490" s="37" t="str">
        <f>IF(I490="","",IFERROR(MIN(100,I490/'Input &amp; Settings'!$B$7*100),""))</f>
        <v/>
      </c>
      <c r="T490" s="37" t="str">
        <f>IF(J490="","",IFERROR(MIN(100,J490/'Input &amp; Settings'!$B$8*100),""))</f>
        <v/>
      </c>
      <c r="U490" s="37" t="str">
        <f>IF(K490="","",IFERROR(MIN(100,K490/'Input &amp; Settings'!$B$9*100),""))</f>
        <v/>
      </c>
      <c r="V490" s="37" t="str">
        <f>IF(L490="","",IFERROR(MIN(100,L490/'Input &amp; Settings'!$B$10*100),""))</f>
        <v/>
      </c>
      <c r="W490" s="37" t="str">
        <f>IF(M490="","",IFERROR(IF(M490&lt;='Input &amp; Settings'!$B$11,100,MAX(0,100-(M490-'Input &amp; Settings'!$B$11)*20)),""))</f>
        <v/>
      </c>
      <c r="X490" s="37" t="str">
        <f>IF(N490="","",IFERROR(MIN(100,N490/'Input &amp; Settings'!$B$12*100),""))</f>
        <v/>
      </c>
      <c r="Y490" s="37" t="str">
        <f>IF(O490="","",IFERROR(MIN(100,O490/'Input &amp; Settings'!$B$13*100),""))</f>
        <v/>
      </c>
      <c r="Z490" s="37" t="str">
        <f>IF(P490="","",IFERROR(IF(P490&lt;='Input &amp; Settings'!$B$14,100,MAX(0,100-(P490-'Input &amp; Settings'!$B$14)*20)),""))</f>
        <v/>
      </c>
      <c r="AA490" s="37" t="str">
        <f>IF(COUNTA(G490:P490)=0,"",ROUND(Q490*'Input &amp; Settings'!$C$5+R490*'Input &amp; Settings'!$C$6+S490*'Input &amp; Settings'!$C$7+T490*'Input &amp; Settings'!$C$8+U490*'Input &amp; Settings'!$C$9+V490*'Input &amp; Settings'!$C$10+W490*'Input &amp; Settings'!$C$11+X490*'Input &amp; Settings'!$C$12+Y490*'Input &amp; Settings'!$C$13+Z490*'Input &amp; Settings'!$C$14,1))</f>
        <v/>
      </c>
      <c r="AB490" s="38" t="str">
        <f>IF(OR(AA490="",E490=""),"",IFERROR(IF(AA490&gt;=VLOOKUP(E490,'Input &amp; Settings'!$F$5:$K$10,3,FALSE),"Outstanding",IF(AA490&gt;=VLOOKUP(E490,'Input &amp; Settings'!$F$5:$K$10,4,FALSE),"Exceeds Expectations",IF(AA490&gt;=VLOOKUP(E490,'Input &amp; Settings'!$F$5:$K$10,5,FALSE),"Meets Expectations",IF(AA490&gt;=VLOOKUP(E490,'Input &amp; Settings'!$F$5:$K$10,6,FALSE),"Needs Improvement","Performance Improvement Required")))),""))</f>
        <v/>
      </c>
      <c r="AC490" s="38" t="str">
        <f t="shared" si="28"/>
        <v/>
      </c>
      <c r="AD490" s="39"/>
      <c r="AE490" s="40"/>
      <c r="AF490" s="41" t="str">
        <f t="shared" si="29"/>
        <v/>
      </c>
      <c r="AG490" s="42" t="str">
        <f t="shared" si="30"/>
        <v/>
      </c>
      <c r="AH490" s="42" t="str">
        <f t="shared" si="31"/>
        <v>Braynon Edwards|December</v>
      </c>
    </row>
    <row r="491" spans="1:34" hidden="1">
      <c r="A491" s="32">
        <v>2026</v>
      </c>
      <c r="B491" s="32" t="s">
        <v>97</v>
      </c>
      <c r="C491" s="32" t="s">
        <v>53</v>
      </c>
      <c r="D491" s="32" t="s">
        <v>64</v>
      </c>
      <c r="E491" s="33"/>
      <c r="F491" s="34" t="str">
        <f>IF(E491="","",IFERROR(VLOOKUP(E491,'Input &amp; Settings'!$F$5:$G$10,2,FALSE),""))</f>
        <v/>
      </c>
      <c r="G491" s="33"/>
      <c r="H491" s="33"/>
      <c r="I491" s="35"/>
      <c r="J491" s="33"/>
      <c r="K491" s="36"/>
      <c r="L491" s="35"/>
      <c r="M491" s="33"/>
      <c r="N491" s="33"/>
      <c r="O491" s="33"/>
      <c r="P491" s="33"/>
      <c r="Q491" s="37" t="str">
        <f>IF(G491="","",IFERROR(MIN(100,G491/'Input &amp; Settings'!$B$5*100),""))</f>
        <v/>
      </c>
      <c r="R491" s="37" t="str">
        <f>IF(H491="","",IFERROR(MIN(100,H491/'Input &amp; Settings'!$B$6*100),""))</f>
        <v/>
      </c>
      <c r="S491" s="37" t="str">
        <f>IF(I491="","",IFERROR(MIN(100,I491/'Input &amp; Settings'!$B$7*100),""))</f>
        <v/>
      </c>
      <c r="T491" s="37" t="str">
        <f>IF(J491="","",IFERROR(MIN(100,J491/'Input &amp; Settings'!$B$8*100),""))</f>
        <v/>
      </c>
      <c r="U491" s="37" t="str">
        <f>IF(K491="","",IFERROR(MIN(100,K491/'Input &amp; Settings'!$B$9*100),""))</f>
        <v/>
      </c>
      <c r="V491" s="37" t="str">
        <f>IF(L491="","",IFERROR(MIN(100,L491/'Input &amp; Settings'!$B$10*100),""))</f>
        <v/>
      </c>
      <c r="W491" s="37" t="str">
        <f>IF(M491="","",IFERROR(IF(M491&lt;='Input &amp; Settings'!$B$11,100,MAX(0,100-(M491-'Input &amp; Settings'!$B$11)*20)),""))</f>
        <v/>
      </c>
      <c r="X491" s="37" t="str">
        <f>IF(N491="","",IFERROR(MIN(100,N491/'Input &amp; Settings'!$B$12*100),""))</f>
        <v/>
      </c>
      <c r="Y491" s="37" t="str">
        <f>IF(O491="","",IFERROR(MIN(100,O491/'Input &amp; Settings'!$B$13*100),""))</f>
        <v/>
      </c>
      <c r="Z491" s="37" t="str">
        <f>IF(P491="","",IFERROR(IF(P491&lt;='Input &amp; Settings'!$B$14,100,MAX(0,100-(P491-'Input &amp; Settings'!$B$14)*20)),""))</f>
        <v/>
      </c>
      <c r="AA491" s="37" t="str">
        <f>IF(COUNTA(G491:P491)=0,"",ROUND(Q491*'Input &amp; Settings'!$C$5+R491*'Input &amp; Settings'!$C$6+S491*'Input &amp; Settings'!$C$7+T491*'Input &amp; Settings'!$C$8+U491*'Input &amp; Settings'!$C$9+V491*'Input &amp; Settings'!$C$10+W491*'Input &amp; Settings'!$C$11+X491*'Input &amp; Settings'!$C$12+Y491*'Input &amp; Settings'!$C$13+Z491*'Input &amp; Settings'!$C$14,1))</f>
        <v/>
      </c>
      <c r="AB491" s="38" t="str">
        <f>IF(OR(AA491="",E491=""),"",IFERROR(IF(AA491&gt;=VLOOKUP(E491,'Input &amp; Settings'!$F$5:$K$10,3,FALSE),"Outstanding",IF(AA491&gt;=VLOOKUP(E491,'Input &amp; Settings'!$F$5:$K$10,4,FALSE),"Exceeds Expectations",IF(AA491&gt;=VLOOKUP(E491,'Input &amp; Settings'!$F$5:$K$10,5,FALSE),"Meets Expectations",IF(AA491&gt;=VLOOKUP(E491,'Input &amp; Settings'!$F$5:$K$10,6,FALSE),"Needs Improvement","Performance Improvement Required")))),""))</f>
        <v/>
      </c>
      <c r="AC491" s="38" t="str">
        <f t="shared" si="28"/>
        <v/>
      </c>
      <c r="AD491" s="39"/>
      <c r="AE491" s="40"/>
      <c r="AF491" s="41" t="str">
        <f t="shared" si="29"/>
        <v/>
      </c>
      <c r="AG491" s="42" t="str">
        <f t="shared" si="30"/>
        <v/>
      </c>
      <c r="AH491" s="42" t="str">
        <f t="shared" si="31"/>
        <v>Sebastian Lopez|December</v>
      </c>
    </row>
    <row r="492" spans="1:34" hidden="1">
      <c r="A492" s="32">
        <v>2026</v>
      </c>
      <c r="B492" s="32" t="s">
        <v>97</v>
      </c>
      <c r="C492" s="32" t="s">
        <v>53</v>
      </c>
      <c r="D492" s="32" t="s">
        <v>65</v>
      </c>
      <c r="E492" s="33"/>
      <c r="F492" s="34" t="str">
        <f>IF(E492="","",IFERROR(VLOOKUP(E492,'Input &amp; Settings'!$F$5:$G$10,2,FALSE),""))</f>
        <v/>
      </c>
      <c r="G492" s="33"/>
      <c r="H492" s="33"/>
      <c r="I492" s="35"/>
      <c r="J492" s="33"/>
      <c r="K492" s="36"/>
      <c r="L492" s="35"/>
      <c r="M492" s="33"/>
      <c r="N492" s="33"/>
      <c r="O492" s="33"/>
      <c r="P492" s="33"/>
      <c r="Q492" s="37" t="str">
        <f>IF(G492="","",IFERROR(MIN(100,G492/'Input &amp; Settings'!$B$5*100),""))</f>
        <v/>
      </c>
      <c r="R492" s="37" t="str">
        <f>IF(H492="","",IFERROR(MIN(100,H492/'Input &amp; Settings'!$B$6*100),""))</f>
        <v/>
      </c>
      <c r="S492" s="37" t="str">
        <f>IF(I492="","",IFERROR(MIN(100,I492/'Input &amp; Settings'!$B$7*100),""))</f>
        <v/>
      </c>
      <c r="T492" s="37" t="str">
        <f>IF(J492="","",IFERROR(MIN(100,J492/'Input &amp; Settings'!$B$8*100),""))</f>
        <v/>
      </c>
      <c r="U492" s="37" t="str">
        <f>IF(K492="","",IFERROR(MIN(100,K492/'Input &amp; Settings'!$B$9*100),""))</f>
        <v/>
      </c>
      <c r="V492" s="37" t="str">
        <f>IF(L492="","",IFERROR(MIN(100,L492/'Input &amp; Settings'!$B$10*100),""))</f>
        <v/>
      </c>
      <c r="W492" s="37" t="str">
        <f>IF(M492="","",IFERROR(IF(M492&lt;='Input &amp; Settings'!$B$11,100,MAX(0,100-(M492-'Input &amp; Settings'!$B$11)*20)),""))</f>
        <v/>
      </c>
      <c r="X492" s="37" t="str">
        <f>IF(N492="","",IFERROR(MIN(100,N492/'Input &amp; Settings'!$B$12*100),""))</f>
        <v/>
      </c>
      <c r="Y492" s="37" t="str">
        <f>IF(O492="","",IFERROR(MIN(100,O492/'Input &amp; Settings'!$B$13*100),""))</f>
        <v/>
      </c>
      <c r="Z492" s="37" t="str">
        <f>IF(P492="","",IFERROR(IF(P492&lt;='Input &amp; Settings'!$B$14,100,MAX(0,100-(P492-'Input &amp; Settings'!$B$14)*20)),""))</f>
        <v/>
      </c>
      <c r="AA492" s="37" t="str">
        <f>IF(COUNTA(G492:P492)=0,"",ROUND(Q492*'Input &amp; Settings'!$C$5+R492*'Input &amp; Settings'!$C$6+S492*'Input &amp; Settings'!$C$7+T492*'Input &amp; Settings'!$C$8+U492*'Input &amp; Settings'!$C$9+V492*'Input &amp; Settings'!$C$10+W492*'Input &amp; Settings'!$C$11+X492*'Input &amp; Settings'!$C$12+Y492*'Input &amp; Settings'!$C$13+Z492*'Input &amp; Settings'!$C$14,1))</f>
        <v/>
      </c>
      <c r="AB492" s="38" t="str">
        <f>IF(OR(AA492="",E492=""),"",IFERROR(IF(AA492&gt;=VLOOKUP(E492,'Input &amp; Settings'!$F$5:$K$10,3,FALSE),"Outstanding",IF(AA492&gt;=VLOOKUP(E492,'Input &amp; Settings'!$F$5:$K$10,4,FALSE),"Exceeds Expectations",IF(AA492&gt;=VLOOKUP(E492,'Input &amp; Settings'!$F$5:$K$10,5,FALSE),"Meets Expectations",IF(AA492&gt;=VLOOKUP(E492,'Input &amp; Settings'!$F$5:$K$10,6,FALSE),"Needs Improvement","Performance Improvement Required")))),""))</f>
        <v/>
      </c>
      <c r="AC492" s="38" t="str">
        <f t="shared" si="28"/>
        <v/>
      </c>
      <c r="AD492" s="39"/>
      <c r="AE492" s="40"/>
      <c r="AF492" s="41" t="str">
        <f t="shared" si="29"/>
        <v/>
      </c>
      <c r="AG492" s="42" t="str">
        <f t="shared" si="30"/>
        <v/>
      </c>
      <c r="AH492" s="42" t="str">
        <f t="shared" si="31"/>
        <v>Lucas Degomme|December</v>
      </c>
    </row>
    <row r="493" spans="1:34" hidden="1">
      <c r="A493" s="32">
        <v>2026</v>
      </c>
      <c r="B493" s="32" t="s">
        <v>97</v>
      </c>
      <c r="C493" s="32" t="s">
        <v>53</v>
      </c>
      <c r="D493" s="32" t="s">
        <v>66</v>
      </c>
      <c r="E493" s="33"/>
      <c r="F493" s="34" t="str">
        <f>IF(E493="","",IFERROR(VLOOKUP(E493,'Input &amp; Settings'!$F$5:$G$10,2,FALSE),""))</f>
        <v/>
      </c>
      <c r="G493" s="33"/>
      <c r="H493" s="33"/>
      <c r="I493" s="35"/>
      <c r="J493" s="33"/>
      <c r="K493" s="36"/>
      <c r="L493" s="35"/>
      <c r="M493" s="33"/>
      <c r="N493" s="33"/>
      <c r="O493" s="33"/>
      <c r="P493" s="33"/>
      <c r="Q493" s="37" t="str">
        <f>IF(G493="","",IFERROR(MIN(100,G493/'Input &amp; Settings'!$B$5*100),""))</f>
        <v/>
      </c>
      <c r="R493" s="37" t="str">
        <f>IF(H493="","",IFERROR(MIN(100,H493/'Input &amp; Settings'!$B$6*100),""))</f>
        <v/>
      </c>
      <c r="S493" s="37" t="str">
        <f>IF(I493="","",IFERROR(MIN(100,I493/'Input &amp; Settings'!$B$7*100),""))</f>
        <v/>
      </c>
      <c r="T493" s="37" t="str">
        <f>IF(J493="","",IFERROR(MIN(100,J493/'Input &amp; Settings'!$B$8*100),""))</f>
        <v/>
      </c>
      <c r="U493" s="37" t="str">
        <f>IF(K493="","",IFERROR(MIN(100,K493/'Input &amp; Settings'!$B$9*100),""))</f>
        <v/>
      </c>
      <c r="V493" s="37" t="str">
        <f>IF(L493="","",IFERROR(MIN(100,L493/'Input &amp; Settings'!$B$10*100),""))</f>
        <v/>
      </c>
      <c r="W493" s="37" t="str">
        <f>IF(M493="","",IFERROR(IF(M493&lt;='Input &amp; Settings'!$B$11,100,MAX(0,100-(M493-'Input &amp; Settings'!$B$11)*20)),""))</f>
        <v/>
      </c>
      <c r="X493" s="37" t="str">
        <f>IF(N493="","",IFERROR(MIN(100,N493/'Input &amp; Settings'!$B$12*100),""))</f>
        <v/>
      </c>
      <c r="Y493" s="37" t="str">
        <f>IF(O493="","",IFERROR(MIN(100,O493/'Input &amp; Settings'!$B$13*100),""))</f>
        <v/>
      </c>
      <c r="Z493" s="37" t="str">
        <f>IF(P493="","",IFERROR(IF(P493&lt;='Input &amp; Settings'!$B$14,100,MAX(0,100-(P493-'Input &amp; Settings'!$B$14)*20)),""))</f>
        <v/>
      </c>
      <c r="AA493" s="37" t="str">
        <f>IF(COUNTA(G493:P493)=0,"",ROUND(Q493*'Input &amp; Settings'!$C$5+R493*'Input &amp; Settings'!$C$6+S493*'Input &amp; Settings'!$C$7+T493*'Input &amp; Settings'!$C$8+U493*'Input &amp; Settings'!$C$9+V493*'Input &amp; Settings'!$C$10+W493*'Input &amp; Settings'!$C$11+X493*'Input &amp; Settings'!$C$12+Y493*'Input &amp; Settings'!$C$13+Z493*'Input &amp; Settings'!$C$14,1))</f>
        <v/>
      </c>
      <c r="AB493" s="38" t="str">
        <f>IF(OR(AA493="",E493=""),"",IFERROR(IF(AA493&gt;=VLOOKUP(E493,'Input &amp; Settings'!$F$5:$K$10,3,FALSE),"Outstanding",IF(AA493&gt;=VLOOKUP(E493,'Input &amp; Settings'!$F$5:$K$10,4,FALSE),"Exceeds Expectations",IF(AA493&gt;=VLOOKUP(E493,'Input &amp; Settings'!$F$5:$K$10,5,FALSE),"Meets Expectations",IF(AA493&gt;=VLOOKUP(E493,'Input &amp; Settings'!$F$5:$K$10,6,FALSE),"Needs Improvement","Performance Improvement Required")))),""))</f>
        <v/>
      </c>
      <c r="AC493" s="38" t="str">
        <f t="shared" si="28"/>
        <v/>
      </c>
      <c r="AD493" s="39"/>
      <c r="AE493" s="40"/>
      <c r="AF493" s="41" t="str">
        <f t="shared" si="29"/>
        <v/>
      </c>
      <c r="AG493" s="42" t="str">
        <f t="shared" si="30"/>
        <v/>
      </c>
      <c r="AH493" s="42" t="str">
        <f t="shared" si="31"/>
        <v>Alexander Chinea|December</v>
      </c>
    </row>
    <row r="494" spans="1:34" hidden="1">
      <c r="A494" s="32">
        <v>2026</v>
      </c>
      <c r="B494" s="32" t="s">
        <v>97</v>
      </c>
      <c r="C494" s="32" t="s">
        <v>53</v>
      </c>
      <c r="D494" s="32" t="s">
        <v>67</v>
      </c>
      <c r="E494" s="33"/>
      <c r="F494" s="34" t="str">
        <f>IF(E494="","",IFERROR(VLOOKUP(E494,'Input &amp; Settings'!$F$5:$G$10,2,FALSE),""))</f>
        <v/>
      </c>
      <c r="G494" s="33"/>
      <c r="H494" s="33"/>
      <c r="I494" s="35"/>
      <c r="J494" s="33"/>
      <c r="K494" s="36"/>
      <c r="L494" s="35"/>
      <c r="M494" s="33"/>
      <c r="N494" s="33"/>
      <c r="O494" s="33"/>
      <c r="P494" s="33"/>
      <c r="Q494" s="37" t="str">
        <f>IF(G494="","",IFERROR(MIN(100,G494/'Input &amp; Settings'!$B$5*100),""))</f>
        <v/>
      </c>
      <c r="R494" s="37" t="str">
        <f>IF(H494="","",IFERROR(MIN(100,H494/'Input &amp; Settings'!$B$6*100),""))</f>
        <v/>
      </c>
      <c r="S494" s="37" t="str">
        <f>IF(I494="","",IFERROR(MIN(100,I494/'Input &amp; Settings'!$B$7*100),""))</f>
        <v/>
      </c>
      <c r="T494" s="37" t="str">
        <f>IF(J494="","",IFERROR(MIN(100,J494/'Input &amp; Settings'!$B$8*100),""))</f>
        <v/>
      </c>
      <c r="U494" s="37" t="str">
        <f>IF(K494="","",IFERROR(MIN(100,K494/'Input &amp; Settings'!$B$9*100),""))</f>
        <v/>
      </c>
      <c r="V494" s="37" t="str">
        <f>IF(L494="","",IFERROR(MIN(100,L494/'Input &amp; Settings'!$B$10*100),""))</f>
        <v/>
      </c>
      <c r="W494" s="37" t="str">
        <f>IF(M494="","",IFERROR(IF(M494&lt;='Input &amp; Settings'!$B$11,100,MAX(0,100-(M494-'Input &amp; Settings'!$B$11)*20)),""))</f>
        <v/>
      </c>
      <c r="X494" s="37" t="str">
        <f>IF(N494="","",IFERROR(MIN(100,N494/'Input &amp; Settings'!$B$12*100),""))</f>
        <v/>
      </c>
      <c r="Y494" s="37" t="str">
        <f>IF(O494="","",IFERROR(MIN(100,O494/'Input &amp; Settings'!$B$13*100),""))</f>
        <v/>
      </c>
      <c r="Z494" s="37" t="str">
        <f>IF(P494="","",IFERROR(IF(P494&lt;='Input &amp; Settings'!$B$14,100,MAX(0,100-(P494-'Input &amp; Settings'!$B$14)*20)),""))</f>
        <v/>
      </c>
      <c r="AA494" s="37" t="str">
        <f>IF(COUNTA(G494:P494)=0,"",ROUND(Q494*'Input &amp; Settings'!$C$5+R494*'Input &amp; Settings'!$C$6+S494*'Input &amp; Settings'!$C$7+T494*'Input &amp; Settings'!$C$8+U494*'Input &amp; Settings'!$C$9+V494*'Input &amp; Settings'!$C$10+W494*'Input &amp; Settings'!$C$11+X494*'Input &amp; Settings'!$C$12+Y494*'Input &amp; Settings'!$C$13+Z494*'Input &amp; Settings'!$C$14,1))</f>
        <v/>
      </c>
      <c r="AB494" s="38" t="str">
        <f>IF(OR(AA494="",E494=""),"",IFERROR(IF(AA494&gt;=VLOOKUP(E494,'Input &amp; Settings'!$F$5:$K$10,3,FALSE),"Outstanding",IF(AA494&gt;=VLOOKUP(E494,'Input &amp; Settings'!$F$5:$K$10,4,FALSE),"Exceeds Expectations",IF(AA494&gt;=VLOOKUP(E494,'Input &amp; Settings'!$F$5:$K$10,5,FALSE),"Meets Expectations",IF(AA494&gt;=VLOOKUP(E494,'Input &amp; Settings'!$F$5:$K$10,6,FALSE),"Needs Improvement","Performance Improvement Required")))),""))</f>
        <v/>
      </c>
      <c r="AC494" s="38" t="str">
        <f t="shared" si="28"/>
        <v/>
      </c>
      <c r="AD494" s="39"/>
      <c r="AE494" s="40"/>
      <c r="AF494" s="41" t="str">
        <f t="shared" si="29"/>
        <v/>
      </c>
      <c r="AG494" s="42" t="str">
        <f t="shared" si="30"/>
        <v/>
      </c>
      <c r="AH494" s="42" t="str">
        <f t="shared" si="31"/>
        <v>Carlos Martinez Monzon|December</v>
      </c>
    </row>
    <row r="495" spans="1:34" hidden="1">
      <c r="A495" s="32">
        <v>2026</v>
      </c>
      <c r="B495" s="32" t="s">
        <v>97</v>
      </c>
      <c r="C495" s="32" t="s">
        <v>53</v>
      </c>
      <c r="D495" s="32" t="s">
        <v>68</v>
      </c>
      <c r="E495" s="33"/>
      <c r="F495" s="34" t="str">
        <f>IF(E495="","",IFERROR(VLOOKUP(E495,'Input &amp; Settings'!$F$5:$G$10,2,FALSE),""))</f>
        <v/>
      </c>
      <c r="G495" s="33"/>
      <c r="H495" s="33"/>
      <c r="I495" s="35"/>
      <c r="J495" s="33"/>
      <c r="K495" s="36"/>
      <c r="L495" s="35"/>
      <c r="M495" s="33"/>
      <c r="N495" s="33"/>
      <c r="O495" s="33"/>
      <c r="P495" s="33"/>
      <c r="Q495" s="37" t="str">
        <f>IF(G495="","",IFERROR(MIN(100,G495/'Input &amp; Settings'!$B$5*100),""))</f>
        <v/>
      </c>
      <c r="R495" s="37" t="str">
        <f>IF(H495="","",IFERROR(MIN(100,H495/'Input &amp; Settings'!$B$6*100),""))</f>
        <v/>
      </c>
      <c r="S495" s="37" t="str">
        <f>IF(I495="","",IFERROR(MIN(100,I495/'Input &amp; Settings'!$B$7*100),""))</f>
        <v/>
      </c>
      <c r="T495" s="37" t="str">
        <f>IF(J495="","",IFERROR(MIN(100,J495/'Input &amp; Settings'!$B$8*100),""))</f>
        <v/>
      </c>
      <c r="U495" s="37" t="str">
        <f>IF(K495="","",IFERROR(MIN(100,K495/'Input &amp; Settings'!$B$9*100),""))</f>
        <v/>
      </c>
      <c r="V495" s="37" t="str">
        <f>IF(L495="","",IFERROR(MIN(100,L495/'Input &amp; Settings'!$B$10*100),""))</f>
        <v/>
      </c>
      <c r="W495" s="37" t="str">
        <f>IF(M495="","",IFERROR(IF(M495&lt;='Input &amp; Settings'!$B$11,100,MAX(0,100-(M495-'Input &amp; Settings'!$B$11)*20)),""))</f>
        <v/>
      </c>
      <c r="X495" s="37" t="str">
        <f>IF(N495="","",IFERROR(MIN(100,N495/'Input &amp; Settings'!$B$12*100),""))</f>
        <v/>
      </c>
      <c r="Y495" s="37" t="str">
        <f>IF(O495="","",IFERROR(MIN(100,O495/'Input &amp; Settings'!$B$13*100),""))</f>
        <v/>
      </c>
      <c r="Z495" s="37" t="str">
        <f>IF(P495="","",IFERROR(IF(P495&lt;='Input &amp; Settings'!$B$14,100,MAX(0,100-(P495-'Input &amp; Settings'!$B$14)*20)),""))</f>
        <v/>
      </c>
      <c r="AA495" s="37" t="str">
        <f>IF(COUNTA(G495:P495)=0,"",ROUND(Q495*'Input &amp; Settings'!$C$5+R495*'Input &amp; Settings'!$C$6+S495*'Input &amp; Settings'!$C$7+T495*'Input &amp; Settings'!$C$8+U495*'Input &amp; Settings'!$C$9+V495*'Input &amp; Settings'!$C$10+W495*'Input &amp; Settings'!$C$11+X495*'Input &amp; Settings'!$C$12+Y495*'Input &amp; Settings'!$C$13+Z495*'Input &amp; Settings'!$C$14,1))</f>
        <v/>
      </c>
      <c r="AB495" s="38" t="str">
        <f>IF(OR(AA495="",E495=""),"",IFERROR(IF(AA495&gt;=VLOOKUP(E495,'Input &amp; Settings'!$F$5:$K$10,3,FALSE),"Outstanding",IF(AA495&gt;=VLOOKUP(E495,'Input &amp; Settings'!$F$5:$K$10,4,FALSE),"Exceeds Expectations",IF(AA495&gt;=VLOOKUP(E495,'Input &amp; Settings'!$F$5:$K$10,5,FALSE),"Meets Expectations",IF(AA495&gt;=VLOOKUP(E495,'Input &amp; Settings'!$F$5:$K$10,6,FALSE),"Needs Improvement","Performance Improvement Required")))),""))</f>
        <v/>
      </c>
      <c r="AC495" s="38" t="str">
        <f t="shared" si="28"/>
        <v/>
      </c>
      <c r="AD495" s="39"/>
      <c r="AE495" s="40"/>
      <c r="AF495" s="41" t="str">
        <f t="shared" si="29"/>
        <v/>
      </c>
      <c r="AG495" s="42" t="str">
        <f t="shared" si="30"/>
        <v/>
      </c>
      <c r="AH495" s="42" t="str">
        <f t="shared" si="31"/>
        <v>Carlos Sanabria|December</v>
      </c>
    </row>
    <row r="496" spans="1:34" hidden="1">
      <c r="A496" s="32">
        <v>2026</v>
      </c>
      <c r="B496" s="32" t="s">
        <v>97</v>
      </c>
      <c r="C496" s="32" t="s">
        <v>53</v>
      </c>
      <c r="D496" s="32" t="s">
        <v>69</v>
      </c>
      <c r="E496" s="33"/>
      <c r="F496" s="34" t="str">
        <f>IF(E496="","",IFERROR(VLOOKUP(E496,'Input &amp; Settings'!$F$5:$G$10,2,FALSE),""))</f>
        <v/>
      </c>
      <c r="G496" s="33"/>
      <c r="H496" s="33"/>
      <c r="I496" s="35"/>
      <c r="J496" s="33"/>
      <c r="K496" s="36"/>
      <c r="L496" s="35"/>
      <c r="M496" s="33"/>
      <c r="N496" s="33"/>
      <c r="O496" s="33"/>
      <c r="P496" s="33"/>
      <c r="Q496" s="37" t="str">
        <f>IF(G496="","",IFERROR(MIN(100,G496/'Input &amp; Settings'!$B$5*100),""))</f>
        <v/>
      </c>
      <c r="R496" s="37" t="str">
        <f>IF(H496="","",IFERROR(MIN(100,H496/'Input &amp; Settings'!$B$6*100),""))</f>
        <v/>
      </c>
      <c r="S496" s="37" t="str">
        <f>IF(I496="","",IFERROR(MIN(100,I496/'Input &amp; Settings'!$B$7*100),""))</f>
        <v/>
      </c>
      <c r="T496" s="37" t="str">
        <f>IF(J496="","",IFERROR(MIN(100,J496/'Input &amp; Settings'!$B$8*100),""))</f>
        <v/>
      </c>
      <c r="U496" s="37" t="str">
        <f>IF(K496="","",IFERROR(MIN(100,K496/'Input &amp; Settings'!$B$9*100),""))</f>
        <v/>
      </c>
      <c r="V496" s="37" t="str">
        <f>IF(L496="","",IFERROR(MIN(100,L496/'Input &amp; Settings'!$B$10*100),""))</f>
        <v/>
      </c>
      <c r="W496" s="37" t="str">
        <f>IF(M496="","",IFERROR(IF(M496&lt;='Input &amp; Settings'!$B$11,100,MAX(0,100-(M496-'Input &amp; Settings'!$B$11)*20)),""))</f>
        <v/>
      </c>
      <c r="X496" s="37" t="str">
        <f>IF(N496="","",IFERROR(MIN(100,N496/'Input &amp; Settings'!$B$12*100),""))</f>
        <v/>
      </c>
      <c r="Y496" s="37" t="str">
        <f>IF(O496="","",IFERROR(MIN(100,O496/'Input &amp; Settings'!$B$13*100),""))</f>
        <v/>
      </c>
      <c r="Z496" s="37" t="str">
        <f>IF(P496="","",IFERROR(IF(P496&lt;='Input &amp; Settings'!$B$14,100,MAX(0,100-(P496-'Input &amp; Settings'!$B$14)*20)),""))</f>
        <v/>
      </c>
      <c r="AA496" s="37" t="str">
        <f>IF(COUNTA(G496:P496)=0,"",ROUND(Q496*'Input &amp; Settings'!$C$5+R496*'Input &amp; Settings'!$C$6+S496*'Input &amp; Settings'!$C$7+T496*'Input &amp; Settings'!$C$8+U496*'Input &amp; Settings'!$C$9+V496*'Input &amp; Settings'!$C$10+W496*'Input &amp; Settings'!$C$11+X496*'Input &amp; Settings'!$C$12+Y496*'Input &amp; Settings'!$C$13+Z496*'Input &amp; Settings'!$C$14,1))</f>
        <v/>
      </c>
      <c r="AB496" s="38" t="str">
        <f>IF(OR(AA496="",E496=""),"",IFERROR(IF(AA496&gt;=VLOOKUP(E496,'Input &amp; Settings'!$F$5:$K$10,3,FALSE),"Outstanding",IF(AA496&gt;=VLOOKUP(E496,'Input &amp; Settings'!$F$5:$K$10,4,FALSE),"Exceeds Expectations",IF(AA496&gt;=VLOOKUP(E496,'Input &amp; Settings'!$F$5:$K$10,5,FALSE),"Meets Expectations",IF(AA496&gt;=VLOOKUP(E496,'Input &amp; Settings'!$F$5:$K$10,6,FALSE),"Needs Improvement","Performance Improvement Required")))),""))</f>
        <v/>
      </c>
      <c r="AC496" s="38" t="str">
        <f t="shared" si="28"/>
        <v/>
      </c>
      <c r="AD496" s="39"/>
      <c r="AE496" s="40"/>
      <c r="AF496" s="41" t="str">
        <f t="shared" si="29"/>
        <v/>
      </c>
      <c r="AG496" s="42" t="str">
        <f t="shared" si="30"/>
        <v/>
      </c>
      <c r="AH496" s="42" t="str">
        <f t="shared" si="31"/>
        <v>Alex Gomes|December</v>
      </c>
    </row>
    <row r="497" spans="1:34" hidden="1">
      <c r="A497" s="32">
        <v>2026</v>
      </c>
      <c r="B497" s="32" t="s">
        <v>97</v>
      </c>
      <c r="C497" s="32" t="s">
        <v>53</v>
      </c>
      <c r="D497" s="32" t="s">
        <v>70</v>
      </c>
      <c r="E497" s="33"/>
      <c r="F497" s="34" t="str">
        <f>IF(E497="","",IFERROR(VLOOKUP(E497,'Input &amp; Settings'!$F$5:$G$10,2,FALSE),""))</f>
        <v/>
      </c>
      <c r="G497" s="33"/>
      <c r="H497" s="33"/>
      <c r="I497" s="35"/>
      <c r="J497" s="33"/>
      <c r="K497" s="36"/>
      <c r="L497" s="35"/>
      <c r="M497" s="33"/>
      <c r="N497" s="33"/>
      <c r="O497" s="33"/>
      <c r="P497" s="33"/>
      <c r="Q497" s="37" t="str">
        <f>IF(G497="","",IFERROR(MIN(100,G497/'Input &amp; Settings'!$B$5*100),""))</f>
        <v/>
      </c>
      <c r="R497" s="37" t="str">
        <f>IF(H497="","",IFERROR(MIN(100,H497/'Input &amp; Settings'!$B$6*100),""))</f>
        <v/>
      </c>
      <c r="S497" s="37" t="str">
        <f>IF(I497="","",IFERROR(MIN(100,I497/'Input &amp; Settings'!$B$7*100),""))</f>
        <v/>
      </c>
      <c r="T497" s="37" t="str">
        <f>IF(J497="","",IFERROR(MIN(100,J497/'Input &amp; Settings'!$B$8*100),""))</f>
        <v/>
      </c>
      <c r="U497" s="37" t="str">
        <f>IF(K497="","",IFERROR(MIN(100,K497/'Input &amp; Settings'!$B$9*100),""))</f>
        <v/>
      </c>
      <c r="V497" s="37" t="str">
        <f>IF(L497="","",IFERROR(MIN(100,L497/'Input &amp; Settings'!$B$10*100),""))</f>
        <v/>
      </c>
      <c r="W497" s="37" t="str">
        <f>IF(M497="","",IFERROR(IF(M497&lt;='Input &amp; Settings'!$B$11,100,MAX(0,100-(M497-'Input &amp; Settings'!$B$11)*20)),""))</f>
        <v/>
      </c>
      <c r="X497" s="37" t="str">
        <f>IF(N497="","",IFERROR(MIN(100,N497/'Input &amp; Settings'!$B$12*100),""))</f>
        <v/>
      </c>
      <c r="Y497" s="37" t="str">
        <f>IF(O497="","",IFERROR(MIN(100,O497/'Input &amp; Settings'!$B$13*100),""))</f>
        <v/>
      </c>
      <c r="Z497" s="37" t="str">
        <f>IF(P497="","",IFERROR(IF(P497&lt;='Input &amp; Settings'!$B$14,100,MAX(0,100-(P497-'Input &amp; Settings'!$B$14)*20)),""))</f>
        <v/>
      </c>
      <c r="AA497" s="37" t="str">
        <f>IF(COUNTA(G497:P497)=0,"",ROUND(Q497*'Input &amp; Settings'!$C$5+R497*'Input &amp; Settings'!$C$6+S497*'Input &amp; Settings'!$C$7+T497*'Input &amp; Settings'!$C$8+U497*'Input &amp; Settings'!$C$9+V497*'Input &amp; Settings'!$C$10+W497*'Input &amp; Settings'!$C$11+X497*'Input &amp; Settings'!$C$12+Y497*'Input &amp; Settings'!$C$13+Z497*'Input &amp; Settings'!$C$14,1))</f>
        <v/>
      </c>
      <c r="AB497" s="38" t="str">
        <f>IF(OR(AA497="",E497=""),"",IFERROR(IF(AA497&gt;=VLOOKUP(E497,'Input &amp; Settings'!$F$5:$K$10,3,FALSE),"Outstanding",IF(AA497&gt;=VLOOKUP(E497,'Input &amp; Settings'!$F$5:$K$10,4,FALSE),"Exceeds Expectations",IF(AA497&gt;=VLOOKUP(E497,'Input &amp; Settings'!$F$5:$K$10,5,FALSE),"Meets Expectations",IF(AA497&gt;=VLOOKUP(E497,'Input &amp; Settings'!$F$5:$K$10,6,FALSE),"Needs Improvement","Performance Improvement Required")))),""))</f>
        <v/>
      </c>
      <c r="AC497" s="38" t="str">
        <f t="shared" si="28"/>
        <v/>
      </c>
      <c r="AD497" s="39"/>
      <c r="AE497" s="40"/>
      <c r="AF497" s="41" t="str">
        <f t="shared" si="29"/>
        <v/>
      </c>
      <c r="AG497" s="42" t="str">
        <f t="shared" si="30"/>
        <v/>
      </c>
      <c r="AH497" s="42" t="str">
        <f t="shared" si="31"/>
        <v>Teddy Joseph|December</v>
      </c>
    </row>
    <row r="498" spans="1:34" hidden="1">
      <c r="A498" s="32">
        <v>2026</v>
      </c>
      <c r="B498" s="32" t="s">
        <v>97</v>
      </c>
      <c r="C498" s="32" t="s">
        <v>53</v>
      </c>
      <c r="D498" s="32" t="s">
        <v>71</v>
      </c>
      <c r="E498" s="33"/>
      <c r="F498" s="34" t="str">
        <f>IF(E498="","",IFERROR(VLOOKUP(E498,'Input &amp; Settings'!$F$5:$G$10,2,FALSE),""))</f>
        <v/>
      </c>
      <c r="G498" s="33"/>
      <c r="H498" s="33"/>
      <c r="I498" s="35"/>
      <c r="J498" s="33"/>
      <c r="K498" s="36"/>
      <c r="L498" s="35"/>
      <c r="M498" s="33"/>
      <c r="N498" s="33"/>
      <c r="O498" s="33"/>
      <c r="P498" s="33"/>
      <c r="Q498" s="37" t="str">
        <f>IF(G498="","",IFERROR(MIN(100,G498/'Input &amp; Settings'!$B$5*100),""))</f>
        <v/>
      </c>
      <c r="R498" s="37" t="str">
        <f>IF(H498="","",IFERROR(MIN(100,H498/'Input &amp; Settings'!$B$6*100),""))</f>
        <v/>
      </c>
      <c r="S498" s="37" t="str">
        <f>IF(I498="","",IFERROR(MIN(100,I498/'Input &amp; Settings'!$B$7*100),""))</f>
        <v/>
      </c>
      <c r="T498" s="37" t="str">
        <f>IF(J498="","",IFERROR(MIN(100,J498/'Input &amp; Settings'!$B$8*100),""))</f>
        <v/>
      </c>
      <c r="U498" s="37" t="str">
        <f>IF(K498="","",IFERROR(MIN(100,K498/'Input &amp; Settings'!$B$9*100),""))</f>
        <v/>
      </c>
      <c r="V498" s="37" t="str">
        <f>IF(L498="","",IFERROR(MIN(100,L498/'Input &amp; Settings'!$B$10*100),""))</f>
        <v/>
      </c>
      <c r="W498" s="37" t="str">
        <f>IF(M498="","",IFERROR(IF(M498&lt;='Input &amp; Settings'!$B$11,100,MAX(0,100-(M498-'Input &amp; Settings'!$B$11)*20)),""))</f>
        <v/>
      </c>
      <c r="X498" s="37" t="str">
        <f>IF(N498="","",IFERROR(MIN(100,N498/'Input &amp; Settings'!$B$12*100),""))</f>
        <v/>
      </c>
      <c r="Y498" s="37" t="str">
        <f>IF(O498="","",IFERROR(MIN(100,O498/'Input &amp; Settings'!$B$13*100),""))</f>
        <v/>
      </c>
      <c r="Z498" s="37" t="str">
        <f>IF(P498="","",IFERROR(IF(P498&lt;='Input &amp; Settings'!$B$14,100,MAX(0,100-(P498-'Input &amp; Settings'!$B$14)*20)),""))</f>
        <v/>
      </c>
      <c r="AA498" s="37" t="str">
        <f>IF(COUNTA(G498:P498)=0,"",ROUND(Q498*'Input &amp; Settings'!$C$5+R498*'Input &amp; Settings'!$C$6+S498*'Input &amp; Settings'!$C$7+T498*'Input &amp; Settings'!$C$8+U498*'Input &amp; Settings'!$C$9+V498*'Input &amp; Settings'!$C$10+W498*'Input &amp; Settings'!$C$11+X498*'Input &amp; Settings'!$C$12+Y498*'Input &amp; Settings'!$C$13+Z498*'Input &amp; Settings'!$C$14,1))</f>
        <v/>
      </c>
      <c r="AB498" s="38" t="str">
        <f>IF(OR(AA498="",E498=""),"",IFERROR(IF(AA498&gt;=VLOOKUP(E498,'Input &amp; Settings'!$F$5:$K$10,3,FALSE),"Outstanding",IF(AA498&gt;=VLOOKUP(E498,'Input &amp; Settings'!$F$5:$K$10,4,FALSE),"Exceeds Expectations",IF(AA498&gt;=VLOOKUP(E498,'Input &amp; Settings'!$F$5:$K$10,5,FALSE),"Meets Expectations",IF(AA498&gt;=VLOOKUP(E498,'Input &amp; Settings'!$F$5:$K$10,6,FALSE),"Needs Improvement","Performance Improvement Required")))),""))</f>
        <v/>
      </c>
      <c r="AC498" s="38" t="str">
        <f t="shared" si="28"/>
        <v/>
      </c>
      <c r="AD498" s="39"/>
      <c r="AE498" s="40"/>
      <c r="AF498" s="41" t="str">
        <f t="shared" si="29"/>
        <v/>
      </c>
      <c r="AG498" s="42" t="str">
        <f t="shared" si="30"/>
        <v/>
      </c>
      <c r="AH498" s="42" t="str">
        <f t="shared" si="31"/>
        <v>Andrew Montgomery|December</v>
      </c>
    </row>
    <row r="499" spans="1:34" hidden="1">
      <c r="A499" s="32">
        <v>2026</v>
      </c>
      <c r="B499" s="32" t="s">
        <v>97</v>
      </c>
      <c r="C499" s="32" t="s">
        <v>53</v>
      </c>
      <c r="D499" s="32" t="s">
        <v>72</v>
      </c>
      <c r="E499" s="33"/>
      <c r="F499" s="34" t="str">
        <f>IF(E499="","",IFERROR(VLOOKUP(E499,'Input &amp; Settings'!$F$5:$G$10,2,FALSE),""))</f>
        <v/>
      </c>
      <c r="G499" s="33"/>
      <c r="H499" s="33"/>
      <c r="I499" s="35"/>
      <c r="J499" s="33"/>
      <c r="K499" s="36"/>
      <c r="L499" s="35"/>
      <c r="M499" s="33"/>
      <c r="N499" s="33"/>
      <c r="O499" s="33"/>
      <c r="P499" s="33"/>
      <c r="Q499" s="37" t="str">
        <f>IF(G499="","",IFERROR(MIN(100,G499/'Input &amp; Settings'!$B$5*100),""))</f>
        <v/>
      </c>
      <c r="R499" s="37" t="str">
        <f>IF(H499="","",IFERROR(MIN(100,H499/'Input &amp; Settings'!$B$6*100),""))</f>
        <v/>
      </c>
      <c r="S499" s="37" t="str">
        <f>IF(I499="","",IFERROR(MIN(100,I499/'Input &amp; Settings'!$B$7*100),""))</f>
        <v/>
      </c>
      <c r="T499" s="37" t="str">
        <f>IF(J499="","",IFERROR(MIN(100,J499/'Input &amp; Settings'!$B$8*100),""))</f>
        <v/>
      </c>
      <c r="U499" s="37" t="str">
        <f>IF(K499="","",IFERROR(MIN(100,K499/'Input &amp; Settings'!$B$9*100),""))</f>
        <v/>
      </c>
      <c r="V499" s="37" t="str">
        <f>IF(L499="","",IFERROR(MIN(100,L499/'Input &amp; Settings'!$B$10*100),""))</f>
        <v/>
      </c>
      <c r="W499" s="37" t="str">
        <f>IF(M499="","",IFERROR(IF(M499&lt;='Input &amp; Settings'!$B$11,100,MAX(0,100-(M499-'Input &amp; Settings'!$B$11)*20)),""))</f>
        <v/>
      </c>
      <c r="X499" s="37" t="str">
        <f>IF(N499="","",IFERROR(MIN(100,N499/'Input &amp; Settings'!$B$12*100),""))</f>
        <v/>
      </c>
      <c r="Y499" s="37" t="str">
        <f>IF(O499="","",IFERROR(MIN(100,O499/'Input &amp; Settings'!$B$13*100),""))</f>
        <v/>
      </c>
      <c r="Z499" s="37" t="str">
        <f>IF(P499="","",IFERROR(IF(P499&lt;='Input &amp; Settings'!$B$14,100,MAX(0,100-(P499-'Input &amp; Settings'!$B$14)*20)),""))</f>
        <v/>
      </c>
      <c r="AA499" s="37" t="str">
        <f>IF(COUNTA(G499:P499)=0,"",ROUND(Q499*'Input &amp; Settings'!$C$5+R499*'Input &amp; Settings'!$C$6+S499*'Input &amp; Settings'!$C$7+T499*'Input &amp; Settings'!$C$8+U499*'Input &amp; Settings'!$C$9+V499*'Input &amp; Settings'!$C$10+W499*'Input &amp; Settings'!$C$11+X499*'Input &amp; Settings'!$C$12+Y499*'Input &amp; Settings'!$C$13+Z499*'Input &amp; Settings'!$C$14,1))</f>
        <v/>
      </c>
      <c r="AB499" s="38" t="str">
        <f>IF(OR(AA499="",E499=""),"",IFERROR(IF(AA499&gt;=VLOOKUP(E499,'Input &amp; Settings'!$F$5:$K$10,3,FALSE),"Outstanding",IF(AA499&gt;=VLOOKUP(E499,'Input &amp; Settings'!$F$5:$K$10,4,FALSE),"Exceeds Expectations",IF(AA499&gt;=VLOOKUP(E499,'Input &amp; Settings'!$F$5:$K$10,5,FALSE),"Meets Expectations",IF(AA499&gt;=VLOOKUP(E499,'Input &amp; Settings'!$F$5:$K$10,6,FALSE),"Needs Improvement","Performance Improvement Required")))),""))</f>
        <v/>
      </c>
      <c r="AC499" s="38" t="str">
        <f t="shared" si="28"/>
        <v/>
      </c>
      <c r="AD499" s="39"/>
      <c r="AE499" s="40"/>
      <c r="AF499" s="41" t="str">
        <f t="shared" si="29"/>
        <v/>
      </c>
      <c r="AG499" s="42" t="str">
        <f t="shared" si="30"/>
        <v/>
      </c>
      <c r="AH499" s="42" t="str">
        <f t="shared" si="31"/>
        <v>Amanda Rodriguez|December</v>
      </c>
    </row>
    <row r="500" spans="1:34" hidden="1">
      <c r="A500" s="32">
        <v>2026</v>
      </c>
      <c r="B500" s="32" t="s">
        <v>97</v>
      </c>
      <c r="C500" s="32" t="s">
        <v>53</v>
      </c>
      <c r="D500" s="32" t="s">
        <v>73</v>
      </c>
      <c r="E500" s="33"/>
      <c r="F500" s="34" t="str">
        <f>IF(E500="","",IFERROR(VLOOKUP(E500,'Input &amp; Settings'!$F$5:$G$10,2,FALSE),""))</f>
        <v/>
      </c>
      <c r="G500" s="33"/>
      <c r="H500" s="33"/>
      <c r="I500" s="35"/>
      <c r="J500" s="33"/>
      <c r="K500" s="36"/>
      <c r="L500" s="35"/>
      <c r="M500" s="33"/>
      <c r="N500" s="33"/>
      <c r="O500" s="33"/>
      <c r="P500" s="33"/>
      <c r="Q500" s="37" t="str">
        <f>IF(G500="","",IFERROR(MIN(100,G500/'Input &amp; Settings'!$B$5*100),""))</f>
        <v/>
      </c>
      <c r="R500" s="37" t="str">
        <f>IF(H500="","",IFERROR(MIN(100,H500/'Input &amp; Settings'!$B$6*100),""))</f>
        <v/>
      </c>
      <c r="S500" s="37" t="str">
        <f>IF(I500="","",IFERROR(MIN(100,I500/'Input &amp; Settings'!$B$7*100),""))</f>
        <v/>
      </c>
      <c r="T500" s="37" t="str">
        <f>IF(J500="","",IFERROR(MIN(100,J500/'Input &amp; Settings'!$B$8*100),""))</f>
        <v/>
      </c>
      <c r="U500" s="37" t="str">
        <f>IF(K500="","",IFERROR(MIN(100,K500/'Input &amp; Settings'!$B$9*100),""))</f>
        <v/>
      </c>
      <c r="V500" s="37" t="str">
        <f>IF(L500="","",IFERROR(MIN(100,L500/'Input &amp; Settings'!$B$10*100),""))</f>
        <v/>
      </c>
      <c r="W500" s="37" t="str">
        <f>IF(M500="","",IFERROR(IF(M500&lt;='Input &amp; Settings'!$B$11,100,MAX(0,100-(M500-'Input &amp; Settings'!$B$11)*20)),""))</f>
        <v/>
      </c>
      <c r="X500" s="37" t="str">
        <f>IF(N500="","",IFERROR(MIN(100,N500/'Input &amp; Settings'!$B$12*100),""))</f>
        <v/>
      </c>
      <c r="Y500" s="37" t="str">
        <f>IF(O500="","",IFERROR(MIN(100,O500/'Input &amp; Settings'!$B$13*100),""))</f>
        <v/>
      </c>
      <c r="Z500" s="37" t="str">
        <f>IF(P500="","",IFERROR(IF(P500&lt;='Input &amp; Settings'!$B$14,100,MAX(0,100-(P500-'Input &amp; Settings'!$B$14)*20)),""))</f>
        <v/>
      </c>
      <c r="AA500" s="37" t="str">
        <f>IF(COUNTA(G500:P500)=0,"",ROUND(Q500*'Input &amp; Settings'!$C$5+R500*'Input &amp; Settings'!$C$6+S500*'Input &amp; Settings'!$C$7+T500*'Input &amp; Settings'!$C$8+U500*'Input &amp; Settings'!$C$9+V500*'Input &amp; Settings'!$C$10+W500*'Input &amp; Settings'!$C$11+X500*'Input &amp; Settings'!$C$12+Y500*'Input &amp; Settings'!$C$13+Z500*'Input &amp; Settings'!$C$14,1))</f>
        <v/>
      </c>
      <c r="AB500" s="38" t="str">
        <f>IF(OR(AA500="",E500=""),"",IFERROR(IF(AA500&gt;=VLOOKUP(E500,'Input &amp; Settings'!$F$5:$K$10,3,FALSE),"Outstanding",IF(AA500&gt;=VLOOKUP(E500,'Input &amp; Settings'!$F$5:$K$10,4,FALSE),"Exceeds Expectations",IF(AA500&gt;=VLOOKUP(E500,'Input &amp; Settings'!$F$5:$K$10,5,FALSE),"Meets Expectations",IF(AA500&gt;=VLOOKUP(E500,'Input &amp; Settings'!$F$5:$K$10,6,FALSE),"Needs Improvement","Performance Improvement Required")))),""))</f>
        <v/>
      </c>
      <c r="AC500" s="38" t="str">
        <f t="shared" si="28"/>
        <v/>
      </c>
      <c r="AD500" s="39"/>
      <c r="AE500" s="40"/>
      <c r="AF500" s="41" t="str">
        <f t="shared" si="29"/>
        <v/>
      </c>
      <c r="AG500" s="42" t="str">
        <f t="shared" si="30"/>
        <v/>
      </c>
      <c r="AH500" s="42" t="str">
        <f t="shared" si="31"/>
        <v>Erick Mojica|December</v>
      </c>
    </row>
    <row r="501" spans="1:34" hidden="1">
      <c r="A501" s="32">
        <v>2026</v>
      </c>
      <c r="B501" s="32" t="s">
        <v>97</v>
      </c>
      <c r="C501" s="32" t="s">
        <v>74</v>
      </c>
      <c r="D501" s="32" t="s">
        <v>75</v>
      </c>
      <c r="E501" s="33"/>
      <c r="F501" s="34" t="str">
        <f>IF(E501="","",IFERROR(VLOOKUP(E501,'Input &amp; Settings'!$F$5:$G$10,2,FALSE),""))</f>
        <v/>
      </c>
      <c r="G501" s="33"/>
      <c r="H501" s="33"/>
      <c r="I501" s="35"/>
      <c r="J501" s="33"/>
      <c r="K501" s="36"/>
      <c r="L501" s="35"/>
      <c r="M501" s="33"/>
      <c r="N501" s="33"/>
      <c r="O501" s="33"/>
      <c r="P501" s="33"/>
      <c r="Q501" s="37" t="str">
        <f>IF(G501="","",IFERROR(MIN(100,G501/'Input &amp; Settings'!$B$5*100),""))</f>
        <v/>
      </c>
      <c r="R501" s="37" t="str">
        <f>IF(H501="","",IFERROR(MIN(100,H501/'Input &amp; Settings'!$B$6*100),""))</f>
        <v/>
      </c>
      <c r="S501" s="37" t="str">
        <f>IF(I501="","",IFERROR(MIN(100,I501/'Input &amp; Settings'!$B$7*100),""))</f>
        <v/>
      </c>
      <c r="T501" s="37" t="str">
        <f>IF(J501="","",IFERROR(MIN(100,J501/'Input &amp; Settings'!$B$8*100),""))</f>
        <v/>
      </c>
      <c r="U501" s="37" t="str">
        <f>IF(K501="","",IFERROR(MIN(100,K501/'Input &amp; Settings'!$B$9*100),""))</f>
        <v/>
      </c>
      <c r="V501" s="37" t="str">
        <f>IF(L501="","",IFERROR(MIN(100,L501/'Input &amp; Settings'!$B$10*100),""))</f>
        <v/>
      </c>
      <c r="W501" s="37" t="str">
        <f>IF(M501="","",IFERROR(IF(M501&lt;='Input &amp; Settings'!$B$11,100,MAX(0,100-(M501-'Input &amp; Settings'!$B$11)*20)),""))</f>
        <v/>
      </c>
      <c r="X501" s="37" t="str">
        <f>IF(N501="","",IFERROR(MIN(100,N501/'Input &amp; Settings'!$B$12*100),""))</f>
        <v/>
      </c>
      <c r="Y501" s="37" t="str">
        <f>IF(O501="","",IFERROR(MIN(100,O501/'Input &amp; Settings'!$B$13*100),""))</f>
        <v/>
      </c>
      <c r="Z501" s="37" t="str">
        <f>IF(P501="","",IFERROR(IF(P501&lt;='Input &amp; Settings'!$B$14,100,MAX(0,100-(P501-'Input &amp; Settings'!$B$14)*20)),""))</f>
        <v/>
      </c>
      <c r="AA501" s="37" t="str">
        <f>IF(COUNTA(G501:P501)=0,"",ROUND(Q501*'Input &amp; Settings'!$C$5+R501*'Input &amp; Settings'!$C$6+S501*'Input &amp; Settings'!$C$7+T501*'Input &amp; Settings'!$C$8+U501*'Input &amp; Settings'!$C$9+V501*'Input &amp; Settings'!$C$10+W501*'Input &amp; Settings'!$C$11+X501*'Input &amp; Settings'!$C$12+Y501*'Input &amp; Settings'!$C$13+Z501*'Input &amp; Settings'!$C$14,1))</f>
        <v/>
      </c>
      <c r="AB501" s="38" t="str">
        <f>IF(OR(AA501="",E501=""),"",IFERROR(IF(AA501&gt;=VLOOKUP(E501,'Input &amp; Settings'!$F$5:$K$10,3,FALSE),"Outstanding",IF(AA501&gt;=VLOOKUP(E501,'Input &amp; Settings'!$F$5:$K$10,4,FALSE),"Exceeds Expectations",IF(AA501&gt;=VLOOKUP(E501,'Input &amp; Settings'!$F$5:$K$10,5,FALSE),"Meets Expectations",IF(AA501&gt;=VLOOKUP(E501,'Input &amp; Settings'!$F$5:$K$10,6,FALSE),"Needs Improvement","Performance Improvement Required")))),""))</f>
        <v/>
      </c>
      <c r="AC501" s="38" t="str">
        <f t="shared" si="28"/>
        <v/>
      </c>
      <c r="AD501" s="39"/>
      <c r="AE501" s="40"/>
      <c r="AF501" s="41" t="str">
        <f t="shared" si="29"/>
        <v/>
      </c>
      <c r="AG501" s="42" t="str">
        <f t="shared" si="30"/>
        <v/>
      </c>
      <c r="AH501" s="42" t="str">
        <f t="shared" si="31"/>
        <v>Raul Rama|December</v>
      </c>
    </row>
    <row r="502" spans="1:34" hidden="1">
      <c r="A502" s="32">
        <v>2026</v>
      </c>
      <c r="B502" s="32" t="s">
        <v>97</v>
      </c>
      <c r="C502" s="32" t="s">
        <v>74</v>
      </c>
      <c r="D502" s="32" t="s">
        <v>76</v>
      </c>
      <c r="E502" s="33"/>
      <c r="F502" s="34" t="str">
        <f>IF(E502="","",IFERROR(VLOOKUP(E502,'Input &amp; Settings'!$F$5:$G$10,2,FALSE),""))</f>
        <v/>
      </c>
      <c r="G502" s="33"/>
      <c r="H502" s="33"/>
      <c r="I502" s="35"/>
      <c r="J502" s="33"/>
      <c r="K502" s="36"/>
      <c r="L502" s="35"/>
      <c r="M502" s="33"/>
      <c r="N502" s="33"/>
      <c r="O502" s="33"/>
      <c r="P502" s="33"/>
      <c r="Q502" s="37" t="str">
        <f>IF(G502="","",IFERROR(MIN(100,G502/'Input &amp; Settings'!$B$5*100),""))</f>
        <v/>
      </c>
      <c r="R502" s="37" t="str">
        <f>IF(H502="","",IFERROR(MIN(100,H502/'Input &amp; Settings'!$B$6*100),""))</f>
        <v/>
      </c>
      <c r="S502" s="37" t="str">
        <f>IF(I502="","",IFERROR(MIN(100,I502/'Input &amp; Settings'!$B$7*100),""))</f>
        <v/>
      </c>
      <c r="T502" s="37" t="str">
        <f>IF(J502="","",IFERROR(MIN(100,J502/'Input &amp; Settings'!$B$8*100),""))</f>
        <v/>
      </c>
      <c r="U502" s="37" t="str">
        <f>IF(K502="","",IFERROR(MIN(100,K502/'Input &amp; Settings'!$B$9*100),""))</f>
        <v/>
      </c>
      <c r="V502" s="37" t="str">
        <f>IF(L502="","",IFERROR(MIN(100,L502/'Input &amp; Settings'!$B$10*100),""))</f>
        <v/>
      </c>
      <c r="W502" s="37" t="str">
        <f>IF(M502="","",IFERROR(IF(M502&lt;='Input &amp; Settings'!$B$11,100,MAX(0,100-(M502-'Input &amp; Settings'!$B$11)*20)),""))</f>
        <v/>
      </c>
      <c r="X502" s="37" t="str">
        <f>IF(N502="","",IFERROR(MIN(100,N502/'Input &amp; Settings'!$B$12*100),""))</f>
        <v/>
      </c>
      <c r="Y502" s="37" t="str">
        <f>IF(O502="","",IFERROR(MIN(100,O502/'Input &amp; Settings'!$B$13*100),""))</f>
        <v/>
      </c>
      <c r="Z502" s="37" t="str">
        <f>IF(P502="","",IFERROR(IF(P502&lt;='Input &amp; Settings'!$B$14,100,MAX(0,100-(P502-'Input &amp; Settings'!$B$14)*20)),""))</f>
        <v/>
      </c>
      <c r="AA502" s="37" t="str">
        <f>IF(COUNTA(G502:P502)=0,"",ROUND(Q502*'Input &amp; Settings'!$C$5+R502*'Input &amp; Settings'!$C$6+S502*'Input &amp; Settings'!$C$7+T502*'Input &amp; Settings'!$C$8+U502*'Input &amp; Settings'!$C$9+V502*'Input &amp; Settings'!$C$10+W502*'Input &amp; Settings'!$C$11+X502*'Input &amp; Settings'!$C$12+Y502*'Input &amp; Settings'!$C$13+Z502*'Input &amp; Settings'!$C$14,1))</f>
        <v/>
      </c>
      <c r="AB502" s="38" t="str">
        <f>IF(OR(AA502="",E502=""),"",IFERROR(IF(AA502&gt;=VLOOKUP(E502,'Input &amp; Settings'!$F$5:$K$10,3,FALSE),"Outstanding",IF(AA502&gt;=VLOOKUP(E502,'Input &amp; Settings'!$F$5:$K$10,4,FALSE),"Exceeds Expectations",IF(AA502&gt;=VLOOKUP(E502,'Input &amp; Settings'!$F$5:$K$10,5,FALSE),"Meets Expectations",IF(AA502&gt;=VLOOKUP(E502,'Input &amp; Settings'!$F$5:$K$10,6,FALSE),"Needs Improvement","Performance Improvement Required")))),""))</f>
        <v/>
      </c>
      <c r="AC502" s="38" t="str">
        <f t="shared" si="28"/>
        <v/>
      </c>
      <c r="AD502" s="39"/>
      <c r="AE502" s="40"/>
      <c r="AF502" s="41" t="str">
        <f t="shared" si="29"/>
        <v/>
      </c>
      <c r="AG502" s="42" t="str">
        <f t="shared" si="30"/>
        <v/>
      </c>
      <c r="AH502" s="42" t="str">
        <f t="shared" si="31"/>
        <v>Kaevon Tyler|December</v>
      </c>
    </row>
    <row r="503" spans="1:34" hidden="1">
      <c r="A503" s="32">
        <v>2026</v>
      </c>
      <c r="B503" s="32" t="s">
        <v>97</v>
      </c>
      <c r="C503" s="32" t="s">
        <v>74</v>
      </c>
      <c r="D503" s="32" t="s">
        <v>77</v>
      </c>
      <c r="E503" s="33"/>
      <c r="F503" s="34" t="str">
        <f>IF(E503="","",IFERROR(VLOOKUP(E503,'Input &amp; Settings'!$F$5:$G$10,2,FALSE),""))</f>
        <v/>
      </c>
      <c r="G503" s="33"/>
      <c r="H503" s="33"/>
      <c r="I503" s="35"/>
      <c r="J503" s="33"/>
      <c r="K503" s="36"/>
      <c r="L503" s="35"/>
      <c r="M503" s="33"/>
      <c r="N503" s="33"/>
      <c r="O503" s="33"/>
      <c r="P503" s="33"/>
      <c r="Q503" s="37" t="str">
        <f>IF(G503="","",IFERROR(MIN(100,G503/'Input &amp; Settings'!$B$5*100),""))</f>
        <v/>
      </c>
      <c r="R503" s="37" t="str">
        <f>IF(H503="","",IFERROR(MIN(100,H503/'Input &amp; Settings'!$B$6*100),""))</f>
        <v/>
      </c>
      <c r="S503" s="37" t="str">
        <f>IF(I503="","",IFERROR(MIN(100,I503/'Input &amp; Settings'!$B$7*100),""))</f>
        <v/>
      </c>
      <c r="T503" s="37" t="str">
        <f>IF(J503="","",IFERROR(MIN(100,J503/'Input &amp; Settings'!$B$8*100),""))</f>
        <v/>
      </c>
      <c r="U503" s="37" t="str">
        <f>IF(K503="","",IFERROR(MIN(100,K503/'Input &amp; Settings'!$B$9*100),""))</f>
        <v/>
      </c>
      <c r="V503" s="37" t="str">
        <f>IF(L503="","",IFERROR(MIN(100,L503/'Input &amp; Settings'!$B$10*100),""))</f>
        <v/>
      </c>
      <c r="W503" s="37" t="str">
        <f>IF(M503="","",IFERROR(IF(M503&lt;='Input &amp; Settings'!$B$11,100,MAX(0,100-(M503-'Input &amp; Settings'!$B$11)*20)),""))</f>
        <v/>
      </c>
      <c r="X503" s="37" t="str">
        <f>IF(N503="","",IFERROR(MIN(100,N503/'Input &amp; Settings'!$B$12*100),""))</f>
        <v/>
      </c>
      <c r="Y503" s="37" t="str">
        <f>IF(O503="","",IFERROR(MIN(100,O503/'Input &amp; Settings'!$B$13*100),""))</f>
        <v/>
      </c>
      <c r="Z503" s="37" t="str">
        <f>IF(P503="","",IFERROR(IF(P503&lt;='Input &amp; Settings'!$B$14,100,MAX(0,100-(P503-'Input &amp; Settings'!$B$14)*20)),""))</f>
        <v/>
      </c>
      <c r="AA503" s="37" t="str">
        <f>IF(COUNTA(G503:P503)=0,"",ROUND(Q503*'Input &amp; Settings'!$C$5+R503*'Input &amp; Settings'!$C$6+S503*'Input &amp; Settings'!$C$7+T503*'Input &amp; Settings'!$C$8+U503*'Input &amp; Settings'!$C$9+V503*'Input &amp; Settings'!$C$10+W503*'Input &amp; Settings'!$C$11+X503*'Input &amp; Settings'!$C$12+Y503*'Input &amp; Settings'!$C$13+Z503*'Input &amp; Settings'!$C$14,1))</f>
        <v/>
      </c>
      <c r="AB503" s="38" t="str">
        <f>IF(OR(AA503="",E503=""),"",IFERROR(IF(AA503&gt;=VLOOKUP(E503,'Input &amp; Settings'!$F$5:$K$10,3,FALSE),"Outstanding",IF(AA503&gt;=VLOOKUP(E503,'Input &amp; Settings'!$F$5:$K$10,4,FALSE),"Exceeds Expectations",IF(AA503&gt;=VLOOKUP(E503,'Input &amp; Settings'!$F$5:$K$10,5,FALSE),"Meets Expectations",IF(AA503&gt;=VLOOKUP(E503,'Input &amp; Settings'!$F$5:$K$10,6,FALSE),"Needs Improvement","Performance Improvement Required")))),""))</f>
        <v/>
      </c>
      <c r="AC503" s="38" t="str">
        <f t="shared" si="28"/>
        <v/>
      </c>
      <c r="AD503" s="39"/>
      <c r="AE503" s="40"/>
      <c r="AF503" s="41" t="str">
        <f t="shared" si="29"/>
        <v/>
      </c>
      <c r="AG503" s="42" t="str">
        <f t="shared" si="30"/>
        <v/>
      </c>
      <c r="AH503" s="42" t="str">
        <f t="shared" si="31"/>
        <v>Christopher Dorta|December</v>
      </c>
    </row>
    <row r="504" spans="1:34" hidden="1">
      <c r="A504" s="32">
        <v>2026</v>
      </c>
      <c r="B504" s="32" t="s">
        <v>97</v>
      </c>
      <c r="C504" s="32" t="s">
        <v>74</v>
      </c>
      <c r="D504" s="32" t="s">
        <v>78</v>
      </c>
      <c r="E504" s="33"/>
      <c r="F504" s="34" t="str">
        <f>IF(E504="","",IFERROR(VLOOKUP(E504,'Input &amp; Settings'!$F$5:$G$10,2,FALSE),""))</f>
        <v/>
      </c>
      <c r="G504" s="33"/>
      <c r="H504" s="33"/>
      <c r="I504" s="35"/>
      <c r="J504" s="33"/>
      <c r="K504" s="36"/>
      <c r="L504" s="35"/>
      <c r="M504" s="33"/>
      <c r="N504" s="33"/>
      <c r="O504" s="33"/>
      <c r="P504" s="33"/>
      <c r="Q504" s="37" t="str">
        <f>IF(G504="","",IFERROR(MIN(100,G504/'Input &amp; Settings'!$B$5*100),""))</f>
        <v/>
      </c>
      <c r="R504" s="37" t="str">
        <f>IF(H504="","",IFERROR(MIN(100,H504/'Input &amp; Settings'!$B$6*100),""))</f>
        <v/>
      </c>
      <c r="S504" s="37" t="str">
        <f>IF(I504="","",IFERROR(MIN(100,I504/'Input &amp; Settings'!$B$7*100),""))</f>
        <v/>
      </c>
      <c r="T504" s="37" t="str">
        <f>IF(J504="","",IFERROR(MIN(100,J504/'Input &amp; Settings'!$B$8*100),""))</f>
        <v/>
      </c>
      <c r="U504" s="37" t="str">
        <f>IF(K504="","",IFERROR(MIN(100,K504/'Input &amp; Settings'!$B$9*100),""))</f>
        <v/>
      </c>
      <c r="V504" s="37" t="str">
        <f>IF(L504="","",IFERROR(MIN(100,L504/'Input &amp; Settings'!$B$10*100),""))</f>
        <v/>
      </c>
      <c r="W504" s="37" t="str">
        <f>IF(M504="","",IFERROR(IF(M504&lt;='Input &amp; Settings'!$B$11,100,MAX(0,100-(M504-'Input &amp; Settings'!$B$11)*20)),""))</f>
        <v/>
      </c>
      <c r="X504" s="37" t="str">
        <f>IF(N504="","",IFERROR(MIN(100,N504/'Input &amp; Settings'!$B$12*100),""))</f>
        <v/>
      </c>
      <c r="Y504" s="37" t="str">
        <f>IF(O504="","",IFERROR(MIN(100,O504/'Input &amp; Settings'!$B$13*100),""))</f>
        <v/>
      </c>
      <c r="Z504" s="37" t="str">
        <f>IF(P504="","",IFERROR(IF(P504&lt;='Input &amp; Settings'!$B$14,100,MAX(0,100-(P504-'Input &amp; Settings'!$B$14)*20)),""))</f>
        <v/>
      </c>
      <c r="AA504" s="37" t="str">
        <f>IF(COUNTA(G504:P504)=0,"",ROUND(Q504*'Input &amp; Settings'!$C$5+R504*'Input &amp; Settings'!$C$6+S504*'Input &amp; Settings'!$C$7+T504*'Input &amp; Settings'!$C$8+U504*'Input &amp; Settings'!$C$9+V504*'Input &amp; Settings'!$C$10+W504*'Input &amp; Settings'!$C$11+X504*'Input &amp; Settings'!$C$12+Y504*'Input &amp; Settings'!$C$13+Z504*'Input &amp; Settings'!$C$14,1))</f>
        <v/>
      </c>
      <c r="AB504" s="38" t="str">
        <f>IF(OR(AA504="",E504=""),"",IFERROR(IF(AA504&gt;=VLOOKUP(E504,'Input &amp; Settings'!$F$5:$K$10,3,FALSE),"Outstanding",IF(AA504&gt;=VLOOKUP(E504,'Input &amp; Settings'!$F$5:$K$10,4,FALSE),"Exceeds Expectations",IF(AA504&gt;=VLOOKUP(E504,'Input &amp; Settings'!$F$5:$K$10,5,FALSE),"Meets Expectations",IF(AA504&gt;=VLOOKUP(E504,'Input &amp; Settings'!$F$5:$K$10,6,FALSE),"Needs Improvement","Performance Improvement Required")))),""))</f>
        <v/>
      </c>
      <c r="AC504" s="38" t="str">
        <f t="shared" si="28"/>
        <v/>
      </c>
      <c r="AD504" s="39"/>
      <c r="AE504" s="40"/>
      <c r="AF504" s="41" t="str">
        <f t="shared" si="29"/>
        <v/>
      </c>
      <c r="AG504" s="42" t="str">
        <f t="shared" si="30"/>
        <v/>
      </c>
      <c r="AH504" s="42" t="str">
        <f t="shared" si="31"/>
        <v>Andres Galvis|December</v>
      </c>
    </row>
    <row r="505" spans="1:34" hidden="1">
      <c r="A505" s="32">
        <v>2026</v>
      </c>
      <c r="B505" s="32" t="s">
        <v>97</v>
      </c>
      <c r="C505" s="32" t="s">
        <v>74</v>
      </c>
      <c r="D505" s="32" t="s">
        <v>79</v>
      </c>
      <c r="E505" s="33"/>
      <c r="F505" s="34" t="str">
        <f>IF(E505="","",IFERROR(VLOOKUP(E505,'Input &amp; Settings'!$F$5:$G$10,2,FALSE),""))</f>
        <v/>
      </c>
      <c r="G505" s="33"/>
      <c r="H505" s="33"/>
      <c r="I505" s="35"/>
      <c r="J505" s="33"/>
      <c r="K505" s="36"/>
      <c r="L505" s="35"/>
      <c r="M505" s="33"/>
      <c r="N505" s="33"/>
      <c r="O505" s="33"/>
      <c r="P505" s="33"/>
      <c r="Q505" s="37" t="str">
        <f>IF(G505="","",IFERROR(MIN(100,G505/'Input &amp; Settings'!$B$5*100),""))</f>
        <v/>
      </c>
      <c r="R505" s="37" t="str">
        <f>IF(H505="","",IFERROR(MIN(100,H505/'Input &amp; Settings'!$B$6*100),""))</f>
        <v/>
      </c>
      <c r="S505" s="37" t="str">
        <f>IF(I505="","",IFERROR(MIN(100,I505/'Input &amp; Settings'!$B$7*100),""))</f>
        <v/>
      </c>
      <c r="T505" s="37" t="str">
        <f>IF(J505="","",IFERROR(MIN(100,J505/'Input &amp; Settings'!$B$8*100),""))</f>
        <v/>
      </c>
      <c r="U505" s="37" t="str">
        <f>IF(K505="","",IFERROR(MIN(100,K505/'Input &amp; Settings'!$B$9*100),""))</f>
        <v/>
      </c>
      <c r="V505" s="37" t="str">
        <f>IF(L505="","",IFERROR(MIN(100,L505/'Input &amp; Settings'!$B$10*100),""))</f>
        <v/>
      </c>
      <c r="W505" s="37" t="str">
        <f>IF(M505="","",IFERROR(IF(M505&lt;='Input &amp; Settings'!$B$11,100,MAX(0,100-(M505-'Input &amp; Settings'!$B$11)*20)),""))</f>
        <v/>
      </c>
      <c r="X505" s="37" t="str">
        <f>IF(N505="","",IFERROR(MIN(100,N505/'Input &amp; Settings'!$B$12*100),""))</f>
        <v/>
      </c>
      <c r="Y505" s="37" t="str">
        <f>IF(O505="","",IFERROR(MIN(100,O505/'Input &amp; Settings'!$B$13*100),""))</f>
        <v/>
      </c>
      <c r="Z505" s="37" t="str">
        <f>IF(P505="","",IFERROR(IF(P505&lt;='Input &amp; Settings'!$B$14,100,MAX(0,100-(P505-'Input &amp; Settings'!$B$14)*20)),""))</f>
        <v/>
      </c>
      <c r="AA505" s="37" t="str">
        <f>IF(COUNTA(G505:P505)=0,"",ROUND(Q505*'Input &amp; Settings'!$C$5+R505*'Input &amp; Settings'!$C$6+S505*'Input &amp; Settings'!$C$7+T505*'Input &amp; Settings'!$C$8+U505*'Input &amp; Settings'!$C$9+V505*'Input &amp; Settings'!$C$10+W505*'Input &amp; Settings'!$C$11+X505*'Input &amp; Settings'!$C$12+Y505*'Input &amp; Settings'!$C$13+Z505*'Input &amp; Settings'!$C$14,1))</f>
        <v/>
      </c>
      <c r="AB505" s="38" t="str">
        <f>IF(OR(AA505="",E505=""),"",IFERROR(IF(AA505&gt;=VLOOKUP(E505,'Input &amp; Settings'!$F$5:$K$10,3,FALSE),"Outstanding",IF(AA505&gt;=VLOOKUP(E505,'Input &amp; Settings'!$F$5:$K$10,4,FALSE),"Exceeds Expectations",IF(AA505&gt;=VLOOKUP(E505,'Input &amp; Settings'!$F$5:$K$10,5,FALSE),"Meets Expectations",IF(AA505&gt;=VLOOKUP(E505,'Input &amp; Settings'!$F$5:$K$10,6,FALSE),"Needs Improvement","Performance Improvement Required")))),""))</f>
        <v/>
      </c>
      <c r="AC505" s="38" t="str">
        <f t="shared" si="28"/>
        <v/>
      </c>
      <c r="AD505" s="39"/>
      <c r="AE505" s="40"/>
      <c r="AF505" s="41" t="str">
        <f t="shared" si="29"/>
        <v/>
      </c>
      <c r="AG505" s="42" t="str">
        <f t="shared" si="30"/>
        <v/>
      </c>
      <c r="AH505" s="42" t="str">
        <f t="shared" si="31"/>
        <v>Roberto Eckardt|December</v>
      </c>
    </row>
    <row r="506" spans="1:34" hidden="1">
      <c r="A506" s="32">
        <v>2026</v>
      </c>
      <c r="B506" s="32" t="s">
        <v>97</v>
      </c>
      <c r="C506" s="32" t="s">
        <v>74</v>
      </c>
      <c r="D506" s="32" t="s">
        <v>80</v>
      </c>
      <c r="E506" s="33"/>
      <c r="F506" s="34" t="str">
        <f>IF(E506="","",IFERROR(VLOOKUP(E506,'Input &amp; Settings'!$F$5:$G$10,2,FALSE),""))</f>
        <v/>
      </c>
      <c r="G506" s="33"/>
      <c r="H506" s="33"/>
      <c r="I506" s="35"/>
      <c r="J506" s="33"/>
      <c r="K506" s="36"/>
      <c r="L506" s="35"/>
      <c r="M506" s="33"/>
      <c r="N506" s="33"/>
      <c r="O506" s="33"/>
      <c r="P506" s="33"/>
      <c r="Q506" s="37" t="str">
        <f>IF(G506="","",IFERROR(MIN(100,G506/'Input &amp; Settings'!$B$5*100),""))</f>
        <v/>
      </c>
      <c r="R506" s="37" t="str">
        <f>IF(H506="","",IFERROR(MIN(100,H506/'Input &amp; Settings'!$B$6*100),""))</f>
        <v/>
      </c>
      <c r="S506" s="37" t="str">
        <f>IF(I506="","",IFERROR(MIN(100,I506/'Input &amp; Settings'!$B$7*100),""))</f>
        <v/>
      </c>
      <c r="T506" s="37" t="str">
        <f>IF(J506="","",IFERROR(MIN(100,J506/'Input &amp; Settings'!$B$8*100),""))</f>
        <v/>
      </c>
      <c r="U506" s="37" t="str">
        <f>IF(K506="","",IFERROR(MIN(100,K506/'Input &amp; Settings'!$B$9*100),""))</f>
        <v/>
      </c>
      <c r="V506" s="37" t="str">
        <f>IF(L506="","",IFERROR(MIN(100,L506/'Input &amp; Settings'!$B$10*100),""))</f>
        <v/>
      </c>
      <c r="W506" s="37" t="str">
        <f>IF(M506="","",IFERROR(IF(M506&lt;='Input &amp; Settings'!$B$11,100,MAX(0,100-(M506-'Input &amp; Settings'!$B$11)*20)),""))</f>
        <v/>
      </c>
      <c r="X506" s="37" t="str">
        <f>IF(N506="","",IFERROR(MIN(100,N506/'Input &amp; Settings'!$B$12*100),""))</f>
        <v/>
      </c>
      <c r="Y506" s="37" t="str">
        <f>IF(O506="","",IFERROR(MIN(100,O506/'Input &amp; Settings'!$B$13*100),""))</f>
        <v/>
      </c>
      <c r="Z506" s="37" t="str">
        <f>IF(P506="","",IFERROR(IF(P506&lt;='Input &amp; Settings'!$B$14,100,MAX(0,100-(P506-'Input &amp; Settings'!$B$14)*20)),""))</f>
        <v/>
      </c>
      <c r="AA506" s="37" t="str">
        <f>IF(COUNTA(G506:P506)=0,"",ROUND(Q506*'Input &amp; Settings'!$C$5+R506*'Input &amp; Settings'!$C$6+S506*'Input &amp; Settings'!$C$7+T506*'Input &amp; Settings'!$C$8+U506*'Input &amp; Settings'!$C$9+V506*'Input &amp; Settings'!$C$10+W506*'Input &amp; Settings'!$C$11+X506*'Input &amp; Settings'!$C$12+Y506*'Input &amp; Settings'!$C$13+Z506*'Input &amp; Settings'!$C$14,1))</f>
        <v/>
      </c>
      <c r="AB506" s="38" t="str">
        <f>IF(OR(AA506="",E506=""),"",IFERROR(IF(AA506&gt;=VLOOKUP(E506,'Input &amp; Settings'!$F$5:$K$10,3,FALSE),"Outstanding",IF(AA506&gt;=VLOOKUP(E506,'Input &amp; Settings'!$F$5:$K$10,4,FALSE),"Exceeds Expectations",IF(AA506&gt;=VLOOKUP(E506,'Input &amp; Settings'!$F$5:$K$10,5,FALSE),"Meets Expectations",IF(AA506&gt;=VLOOKUP(E506,'Input &amp; Settings'!$F$5:$K$10,6,FALSE),"Needs Improvement","Performance Improvement Required")))),""))</f>
        <v/>
      </c>
      <c r="AC506" s="38" t="str">
        <f t="shared" si="28"/>
        <v/>
      </c>
      <c r="AD506" s="39"/>
      <c r="AE506" s="40"/>
      <c r="AF506" s="41" t="str">
        <f t="shared" si="29"/>
        <v/>
      </c>
      <c r="AG506" s="42" t="str">
        <f t="shared" si="30"/>
        <v/>
      </c>
      <c r="AH506" s="42" t="str">
        <f t="shared" si="31"/>
        <v>Angel Perez Martinez|December</v>
      </c>
    </row>
    <row r="507" spans="1:34"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</sheetData>
  <autoFilter ref="A2:AH506" xr:uid="{00000000-0001-0000-0000-000000000000}">
    <filterColumn colId="1">
      <filters>
        <filter val="July"/>
      </filters>
    </filterColumn>
    <filterColumn colId="3">
      <filters>
        <filter val="Julian Grier"/>
      </filters>
    </filterColumn>
  </autoFilter>
  <mergeCells count="1">
    <mergeCell ref="A1:AH1"/>
  </mergeCells>
  <conditionalFormatting sqref="A3:F506">
    <cfRule type="expression" dxfId="31" priority="14">
      <formula>AND($B3&lt;&gt;"",$B3&lt;&gt;$B2)</formula>
    </cfRule>
  </conditionalFormatting>
  <conditionalFormatting sqref="F3:F506">
    <cfRule type="expression" dxfId="30" priority="1">
      <formula>F3="High"</formula>
    </cfRule>
    <cfRule type="expression" dxfId="29" priority="2">
      <formula>F3="Normal"</formula>
    </cfRule>
    <cfRule type="expression" dxfId="28" priority="3">
      <formula>F3="Low"</formula>
    </cfRule>
    <cfRule type="expression" dxfId="27" priority="11">
      <formula>F3="High"</formula>
    </cfRule>
    <cfRule type="expression" dxfId="26" priority="12">
      <formula>F3="Normal"</formula>
    </cfRule>
    <cfRule type="expression" dxfId="25" priority="13">
      <formula>F3="Low"</formula>
    </cfRule>
  </conditionalFormatting>
  <conditionalFormatting sqref="AA3:AA506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B3:AB506">
    <cfRule type="expression" dxfId="24" priority="5">
      <formula>AB3="Outstanding"</formula>
    </cfRule>
    <cfRule type="expression" dxfId="23" priority="6">
      <formula>AB3="Exceeds Expectations"</formula>
    </cfRule>
    <cfRule type="expression" dxfId="22" priority="7">
      <formula>AB3="Meets Expectations"</formula>
    </cfRule>
    <cfRule type="expression" dxfId="21" priority="8">
      <formula>AB3="Needs Improvement"</formula>
    </cfRule>
    <cfRule type="expression" dxfId="20" priority="9">
      <formula>AB3="Performance Improvement Required"</formula>
    </cfRule>
  </conditionalFormatting>
  <conditionalFormatting sqref="AF3:AF50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B3:B506" xr:uid="{00000000-0002-0000-0000-000000000000}">
      <formula1>"January,February,March,April,May,June,July,August,September,October,November,December"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'Input &amp; Settings'!$P$2:$P$7</xm:f>
          </x14:formula1>
          <xm:sqref>E3:E506</xm:sqref>
        </x14:dataValidation>
        <x14:dataValidation type="list" xr:uid="{00000000-0002-0000-0000-000002000000}">
          <x14:formula1>
            <xm:f>'Input &amp; Settings'!$Q$2:$Q$6</xm:f>
          </x14:formula1>
          <xm:sqref>AE3:AE506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workbookViewId="0">
      <selection activeCell="F15" sqref="F15"/>
    </sheetView>
  </sheetViews>
  <sheetFormatPr defaultColWidth="33.5703125" defaultRowHeight="14.25"/>
  <cols>
    <col min="1" max="1" width="20" customWidth="1"/>
    <col min="2" max="2" width="29" customWidth="1"/>
    <col min="3" max="3" width="8.42578125" customWidth="1"/>
    <col min="4" max="4" width="30" customWidth="1"/>
    <col min="5" max="5" width="28" customWidth="1"/>
    <col min="6" max="6" width="16" customWidth="1"/>
    <col min="7" max="7" width="11" customWidth="1"/>
    <col min="8" max="8" width="6.7109375" customWidth="1"/>
    <col min="9" max="9" width="10" customWidth="1"/>
    <col min="10" max="10" width="33" customWidth="1"/>
    <col min="11" max="11" width="6.42578125" customWidth="1"/>
  </cols>
  <sheetData>
    <row r="1" spans="1:12">
      <c r="A1" s="8" t="s">
        <v>98</v>
      </c>
      <c r="B1" s="9" t="s">
        <v>99</v>
      </c>
      <c r="C1" s="8"/>
      <c r="D1" s="11" t="s">
        <v>100</v>
      </c>
      <c r="E1" s="11" t="s">
        <v>101</v>
      </c>
      <c r="F1" s="11" t="s">
        <v>102</v>
      </c>
      <c r="G1" s="11" t="s">
        <v>103</v>
      </c>
      <c r="H1" s="10"/>
      <c r="I1" s="12" t="s">
        <v>104</v>
      </c>
      <c r="J1" s="12" t="s">
        <v>105</v>
      </c>
      <c r="K1" s="8"/>
      <c r="L1" s="7"/>
    </row>
    <row r="2" spans="1:12" ht="8.25" customHeight="1">
      <c r="A2" s="4" t="s">
        <v>36</v>
      </c>
      <c r="B2" s="4" t="s">
        <v>37</v>
      </c>
      <c r="D2" s="13" t="s">
        <v>106</v>
      </c>
      <c r="E2" s="13" t="s">
        <v>7</v>
      </c>
      <c r="F2" s="13" t="s">
        <v>107</v>
      </c>
      <c r="G2" s="14">
        <v>0.15</v>
      </c>
      <c r="H2" s="1"/>
      <c r="I2" s="15" t="s">
        <v>108</v>
      </c>
      <c r="J2" s="15" t="s">
        <v>109</v>
      </c>
      <c r="K2" s="7"/>
      <c r="L2" s="7"/>
    </row>
    <row r="3" spans="1:12">
      <c r="A3" s="4" t="s">
        <v>36</v>
      </c>
      <c r="B3" s="4" t="s">
        <v>38</v>
      </c>
      <c r="D3" s="13" t="s">
        <v>110</v>
      </c>
      <c r="E3" s="13" t="s">
        <v>8</v>
      </c>
      <c r="F3" s="13" t="s">
        <v>111</v>
      </c>
      <c r="G3" s="14">
        <v>0.1</v>
      </c>
      <c r="H3" s="1"/>
      <c r="I3" s="15" t="s">
        <v>112</v>
      </c>
      <c r="J3" s="15" t="s">
        <v>113</v>
      </c>
      <c r="K3" s="7"/>
      <c r="L3" s="7"/>
    </row>
    <row r="4" spans="1:12">
      <c r="A4" s="4" t="s">
        <v>36</v>
      </c>
      <c r="B4" s="4" t="s">
        <v>39</v>
      </c>
      <c r="D4" s="13" t="s">
        <v>114</v>
      </c>
      <c r="E4" s="13" t="s">
        <v>9</v>
      </c>
      <c r="F4" s="13" t="s">
        <v>115</v>
      </c>
      <c r="G4" s="14">
        <v>0.1</v>
      </c>
      <c r="H4" s="1"/>
      <c r="I4" s="15" t="s">
        <v>116</v>
      </c>
      <c r="J4" s="15" t="s">
        <v>117</v>
      </c>
      <c r="K4" s="7"/>
      <c r="L4" s="7"/>
    </row>
    <row r="5" spans="1:12">
      <c r="A5" s="4" t="s">
        <v>36</v>
      </c>
      <c r="B5" s="4" t="s">
        <v>40</v>
      </c>
      <c r="D5" s="13" t="s">
        <v>118</v>
      </c>
      <c r="E5" s="13" t="s">
        <v>10</v>
      </c>
      <c r="F5" s="13" t="s">
        <v>119</v>
      </c>
      <c r="G5" s="14">
        <v>0.1</v>
      </c>
      <c r="H5" s="1"/>
      <c r="I5" s="15" t="s">
        <v>120</v>
      </c>
      <c r="J5" s="15" t="s">
        <v>121</v>
      </c>
      <c r="K5" s="7"/>
      <c r="L5" s="7"/>
    </row>
    <row r="6" spans="1:12">
      <c r="A6" s="4" t="s">
        <v>36</v>
      </c>
      <c r="B6" s="4" t="s">
        <v>41</v>
      </c>
      <c r="D6" s="13" t="s">
        <v>122</v>
      </c>
      <c r="E6" s="13" t="s">
        <v>11</v>
      </c>
      <c r="F6" s="13" t="s">
        <v>123</v>
      </c>
      <c r="G6" s="14">
        <v>0.1</v>
      </c>
      <c r="H6" s="1"/>
      <c r="I6" s="15" t="s">
        <v>124</v>
      </c>
      <c r="J6" s="15" t="s">
        <v>125</v>
      </c>
      <c r="K6" s="7"/>
      <c r="L6" s="7"/>
    </row>
    <row r="7" spans="1:12">
      <c r="A7" s="4" t="s">
        <v>36</v>
      </c>
      <c r="B7" s="4" t="s">
        <v>42</v>
      </c>
      <c r="D7" s="13" t="s">
        <v>126</v>
      </c>
      <c r="E7" s="13" t="s">
        <v>12</v>
      </c>
      <c r="F7" s="13" t="s">
        <v>115</v>
      </c>
      <c r="G7" s="14">
        <v>0.1</v>
      </c>
      <c r="H7" s="1"/>
      <c r="I7" s="1"/>
      <c r="J7" s="1"/>
      <c r="K7" s="7"/>
      <c r="L7" s="7"/>
    </row>
    <row r="8" spans="1:12">
      <c r="A8" s="4" t="s">
        <v>36</v>
      </c>
      <c r="B8" s="4" t="s">
        <v>43</v>
      </c>
      <c r="D8" s="13" t="s">
        <v>127</v>
      </c>
      <c r="E8" s="13" t="s">
        <v>128</v>
      </c>
      <c r="F8" s="13" t="s">
        <v>129</v>
      </c>
      <c r="G8" s="14">
        <v>0.1</v>
      </c>
      <c r="H8" s="1"/>
      <c r="I8" s="1"/>
      <c r="J8" s="1"/>
      <c r="K8" s="7"/>
      <c r="L8" s="7"/>
    </row>
    <row r="9" spans="1:12">
      <c r="A9" s="4" t="s">
        <v>36</v>
      </c>
      <c r="B9" s="4" t="s">
        <v>44</v>
      </c>
      <c r="D9" s="13" t="s">
        <v>130</v>
      </c>
      <c r="E9" s="13" t="s">
        <v>14</v>
      </c>
      <c r="F9" s="13" t="s">
        <v>131</v>
      </c>
      <c r="G9" s="14">
        <v>0.05</v>
      </c>
      <c r="H9" s="1"/>
      <c r="I9" s="16" t="s">
        <v>104</v>
      </c>
      <c r="J9" s="16" t="s">
        <v>87</v>
      </c>
      <c r="K9" s="7"/>
      <c r="L9" s="7"/>
    </row>
    <row r="10" spans="1:12">
      <c r="A10" s="4" t="s">
        <v>36</v>
      </c>
      <c r="B10" s="4" t="s">
        <v>45</v>
      </c>
      <c r="D10" s="3" t="s">
        <v>132</v>
      </c>
      <c r="E10" s="3" t="s">
        <v>15</v>
      </c>
      <c r="F10" s="3" t="s">
        <v>133</v>
      </c>
      <c r="G10" s="2">
        <v>0.05</v>
      </c>
      <c r="H10" s="1"/>
      <c r="I10" s="15" t="s">
        <v>134</v>
      </c>
      <c r="J10" s="15" t="s">
        <v>109</v>
      </c>
      <c r="K10" s="7"/>
      <c r="L10" s="7"/>
    </row>
    <row r="11" spans="1:12">
      <c r="A11" s="4" t="s">
        <v>36</v>
      </c>
      <c r="B11" s="4" t="s">
        <v>46</v>
      </c>
      <c r="C11" s="7"/>
      <c r="D11" s="15" t="s">
        <v>16</v>
      </c>
      <c r="E11" s="15" t="s">
        <v>135</v>
      </c>
      <c r="F11" s="13" t="s">
        <v>136</v>
      </c>
      <c r="G11" s="14">
        <v>0.15</v>
      </c>
      <c r="H11" s="7"/>
      <c r="I11" s="15" t="s">
        <v>137</v>
      </c>
      <c r="J11" s="15" t="s">
        <v>113</v>
      </c>
      <c r="K11" s="7"/>
      <c r="L11" s="7"/>
    </row>
    <row r="12" spans="1:12">
      <c r="A12" s="4" t="s">
        <v>36</v>
      </c>
      <c r="B12" s="4" t="s">
        <v>47</v>
      </c>
      <c r="D12" s="7"/>
      <c r="E12" s="7"/>
      <c r="F12" s="7"/>
      <c r="G12" s="7"/>
      <c r="I12" s="15" t="s">
        <v>138</v>
      </c>
      <c r="J12" s="15" t="s">
        <v>117</v>
      </c>
    </row>
    <row r="13" spans="1:12">
      <c r="A13" s="4" t="s">
        <v>36</v>
      </c>
      <c r="B13" s="4" t="s">
        <v>48</v>
      </c>
      <c r="I13" s="15" t="s">
        <v>139</v>
      </c>
      <c r="J13" s="15" t="s">
        <v>121</v>
      </c>
    </row>
    <row r="14" spans="1:12">
      <c r="A14" s="4" t="s">
        <v>36</v>
      </c>
      <c r="B14" s="4" t="s">
        <v>49</v>
      </c>
      <c r="I14" s="15" t="s">
        <v>140</v>
      </c>
      <c r="J14" s="15" t="s">
        <v>125</v>
      </c>
    </row>
    <row r="15" spans="1:12">
      <c r="A15" s="4" t="s">
        <v>36</v>
      </c>
      <c r="B15" s="4" t="s">
        <v>50</v>
      </c>
    </row>
    <row r="16" spans="1:12">
      <c r="A16" s="4" t="s">
        <v>36</v>
      </c>
      <c r="B16" s="4" t="s">
        <v>51</v>
      </c>
    </row>
    <row r="17" spans="1:10">
      <c r="A17" s="4" t="s">
        <v>36</v>
      </c>
      <c r="B17" s="4" t="s">
        <v>52</v>
      </c>
      <c r="I17" s="16" t="s">
        <v>104</v>
      </c>
      <c r="J17" s="16" t="s">
        <v>88</v>
      </c>
    </row>
    <row r="18" spans="1:10">
      <c r="A18" s="4" t="s">
        <v>53</v>
      </c>
      <c r="B18" s="4" t="s">
        <v>54</v>
      </c>
      <c r="I18" s="15" t="s">
        <v>141</v>
      </c>
      <c r="J18" s="15" t="s">
        <v>109</v>
      </c>
    </row>
    <row r="19" spans="1:10">
      <c r="A19" s="4" t="s">
        <v>53</v>
      </c>
      <c r="B19" s="4" t="s">
        <v>55</v>
      </c>
      <c r="I19" s="15" t="s">
        <v>142</v>
      </c>
      <c r="J19" s="15" t="s">
        <v>113</v>
      </c>
    </row>
    <row r="20" spans="1:10">
      <c r="A20" s="4" t="s">
        <v>53</v>
      </c>
      <c r="B20" s="5" t="s">
        <v>56</v>
      </c>
      <c r="I20" s="15" t="s">
        <v>143</v>
      </c>
      <c r="J20" s="15" t="s">
        <v>117</v>
      </c>
    </row>
    <row r="21" spans="1:10">
      <c r="A21" s="4" t="s">
        <v>53</v>
      </c>
      <c r="B21" s="4" t="s">
        <v>57</v>
      </c>
      <c r="I21" s="15" t="s">
        <v>144</v>
      </c>
      <c r="J21" s="15" t="s">
        <v>121</v>
      </c>
    </row>
    <row r="22" spans="1:10">
      <c r="A22" s="4" t="s">
        <v>53</v>
      </c>
      <c r="B22" s="4" t="s">
        <v>58</v>
      </c>
      <c r="I22" s="15" t="s">
        <v>145</v>
      </c>
      <c r="J22" s="15" t="s">
        <v>125</v>
      </c>
    </row>
    <row r="23" spans="1:10">
      <c r="A23" s="4" t="s">
        <v>53</v>
      </c>
      <c r="B23" s="4" t="s">
        <v>59</v>
      </c>
    </row>
    <row r="24" spans="1:10">
      <c r="A24" s="4" t="s">
        <v>53</v>
      </c>
      <c r="B24" s="4" t="s">
        <v>60</v>
      </c>
    </row>
    <row r="25" spans="1:10">
      <c r="A25" s="4" t="s">
        <v>53</v>
      </c>
      <c r="B25" s="4" t="s">
        <v>61</v>
      </c>
      <c r="I25" s="16" t="s">
        <v>104</v>
      </c>
      <c r="J25" s="16" t="s">
        <v>89</v>
      </c>
    </row>
    <row r="26" spans="1:10">
      <c r="A26" s="4" t="s">
        <v>53</v>
      </c>
      <c r="B26" s="4" t="s">
        <v>62</v>
      </c>
      <c r="I26" s="15" t="s">
        <v>146</v>
      </c>
      <c r="J26" s="15" t="s">
        <v>109</v>
      </c>
    </row>
    <row r="27" spans="1:10">
      <c r="A27" s="4" t="s">
        <v>53</v>
      </c>
      <c r="B27" s="4" t="s">
        <v>63</v>
      </c>
      <c r="I27" s="15" t="s">
        <v>147</v>
      </c>
      <c r="J27" s="15" t="s">
        <v>113</v>
      </c>
    </row>
    <row r="28" spans="1:10">
      <c r="A28" s="4" t="s">
        <v>53</v>
      </c>
      <c r="B28" s="4" t="s">
        <v>64</v>
      </c>
      <c r="I28" s="15" t="s">
        <v>148</v>
      </c>
      <c r="J28" s="15" t="s">
        <v>117</v>
      </c>
    </row>
    <row r="29" spans="1:10">
      <c r="A29" s="4" t="s">
        <v>53</v>
      </c>
      <c r="B29" s="4" t="s">
        <v>65</v>
      </c>
      <c r="I29" s="15" t="s">
        <v>149</v>
      </c>
      <c r="J29" s="15" t="s">
        <v>121</v>
      </c>
    </row>
    <row r="30" spans="1:10">
      <c r="A30" s="4" t="s">
        <v>53</v>
      </c>
      <c r="B30" s="4" t="s">
        <v>66</v>
      </c>
      <c r="I30" s="15" t="s">
        <v>150</v>
      </c>
      <c r="J30" s="15" t="s">
        <v>125</v>
      </c>
    </row>
    <row r="31" spans="1:10">
      <c r="A31" s="4" t="s">
        <v>53</v>
      </c>
      <c r="B31" s="4" t="s">
        <v>67</v>
      </c>
    </row>
    <row r="32" spans="1:10">
      <c r="A32" s="4" t="s">
        <v>53</v>
      </c>
      <c r="B32" s="4" t="s">
        <v>68</v>
      </c>
      <c r="I32" s="16" t="s">
        <v>104</v>
      </c>
      <c r="J32" s="16" t="s">
        <v>91</v>
      </c>
    </row>
    <row r="33" spans="1:10">
      <c r="A33" s="4" t="s">
        <v>53</v>
      </c>
      <c r="B33" s="4" t="s">
        <v>69</v>
      </c>
      <c r="I33" s="15" t="s">
        <v>151</v>
      </c>
      <c r="J33" s="15" t="s">
        <v>109</v>
      </c>
    </row>
    <row r="34" spans="1:10">
      <c r="A34" s="4" t="s">
        <v>53</v>
      </c>
      <c r="B34" s="4" t="s">
        <v>70</v>
      </c>
      <c r="I34" s="15" t="s">
        <v>152</v>
      </c>
      <c r="J34" s="15" t="s">
        <v>113</v>
      </c>
    </row>
    <row r="35" spans="1:10">
      <c r="A35" s="4" t="s">
        <v>53</v>
      </c>
      <c r="B35" s="4" t="s">
        <v>71</v>
      </c>
      <c r="I35" s="15" t="s">
        <v>153</v>
      </c>
      <c r="J35" s="15" t="s">
        <v>117</v>
      </c>
    </row>
    <row r="36" spans="1:10">
      <c r="A36" s="4" t="s">
        <v>53</v>
      </c>
      <c r="B36" s="4" t="s">
        <v>72</v>
      </c>
      <c r="I36" s="15" t="s">
        <v>154</v>
      </c>
      <c r="J36" s="15" t="s">
        <v>121</v>
      </c>
    </row>
    <row r="37" spans="1:10">
      <c r="A37" s="4" t="s">
        <v>53</v>
      </c>
      <c r="B37" s="4" t="s">
        <v>73</v>
      </c>
      <c r="I37" s="15" t="s">
        <v>155</v>
      </c>
      <c r="J37" s="15" t="s">
        <v>125</v>
      </c>
    </row>
    <row r="38" spans="1:10">
      <c r="A38" s="4" t="s">
        <v>74</v>
      </c>
      <c r="B38" s="5" t="s">
        <v>75</v>
      </c>
    </row>
    <row r="39" spans="1:10">
      <c r="A39" s="4" t="s">
        <v>74</v>
      </c>
      <c r="B39" s="5" t="s">
        <v>76</v>
      </c>
    </row>
    <row r="40" spans="1:10">
      <c r="A40" s="4" t="s">
        <v>74</v>
      </c>
      <c r="B40" s="5" t="s">
        <v>77</v>
      </c>
      <c r="I40" s="16" t="s">
        <v>104</v>
      </c>
      <c r="J40" s="16" t="s">
        <v>90</v>
      </c>
    </row>
    <row r="41" spans="1:10">
      <c r="A41" s="4" t="s">
        <v>74</v>
      </c>
      <c r="B41" s="5" t="s">
        <v>78</v>
      </c>
      <c r="I41" s="15" t="s">
        <v>156</v>
      </c>
      <c r="J41" s="15" t="s">
        <v>109</v>
      </c>
    </row>
    <row r="42" spans="1:10">
      <c r="A42" s="4" t="s">
        <v>74</v>
      </c>
      <c r="B42" s="5" t="s">
        <v>79</v>
      </c>
      <c r="I42" s="15" t="s">
        <v>157</v>
      </c>
      <c r="J42" s="15" t="s">
        <v>113</v>
      </c>
    </row>
    <row r="43" spans="1:10">
      <c r="A43" s="4" t="s">
        <v>74</v>
      </c>
      <c r="B43" s="5" t="s">
        <v>80</v>
      </c>
      <c r="I43" s="15" t="s">
        <v>158</v>
      </c>
      <c r="J43" s="15" t="s">
        <v>117</v>
      </c>
    </row>
    <row r="44" spans="1:10">
      <c r="A44" s="4"/>
      <c r="B44" s="5"/>
      <c r="I44" s="15" t="s">
        <v>159</v>
      </c>
      <c r="J44" s="15" t="s">
        <v>121</v>
      </c>
    </row>
    <row r="45" spans="1:10">
      <c r="A45" s="4"/>
      <c r="B45" s="5"/>
      <c r="I45" s="15" t="s">
        <v>160</v>
      </c>
      <c r="J45" s="15" t="s">
        <v>125</v>
      </c>
    </row>
    <row r="46" spans="1:10">
      <c r="A46" s="4"/>
      <c r="B4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workbookViewId="0">
      <selection activeCell="K15" sqref="K15"/>
    </sheetView>
  </sheetViews>
  <sheetFormatPr defaultRowHeight="14.25"/>
  <cols>
    <col min="1" max="1" width="24" customWidth="1"/>
    <col min="2" max="3" width="12" customWidth="1"/>
    <col min="4" max="4" width="20" customWidth="1"/>
    <col min="6" max="6" width="22" customWidth="1"/>
    <col min="7" max="7" width="12" customWidth="1"/>
    <col min="8" max="11" width="18" customWidth="1"/>
    <col min="13" max="17" width="24" customWidth="1"/>
  </cols>
  <sheetData>
    <row r="1" spans="1:17" ht="21">
      <c r="A1" s="45" t="s">
        <v>161</v>
      </c>
      <c r="B1" s="45"/>
      <c r="C1" s="45"/>
      <c r="D1" s="45"/>
      <c r="E1" s="45"/>
      <c r="F1" s="45"/>
      <c r="G1" s="45"/>
      <c r="H1" s="45"/>
      <c r="I1" s="45"/>
      <c r="J1" s="45"/>
      <c r="K1" s="45"/>
      <c r="M1" t="s">
        <v>162</v>
      </c>
      <c r="N1" t="s">
        <v>163</v>
      </c>
      <c r="O1" t="s">
        <v>164</v>
      </c>
      <c r="P1" t="s">
        <v>165</v>
      </c>
      <c r="Q1" t="s">
        <v>166</v>
      </c>
    </row>
    <row r="2" spans="1:17">
      <c r="A2" s="46" t="s">
        <v>167</v>
      </c>
      <c r="B2" s="46"/>
      <c r="C2" s="46"/>
      <c r="D2" s="46"/>
      <c r="E2" s="46"/>
      <c r="F2" s="46"/>
      <c r="G2" s="46"/>
      <c r="H2" s="46"/>
      <c r="I2" s="46"/>
      <c r="J2" s="46"/>
      <c r="K2" s="46"/>
      <c r="M2" t="s">
        <v>36</v>
      </c>
      <c r="N2" t="s">
        <v>37</v>
      </c>
      <c r="O2" t="s">
        <v>35</v>
      </c>
      <c r="P2" t="s">
        <v>86</v>
      </c>
      <c r="Q2" t="s">
        <v>109</v>
      </c>
    </row>
    <row r="3" spans="1:17">
      <c r="M3" t="s">
        <v>36</v>
      </c>
      <c r="N3" t="s">
        <v>38</v>
      </c>
      <c r="O3" t="s">
        <v>81</v>
      </c>
      <c r="P3" t="s">
        <v>87</v>
      </c>
      <c r="Q3" t="s">
        <v>113</v>
      </c>
    </row>
    <row r="4" spans="1:17" ht="28.5">
      <c r="A4" s="17" t="s">
        <v>101</v>
      </c>
      <c r="B4" s="17" t="s">
        <v>102</v>
      </c>
      <c r="C4" s="17" t="s">
        <v>103</v>
      </c>
      <c r="D4" s="17" t="s">
        <v>168</v>
      </c>
      <c r="F4" s="23" t="s">
        <v>5</v>
      </c>
      <c r="G4" s="23" t="s">
        <v>6</v>
      </c>
      <c r="H4" s="23" t="s">
        <v>169</v>
      </c>
      <c r="I4" s="23" t="s">
        <v>170</v>
      </c>
      <c r="J4" s="23" t="s">
        <v>171</v>
      </c>
      <c r="K4" s="23" t="s">
        <v>172</v>
      </c>
      <c r="M4" t="s">
        <v>36</v>
      </c>
      <c r="N4" t="s">
        <v>39</v>
      </c>
      <c r="O4" t="s">
        <v>82</v>
      </c>
      <c r="P4" t="s">
        <v>88</v>
      </c>
      <c r="Q4" t="s">
        <v>117</v>
      </c>
    </row>
    <row r="5" spans="1:17">
      <c r="A5" t="s">
        <v>7</v>
      </c>
      <c r="B5" s="19">
        <v>75</v>
      </c>
      <c r="C5" s="20">
        <v>0.15</v>
      </c>
      <c r="D5" t="s">
        <v>173</v>
      </c>
      <c r="F5" s="18" t="s">
        <v>86</v>
      </c>
      <c r="G5" s="18" t="s">
        <v>174</v>
      </c>
      <c r="H5" s="24">
        <v>80</v>
      </c>
      <c r="I5" s="24">
        <v>70</v>
      </c>
      <c r="J5" s="24">
        <v>60</v>
      </c>
      <c r="K5" s="24">
        <v>50</v>
      </c>
      <c r="M5" t="s">
        <v>36</v>
      </c>
      <c r="N5" t="s">
        <v>40</v>
      </c>
      <c r="O5" t="s">
        <v>83</v>
      </c>
      <c r="P5" t="s">
        <v>89</v>
      </c>
      <c r="Q5" t="s">
        <v>121</v>
      </c>
    </row>
    <row r="6" spans="1:17">
      <c r="A6" t="s">
        <v>8</v>
      </c>
      <c r="B6" s="19">
        <v>80</v>
      </c>
      <c r="C6" s="20">
        <v>0.1</v>
      </c>
      <c r="D6" t="s">
        <v>173</v>
      </c>
      <c r="F6" s="18" t="s">
        <v>87</v>
      </c>
      <c r="G6" s="18" t="s">
        <v>175</v>
      </c>
      <c r="H6" s="24">
        <v>75</v>
      </c>
      <c r="I6" s="24">
        <v>65</v>
      </c>
      <c r="J6" s="24">
        <v>60</v>
      </c>
      <c r="K6" s="24">
        <v>50</v>
      </c>
      <c r="M6" t="s">
        <v>36</v>
      </c>
      <c r="N6" t="s">
        <v>41</v>
      </c>
      <c r="O6" t="s">
        <v>84</v>
      </c>
      <c r="P6" t="s">
        <v>91</v>
      </c>
      <c r="Q6" t="s">
        <v>125</v>
      </c>
    </row>
    <row r="7" spans="1:17">
      <c r="A7" t="s">
        <v>9</v>
      </c>
      <c r="B7" s="19">
        <v>0.95</v>
      </c>
      <c r="C7" s="20">
        <v>0.1</v>
      </c>
      <c r="D7" t="s">
        <v>173</v>
      </c>
      <c r="F7" s="18" t="s">
        <v>88</v>
      </c>
      <c r="G7" s="18" t="s">
        <v>175</v>
      </c>
      <c r="H7" s="24">
        <v>75</v>
      </c>
      <c r="I7" s="24">
        <v>65</v>
      </c>
      <c r="J7" s="24">
        <v>60</v>
      </c>
      <c r="K7" s="24">
        <v>50</v>
      </c>
      <c r="M7" t="s">
        <v>36</v>
      </c>
      <c r="N7" t="s">
        <v>42</v>
      </c>
      <c r="O7" t="s">
        <v>85</v>
      </c>
      <c r="P7" t="s">
        <v>90</v>
      </c>
    </row>
    <row r="8" spans="1:17">
      <c r="A8" t="s">
        <v>10</v>
      </c>
      <c r="B8" s="19">
        <v>20</v>
      </c>
      <c r="C8" s="20">
        <v>0.1</v>
      </c>
      <c r="D8" t="s">
        <v>173</v>
      </c>
      <c r="F8" s="18" t="s">
        <v>89</v>
      </c>
      <c r="G8" s="18" t="s">
        <v>176</v>
      </c>
      <c r="H8" s="24">
        <v>70</v>
      </c>
      <c r="I8" s="24">
        <v>65</v>
      </c>
      <c r="J8" s="24">
        <v>60</v>
      </c>
      <c r="K8" s="24">
        <v>50</v>
      </c>
      <c r="M8" t="s">
        <v>36</v>
      </c>
      <c r="N8" t="s">
        <v>43</v>
      </c>
      <c r="O8" t="s">
        <v>92</v>
      </c>
    </row>
    <row r="9" spans="1:17">
      <c r="A9" t="s">
        <v>11</v>
      </c>
      <c r="B9" s="19">
        <v>4.7</v>
      </c>
      <c r="C9" s="20">
        <v>0.1</v>
      </c>
      <c r="D9" t="s">
        <v>173</v>
      </c>
      <c r="F9" s="18" t="s">
        <v>91</v>
      </c>
      <c r="G9" s="18" t="s">
        <v>176</v>
      </c>
      <c r="H9" s="24">
        <v>70</v>
      </c>
      <c r="I9" s="24">
        <v>65</v>
      </c>
      <c r="J9" s="24">
        <v>60</v>
      </c>
      <c r="K9" s="24">
        <v>45</v>
      </c>
      <c r="M9" t="s">
        <v>36</v>
      </c>
      <c r="N9" t="s">
        <v>44</v>
      </c>
      <c r="O9" t="s">
        <v>93</v>
      </c>
    </row>
    <row r="10" spans="1:17">
      <c r="A10" t="s">
        <v>12</v>
      </c>
      <c r="B10" s="19">
        <v>0.95</v>
      </c>
      <c r="C10" s="20">
        <v>0.1</v>
      </c>
      <c r="D10" t="s">
        <v>173</v>
      </c>
      <c r="F10" s="18" t="s">
        <v>90</v>
      </c>
      <c r="G10" s="18" t="s">
        <v>176</v>
      </c>
      <c r="H10" s="24">
        <v>65</v>
      </c>
      <c r="I10" s="24">
        <v>60</v>
      </c>
      <c r="J10" s="24">
        <v>55</v>
      </c>
      <c r="K10" s="24">
        <v>40</v>
      </c>
      <c r="M10" t="s">
        <v>36</v>
      </c>
      <c r="N10" t="s">
        <v>45</v>
      </c>
      <c r="O10" t="s">
        <v>94</v>
      </c>
    </row>
    <row r="11" spans="1:17">
      <c r="A11" t="s">
        <v>13</v>
      </c>
      <c r="B11" s="19">
        <v>5</v>
      </c>
      <c r="C11" s="20">
        <v>0.1</v>
      </c>
      <c r="D11" t="s">
        <v>177</v>
      </c>
      <c r="M11" t="s">
        <v>36</v>
      </c>
      <c r="N11" t="s">
        <v>46</v>
      </c>
      <c r="O11" t="s">
        <v>95</v>
      </c>
    </row>
    <row r="12" spans="1:17">
      <c r="A12" t="s">
        <v>14</v>
      </c>
      <c r="B12" s="19">
        <v>1</v>
      </c>
      <c r="C12" s="20">
        <v>0.05</v>
      </c>
      <c r="D12" t="s">
        <v>173</v>
      </c>
      <c r="F12" s="49" t="s">
        <v>178</v>
      </c>
      <c r="G12" s="49"/>
      <c r="H12" s="49"/>
      <c r="I12" s="49"/>
      <c r="J12" s="49"/>
      <c r="K12" s="49"/>
      <c r="M12" t="s">
        <v>36</v>
      </c>
      <c r="N12" t="s">
        <v>47</v>
      </c>
      <c r="O12" t="s">
        <v>96</v>
      </c>
    </row>
    <row r="13" spans="1:17">
      <c r="A13" t="s">
        <v>15</v>
      </c>
      <c r="B13" s="19">
        <v>2</v>
      </c>
      <c r="C13" s="20">
        <v>0.05</v>
      </c>
      <c r="D13" t="s">
        <v>173</v>
      </c>
      <c r="F13" t="s">
        <v>109</v>
      </c>
      <c r="M13" t="s">
        <v>36</v>
      </c>
      <c r="N13" t="s">
        <v>48</v>
      </c>
      <c r="O13" t="s">
        <v>97</v>
      </c>
    </row>
    <row r="14" spans="1:17">
      <c r="A14" t="s">
        <v>16</v>
      </c>
      <c r="B14" s="19">
        <v>5</v>
      </c>
      <c r="C14" s="20">
        <v>0.15</v>
      </c>
      <c r="D14" t="s">
        <v>177</v>
      </c>
      <c r="F14" t="s">
        <v>113</v>
      </c>
      <c r="M14" t="s">
        <v>36</v>
      </c>
      <c r="N14" t="s">
        <v>49</v>
      </c>
    </row>
    <row r="15" spans="1:17">
      <c r="A15" s="22" t="s">
        <v>179</v>
      </c>
      <c r="B15" s="22"/>
      <c r="C15" s="22">
        <f>SUM(C5:C14)</f>
        <v>1</v>
      </c>
      <c r="F15" t="s">
        <v>117</v>
      </c>
      <c r="M15" t="s">
        <v>36</v>
      </c>
      <c r="N15" t="s">
        <v>50</v>
      </c>
    </row>
    <row r="16" spans="1:17">
      <c r="F16" t="s">
        <v>121</v>
      </c>
      <c r="M16" t="s">
        <v>36</v>
      </c>
      <c r="N16" t="s">
        <v>51</v>
      </c>
    </row>
    <row r="17" spans="6:14">
      <c r="F17" t="s">
        <v>125</v>
      </c>
      <c r="M17" t="s">
        <v>36</v>
      </c>
      <c r="N17" t="s">
        <v>52</v>
      </c>
    </row>
    <row r="18" spans="6:14">
      <c r="M18" t="s">
        <v>53</v>
      </c>
      <c r="N18" t="s">
        <v>54</v>
      </c>
    </row>
    <row r="19" spans="6:14">
      <c r="M19" t="s">
        <v>53</v>
      </c>
      <c r="N19" t="s">
        <v>55</v>
      </c>
    </row>
    <row r="20" spans="6:14">
      <c r="M20" t="s">
        <v>53</v>
      </c>
      <c r="N20" t="s">
        <v>56</v>
      </c>
    </row>
    <row r="21" spans="6:14">
      <c r="M21" t="s">
        <v>53</v>
      </c>
      <c r="N21" t="s">
        <v>57</v>
      </c>
    </row>
    <row r="22" spans="6:14">
      <c r="M22" t="s">
        <v>53</v>
      </c>
      <c r="N22" t="s">
        <v>58</v>
      </c>
    </row>
    <row r="23" spans="6:14">
      <c r="M23" t="s">
        <v>53</v>
      </c>
      <c r="N23" t="s">
        <v>59</v>
      </c>
    </row>
    <row r="24" spans="6:14">
      <c r="M24" t="s">
        <v>53</v>
      </c>
      <c r="N24" t="s">
        <v>60</v>
      </c>
    </row>
    <row r="25" spans="6:14">
      <c r="M25" t="s">
        <v>53</v>
      </c>
      <c r="N25" t="s">
        <v>61</v>
      </c>
    </row>
    <row r="26" spans="6:14">
      <c r="M26" t="s">
        <v>53</v>
      </c>
      <c r="N26" t="s">
        <v>62</v>
      </c>
    </row>
    <row r="27" spans="6:14">
      <c r="M27" t="s">
        <v>53</v>
      </c>
      <c r="N27" t="s">
        <v>63</v>
      </c>
    </row>
    <row r="28" spans="6:14">
      <c r="M28" t="s">
        <v>53</v>
      </c>
      <c r="N28" t="s">
        <v>64</v>
      </c>
    </row>
    <row r="29" spans="6:14">
      <c r="M29" t="s">
        <v>53</v>
      </c>
      <c r="N29" t="s">
        <v>65</v>
      </c>
    </row>
    <row r="30" spans="6:14">
      <c r="M30" t="s">
        <v>53</v>
      </c>
      <c r="N30" t="s">
        <v>66</v>
      </c>
    </row>
    <row r="31" spans="6:14">
      <c r="M31" t="s">
        <v>53</v>
      </c>
      <c r="N31" t="s">
        <v>67</v>
      </c>
    </row>
    <row r="32" spans="6:14">
      <c r="M32" t="s">
        <v>53</v>
      </c>
      <c r="N32" t="s">
        <v>68</v>
      </c>
    </row>
    <row r="33" spans="13:14">
      <c r="M33" t="s">
        <v>53</v>
      </c>
      <c r="N33" t="s">
        <v>69</v>
      </c>
    </row>
    <row r="34" spans="13:14">
      <c r="M34" t="s">
        <v>53</v>
      </c>
      <c r="N34" t="s">
        <v>70</v>
      </c>
    </row>
    <row r="35" spans="13:14">
      <c r="M35" t="s">
        <v>53</v>
      </c>
      <c r="N35" t="s">
        <v>71</v>
      </c>
    </row>
    <row r="36" spans="13:14">
      <c r="M36" t="s">
        <v>53</v>
      </c>
      <c r="N36" t="s">
        <v>72</v>
      </c>
    </row>
    <row r="37" spans="13:14">
      <c r="M37" t="s">
        <v>53</v>
      </c>
      <c r="N37" t="s">
        <v>73</v>
      </c>
    </row>
    <row r="38" spans="13:14">
      <c r="M38" t="s">
        <v>74</v>
      </c>
      <c r="N38" t="s">
        <v>75</v>
      </c>
    </row>
    <row r="39" spans="13:14">
      <c r="M39" t="s">
        <v>74</v>
      </c>
      <c r="N39" t="s">
        <v>76</v>
      </c>
    </row>
    <row r="40" spans="13:14">
      <c r="M40" t="s">
        <v>74</v>
      </c>
      <c r="N40" t="s">
        <v>77</v>
      </c>
    </row>
    <row r="41" spans="13:14">
      <c r="M41" t="s">
        <v>74</v>
      </c>
      <c r="N41" t="s">
        <v>78</v>
      </c>
    </row>
    <row r="42" spans="13:14">
      <c r="M42" t="s">
        <v>74</v>
      </c>
      <c r="N42" t="s">
        <v>79</v>
      </c>
    </row>
    <row r="43" spans="13:14">
      <c r="M43" t="s">
        <v>74</v>
      </c>
      <c r="N43" t="s">
        <v>80</v>
      </c>
    </row>
  </sheetData>
  <mergeCells count="3">
    <mergeCell ref="A1:K1"/>
    <mergeCell ref="A2:K2"/>
    <mergeCell ref="F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workbookViewId="0">
      <selection activeCell="H12" sqref="H12"/>
    </sheetView>
  </sheetViews>
  <sheetFormatPr defaultRowHeight="14.25"/>
  <cols>
    <col min="1" max="1" width="29" customWidth="1"/>
    <col min="2" max="14" width="12" customWidth="1"/>
    <col min="15" max="15" width="24" customWidth="1"/>
    <col min="16" max="16" width="18" customWidth="1"/>
  </cols>
  <sheetData>
    <row r="1" spans="1:16" ht="21">
      <c r="A1" s="47" t="s">
        <v>180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3" spans="1:16">
      <c r="A3" s="23" t="s">
        <v>181</v>
      </c>
      <c r="B3" s="23" t="s">
        <v>35</v>
      </c>
      <c r="C3" s="23" t="s">
        <v>81</v>
      </c>
      <c r="D3" s="23" t="s">
        <v>82</v>
      </c>
      <c r="E3" s="23" t="s">
        <v>83</v>
      </c>
      <c r="F3" s="23" t="s">
        <v>84</v>
      </c>
      <c r="G3" s="23" t="s">
        <v>85</v>
      </c>
      <c r="H3" s="23" t="s">
        <v>92</v>
      </c>
      <c r="I3" s="23" t="s">
        <v>93</v>
      </c>
      <c r="J3" s="23" t="s">
        <v>94</v>
      </c>
      <c r="K3" s="23" t="s">
        <v>95</v>
      </c>
      <c r="L3" s="23" t="s">
        <v>96</v>
      </c>
      <c r="M3" s="23" t="s">
        <v>97</v>
      </c>
      <c r="N3" s="23" t="s">
        <v>182</v>
      </c>
      <c r="O3" s="44" t="s">
        <v>183</v>
      </c>
      <c r="P3" s="44" t="s">
        <v>184</v>
      </c>
    </row>
    <row r="4" spans="1:16">
      <c r="A4" t="s">
        <v>37</v>
      </c>
      <c r="B4" s="6" t="str">
        <f>IF(COUNTIFS('Monthly Scorecard'!$D$3:$D$506,$A4,'Monthly Scorecard'!$B$3:$B$506,B$3,'Monthly Scorecard'!$AC$3:$AC$506,"Entered")=0,"",SUMIFS('Monthly Scorecard'!$AF$3:$AF$506,'Monthly Scorecard'!$D$3:$D$506,$A4,'Monthly Scorecard'!$B$3:$B$506,B$3,'Monthly Scorecard'!$AC$3:$AC$506,"Entered")/COUNTIFS('Monthly Scorecard'!$D$3:$D$506,$A4,'Monthly Scorecard'!$B$3:$B$506,B$3,'Monthly Scorecard'!$AC$3:$AC$506,"Entered"))</f>
        <v/>
      </c>
      <c r="C4" s="6" t="str">
        <f>IF(COUNTIFS('Monthly Scorecard'!$D$3:$D$506,$A4,'Monthly Scorecard'!$B$3:$B$506,C$3,'Monthly Scorecard'!$AC$3:$AC$506,"Entered")=0,"",SUMIFS('Monthly Scorecard'!$AF$3:$AF$506,'Monthly Scorecard'!$D$3:$D$506,$A4,'Monthly Scorecard'!$B$3:$B$506,C$3,'Monthly Scorecard'!$AC$3:$AC$506,"Entered")/COUNTIFS('Monthly Scorecard'!$D$3:$D$506,$A4,'Monthly Scorecard'!$B$3:$B$506,C$3,'Monthly Scorecard'!$AC$3:$AC$506,"Entered"))</f>
        <v/>
      </c>
      <c r="D4" s="6" t="str">
        <f>IF(COUNTIFS('Monthly Scorecard'!$D$3:$D$506,$A4,'Monthly Scorecard'!$B$3:$B$506,D$3,'Monthly Scorecard'!$AC$3:$AC$506,"Entered")=0,"",SUMIFS('Monthly Scorecard'!$AF$3:$AF$506,'Monthly Scorecard'!$D$3:$D$506,$A4,'Monthly Scorecard'!$B$3:$B$506,D$3,'Monthly Scorecard'!$AC$3:$AC$506,"Entered")/COUNTIFS('Monthly Scorecard'!$D$3:$D$506,$A4,'Monthly Scorecard'!$B$3:$B$506,D$3,'Monthly Scorecard'!$AC$3:$AC$506,"Entered"))</f>
        <v/>
      </c>
      <c r="E4" s="6" t="str">
        <f>IF(COUNTIFS('Monthly Scorecard'!$D$3:$D$506,$A4,'Monthly Scorecard'!$B$3:$B$506,E$3,'Monthly Scorecard'!$AC$3:$AC$506,"Entered")=0,"",SUMIFS('Monthly Scorecard'!$AF$3:$AF$506,'Monthly Scorecard'!$D$3:$D$506,$A4,'Monthly Scorecard'!$B$3:$B$506,E$3,'Monthly Scorecard'!$AC$3:$AC$506,"Entered")/COUNTIFS('Monthly Scorecard'!$D$3:$D$506,$A4,'Monthly Scorecard'!$B$3:$B$506,E$3,'Monthly Scorecard'!$AC$3:$AC$506,"Entered"))</f>
        <v/>
      </c>
      <c r="F4" s="6" t="str">
        <f>IF(COUNTIFS('Monthly Scorecard'!$D$3:$D$506,$A4,'Monthly Scorecard'!$B$3:$B$506,F$3,'Monthly Scorecard'!$AC$3:$AC$506,"Entered")=0,"",SUMIFS('Monthly Scorecard'!$AF$3:$AF$506,'Monthly Scorecard'!$D$3:$D$506,$A4,'Monthly Scorecard'!$B$3:$B$506,F$3,'Monthly Scorecard'!$AC$3:$AC$506,"Entered")/COUNTIFS('Monthly Scorecard'!$D$3:$D$506,$A4,'Monthly Scorecard'!$B$3:$B$506,F$3,'Monthly Scorecard'!$AC$3:$AC$506,"Entered"))</f>
        <v/>
      </c>
      <c r="G4" s="6" t="str">
        <f>IF(COUNTIFS('Monthly Scorecard'!$D$3:$D$506,$A4,'Monthly Scorecard'!$B$3:$B$506,G$3,'Monthly Scorecard'!$AC$3:$AC$506,"Entered")=0,"",SUMIFS('Monthly Scorecard'!$AF$3:$AF$506,'Monthly Scorecard'!$D$3:$D$506,$A4,'Monthly Scorecard'!$B$3:$B$506,G$3,'Monthly Scorecard'!$AC$3:$AC$506,"Entered")/COUNTIFS('Monthly Scorecard'!$D$3:$D$506,$A4,'Monthly Scorecard'!$B$3:$B$506,G$3,'Monthly Scorecard'!$AC$3:$AC$506,"Entered"))</f>
        <v/>
      </c>
      <c r="H4" s="6">
        <f>IF(COUNTIFS('Monthly Scorecard'!$D$3:$D$506,$A4,'Monthly Scorecard'!$B$3:$B$506,H$3,'Monthly Scorecard'!$AC$3:$AC$506,"Entered")=0,"",SUMIFS('Monthly Scorecard'!$AF$3:$AF$506,'Monthly Scorecard'!$D$3:$D$506,$A4,'Monthly Scorecard'!$B$3:$B$506,H$3,'Monthly Scorecard'!$AC$3:$AC$506,"Entered")/COUNTIFS('Monthly Scorecard'!$D$3:$D$506,$A4,'Monthly Scorecard'!$B$3:$B$506,H$3,'Monthly Scorecard'!$AC$3:$AC$506,"Entered"))</f>
        <v>64.7</v>
      </c>
      <c r="I4" s="6" t="str">
        <f>IF(COUNTIFS('Monthly Scorecard'!$D$3:$D$506,$A4,'Monthly Scorecard'!$B$3:$B$506,I$3,'Monthly Scorecard'!$AC$3:$AC$506,"Entered")=0,"",SUMIFS('Monthly Scorecard'!$AF$3:$AF$506,'Monthly Scorecard'!$D$3:$D$506,$A4,'Monthly Scorecard'!$B$3:$B$506,I$3,'Monthly Scorecard'!$AC$3:$AC$506,"Entered")/COUNTIFS('Monthly Scorecard'!$D$3:$D$506,$A4,'Monthly Scorecard'!$B$3:$B$506,I$3,'Monthly Scorecard'!$AC$3:$AC$506,"Entered"))</f>
        <v/>
      </c>
      <c r="J4" s="6" t="str">
        <f>IF(COUNTIFS('Monthly Scorecard'!$D$3:$D$506,$A4,'Monthly Scorecard'!$B$3:$B$506,J$3,'Monthly Scorecard'!$AC$3:$AC$506,"Entered")=0,"",SUMIFS('Monthly Scorecard'!$AF$3:$AF$506,'Monthly Scorecard'!$D$3:$D$506,$A4,'Monthly Scorecard'!$B$3:$B$506,J$3,'Monthly Scorecard'!$AC$3:$AC$506,"Entered")/COUNTIFS('Monthly Scorecard'!$D$3:$D$506,$A4,'Monthly Scorecard'!$B$3:$B$506,J$3,'Monthly Scorecard'!$AC$3:$AC$506,"Entered"))</f>
        <v/>
      </c>
      <c r="K4" s="6" t="str">
        <f>IF(COUNTIFS('Monthly Scorecard'!$D$3:$D$506,$A4,'Monthly Scorecard'!$B$3:$B$506,K$3,'Monthly Scorecard'!$AC$3:$AC$506,"Entered")=0,"",SUMIFS('Monthly Scorecard'!$AF$3:$AF$506,'Monthly Scorecard'!$D$3:$D$506,$A4,'Monthly Scorecard'!$B$3:$B$506,K$3,'Monthly Scorecard'!$AC$3:$AC$506,"Entered")/COUNTIFS('Monthly Scorecard'!$D$3:$D$506,$A4,'Monthly Scorecard'!$B$3:$B$506,K$3,'Monthly Scorecard'!$AC$3:$AC$506,"Entered"))</f>
        <v/>
      </c>
      <c r="L4" s="6" t="str">
        <f>IF(COUNTIFS('Monthly Scorecard'!$D$3:$D$506,$A4,'Monthly Scorecard'!$B$3:$B$506,L$3,'Monthly Scorecard'!$AC$3:$AC$506,"Entered")=0,"",SUMIFS('Monthly Scorecard'!$AF$3:$AF$506,'Monthly Scorecard'!$D$3:$D$506,$A4,'Monthly Scorecard'!$B$3:$B$506,L$3,'Monthly Scorecard'!$AC$3:$AC$506,"Entered")/COUNTIFS('Monthly Scorecard'!$D$3:$D$506,$A4,'Monthly Scorecard'!$B$3:$B$506,L$3,'Monthly Scorecard'!$AC$3:$AC$506,"Entered"))</f>
        <v/>
      </c>
      <c r="M4" s="6" t="str">
        <f>IF(COUNTIFS('Monthly Scorecard'!$D$3:$D$506,$A4,'Monthly Scorecard'!$B$3:$B$506,M$3,'Monthly Scorecard'!$AC$3:$AC$506,"Entered")=0,"",SUMIFS('Monthly Scorecard'!$AF$3:$AF$506,'Monthly Scorecard'!$D$3:$D$506,$A4,'Monthly Scorecard'!$B$3:$B$506,M$3,'Monthly Scorecard'!$AC$3:$AC$506,"Entered")/COUNTIFS('Monthly Scorecard'!$D$3:$D$506,$A4,'Monthly Scorecard'!$B$3:$B$506,M$3,'Monthly Scorecard'!$AC$3:$AC$506,"Entered"))</f>
        <v/>
      </c>
      <c r="N4" s="6">
        <f t="shared" ref="N4:N45" si="0">IFERROR(AVERAGE(B4:M4),"")</f>
        <v>64.7</v>
      </c>
      <c r="O4" s="8" t="str">
        <f>IF(OR($N4="",$P4=""),"",IFERROR(IF($N4&gt;=VLOOKUP($P4,'Input &amp; Settings'!$F$5:$K$10,3,FALSE),"Outstanding",IF($N4&gt;=VLOOKUP($P4,'Input &amp; Settings'!$F$5:$K$10,4,FALSE),"Exceeds Expectations",IF($N4&gt;=VLOOKUP($P4,'Input &amp; Settings'!$F$5:$K$10,5,FALSE),"Meets Expectations",IF($N4&gt;=VLOOKUP($P4,'Input &amp; Settings'!$F$5:$K$10,6,FALSE),"Needs Improvement","Performance Improvement Required")))),""))</f>
        <v>Meets Expectations</v>
      </c>
      <c r="P4" t="str">
        <f>IFERROR(LOOKUP(2,1/(('Monthly Scorecard'!$D$3:$D$506=$A4)*('Monthly Scorecard'!$E$3:$E$506&lt;&gt;"")),'Monthly Scorecard'!$E$3:$E$506),"")</f>
        <v>1st Shift</v>
      </c>
    </row>
    <row r="5" spans="1:16">
      <c r="A5" t="s">
        <v>38</v>
      </c>
      <c r="B5" s="6" t="str">
        <f>IF(COUNTIFS('Monthly Scorecard'!$D$3:$D$506,$A5,'Monthly Scorecard'!$B$3:$B$506,B$3,'Monthly Scorecard'!$AC$3:$AC$506,"Entered")=0,"",SUMIFS('Monthly Scorecard'!$AF$3:$AF$506,'Monthly Scorecard'!$D$3:$D$506,$A5,'Monthly Scorecard'!$B$3:$B$506,B$3,'Monthly Scorecard'!$AC$3:$AC$506,"Entered")/COUNTIFS('Monthly Scorecard'!$D$3:$D$506,$A5,'Monthly Scorecard'!$B$3:$B$506,B$3,'Monthly Scorecard'!$AC$3:$AC$506,"Entered"))</f>
        <v/>
      </c>
      <c r="C5" s="6" t="str">
        <f>IF(COUNTIFS('Monthly Scorecard'!$D$3:$D$506,$A5,'Monthly Scorecard'!$B$3:$B$506,C$3,'Monthly Scorecard'!$AC$3:$AC$506,"Entered")=0,"",SUMIFS('Monthly Scorecard'!$AF$3:$AF$506,'Monthly Scorecard'!$D$3:$D$506,$A5,'Monthly Scorecard'!$B$3:$B$506,C$3,'Monthly Scorecard'!$AC$3:$AC$506,"Entered")/COUNTIFS('Monthly Scorecard'!$D$3:$D$506,$A5,'Monthly Scorecard'!$B$3:$B$506,C$3,'Monthly Scorecard'!$AC$3:$AC$506,"Entered"))</f>
        <v/>
      </c>
      <c r="D5" s="6" t="str">
        <f>IF(COUNTIFS('Monthly Scorecard'!$D$3:$D$506,$A5,'Monthly Scorecard'!$B$3:$B$506,D$3,'Monthly Scorecard'!$AC$3:$AC$506,"Entered")=0,"",SUMIFS('Monthly Scorecard'!$AF$3:$AF$506,'Monthly Scorecard'!$D$3:$D$506,$A5,'Monthly Scorecard'!$B$3:$B$506,D$3,'Monthly Scorecard'!$AC$3:$AC$506,"Entered")/COUNTIFS('Monthly Scorecard'!$D$3:$D$506,$A5,'Monthly Scorecard'!$B$3:$B$506,D$3,'Monthly Scorecard'!$AC$3:$AC$506,"Entered"))</f>
        <v/>
      </c>
      <c r="E5" s="6" t="str">
        <f>IF(COUNTIFS('Monthly Scorecard'!$D$3:$D$506,$A5,'Monthly Scorecard'!$B$3:$B$506,E$3,'Monthly Scorecard'!$AC$3:$AC$506,"Entered")=0,"",SUMIFS('Monthly Scorecard'!$AF$3:$AF$506,'Monthly Scorecard'!$D$3:$D$506,$A5,'Monthly Scorecard'!$B$3:$B$506,E$3,'Monthly Scorecard'!$AC$3:$AC$506,"Entered")/COUNTIFS('Monthly Scorecard'!$D$3:$D$506,$A5,'Monthly Scorecard'!$B$3:$B$506,E$3,'Monthly Scorecard'!$AC$3:$AC$506,"Entered"))</f>
        <v/>
      </c>
      <c r="F5" s="6" t="str">
        <f>IF(COUNTIFS('Monthly Scorecard'!$D$3:$D$506,$A5,'Monthly Scorecard'!$B$3:$B$506,F$3,'Monthly Scorecard'!$AC$3:$AC$506,"Entered")=0,"",SUMIFS('Monthly Scorecard'!$AF$3:$AF$506,'Monthly Scorecard'!$D$3:$D$506,$A5,'Monthly Scorecard'!$B$3:$B$506,F$3,'Monthly Scorecard'!$AC$3:$AC$506,"Entered")/COUNTIFS('Monthly Scorecard'!$D$3:$D$506,$A5,'Monthly Scorecard'!$B$3:$B$506,F$3,'Monthly Scorecard'!$AC$3:$AC$506,"Entered"))</f>
        <v/>
      </c>
      <c r="G5" s="6" t="str">
        <f>IF(COUNTIFS('Monthly Scorecard'!$D$3:$D$506,$A5,'Monthly Scorecard'!$B$3:$B$506,G$3,'Monthly Scorecard'!$AC$3:$AC$506,"Entered")=0,"",SUMIFS('Monthly Scorecard'!$AF$3:$AF$506,'Monthly Scorecard'!$D$3:$D$506,$A5,'Monthly Scorecard'!$B$3:$B$506,G$3,'Monthly Scorecard'!$AC$3:$AC$506,"Entered")/COUNTIFS('Monthly Scorecard'!$D$3:$D$506,$A5,'Monthly Scorecard'!$B$3:$B$506,G$3,'Monthly Scorecard'!$AC$3:$AC$506,"Entered"))</f>
        <v/>
      </c>
      <c r="H5" s="6">
        <f>IF(COUNTIFS('Monthly Scorecard'!$D$3:$D$506,$A5,'Monthly Scorecard'!$B$3:$B$506,H$3,'Monthly Scorecard'!$AC$3:$AC$506,"Entered")=0,"",SUMIFS('Monthly Scorecard'!$AF$3:$AF$506,'Monthly Scorecard'!$D$3:$D$506,$A5,'Monthly Scorecard'!$B$3:$B$506,H$3,'Monthly Scorecard'!$AC$3:$AC$506,"Entered")/COUNTIFS('Monthly Scorecard'!$D$3:$D$506,$A5,'Monthly Scorecard'!$B$3:$B$506,H$3,'Monthly Scorecard'!$AC$3:$AC$506,"Entered"))</f>
        <v>65.2</v>
      </c>
      <c r="I5" s="6" t="str">
        <f>IF(COUNTIFS('Monthly Scorecard'!$D$3:$D$506,$A5,'Monthly Scorecard'!$B$3:$B$506,I$3,'Monthly Scorecard'!$AC$3:$AC$506,"Entered")=0,"",SUMIFS('Monthly Scorecard'!$AF$3:$AF$506,'Monthly Scorecard'!$D$3:$D$506,$A5,'Monthly Scorecard'!$B$3:$B$506,I$3,'Monthly Scorecard'!$AC$3:$AC$506,"Entered")/COUNTIFS('Monthly Scorecard'!$D$3:$D$506,$A5,'Monthly Scorecard'!$B$3:$B$506,I$3,'Monthly Scorecard'!$AC$3:$AC$506,"Entered"))</f>
        <v/>
      </c>
      <c r="J5" s="6" t="str">
        <f>IF(COUNTIFS('Monthly Scorecard'!$D$3:$D$506,$A5,'Monthly Scorecard'!$B$3:$B$506,J$3,'Monthly Scorecard'!$AC$3:$AC$506,"Entered")=0,"",SUMIFS('Monthly Scorecard'!$AF$3:$AF$506,'Monthly Scorecard'!$D$3:$D$506,$A5,'Monthly Scorecard'!$B$3:$B$506,J$3,'Monthly Scorecard'!$AC$3:$AC$506,"Entered")/COUNTIFS('Monthly Scorecard'!$D$3:$D$506,$A5,'Monthly Scorecard'!$B$3:$B$506,J$3,'Monthly Scorecard'!$AC$3:$AC$506,"Entered"))</f>
        <v/>
      </c>
      <c r="K5" s="6" t="str">
        <f>IF(COUNTIFS('Monthly Scorecard'!$D$3:$D$506,$A5,'Monthly Scorecard'!$B$3:$B$506,K$3,'Monthly Scorecard'!$AC$3:$AC$506,"Entered")=0,"",SUMIFS('Monthly Scorecard'!$AF$3:$AF$506,'Monthly Scorecard'!$D$3:$D$506,$A5,'Monthly Scorecard'!$B$3:$B$506,K$3,'Monthly Scorecard'!$AC$3:$AC$506,"Entered")/COUNTIFS('Monthly Scorecard'!$D$3:$D$506,$A5,'Monthly Scorecard'!$B$3:$B$506,K$3,'Monthly Scorecard'!$AC$3:$AC$506,"Entered"))</f>
        <v/>
      </c>
      <c r="L5" s="6" t="str">
        <f>IF(COUNTIFS('Monthly Scorecard'!$D$3:$D$506,$A5,'Monthly Scorecard'!$B$3:$B$506,L$3,'Monthly Scorecard'!$AC$3:$AC$506,"Entered")=0,"",SUMIFS('Monthly Scorecard'!$AF$3:$AF$506,'Monthly Scorecard'!$D$3:$D$506,$A5,'Monthly Scorecard'!$B$3:$B$506,L$3,'Monthly Scorecard'!$AC$3:$AC$506,"Entered")/COUNTIFS('Monthly Scorecard'!$D$3:$D$506,$A5,'Monthly Scorecard'!$B$3:$B$506,L$3,'Monthly Scorecard'!$AC$3:$AC$506,"Entered"))</f>
        <v/>
      </c>
      <c r="M5" s="6" t="str">
        <f>IF(COUNTIFS('Monthly Scorecard'!$D$3:$D$506,$A5,'Monthly Scorecard'!$B$3:$B$506,M$3,'Monthly Scorecard'!$AC$3:$AC$506,"Entered")=0,"",SUMIFS('Monthly Scorecard'!$AF$3:$AF$506,'Monthly Scorecard'!$D$3:$D$506,$A5,'Monthly Scorecard'!$B$3:$B$506,M$3,'Monthly Scorecard'!$AC$3:$AC$506,"Entered")/COUNTIFS('Monthly Scorecard'!$D$3:$D$506,$A5,'Monthly Scorecard'!$B$3:$B$506,M$3,'Monthly Scorecard'!$AC$3:$AC$506,"Entered"))</f>
        <v/>
      </c>
      <c r="N5" s="6">
        <f t="shared" si="0"/>
        <v>65.2</v>
      </c>
      <c r="O5" s="8" t="str">
        <f>IF(OR($N5="",$P5=""),"",IFERROR(IF($N5&gt;=VLOOKUP($P5,'Input &amp; Settings'!$F$5:$K$10,3,FALSE),"Outstanding",IF($N5&gt;=VLOOKUP($P5,'Input &amp; Settings'!$F$5:$K$10,4,FALSE),"Exceeds Expectations",IF($N5&gt;=VLOOKUP($P5,'Input &amp; Settings'!$F$5:$K$10,5,FALSE),"Meets Expectations",IF($N5&gt;=VLOOKUP($P5,'Input &amp; Settings'!$F$5:$K$10,6,FALSE),"Needs Improvement","Performance Improvement Required")))),""))</f>
        <v>Meets Expectations</v>
      </c>
      <c r="P5" t="str">
        <f>IFERROR(LOOKUP(2,1/(('Monthly Scorecard'!$D$3:$D$506=$A5)*('Monthly Scorecard'!$E$3:$E$506&lt;&gt;"")),'Monthly Scorecard'!$E$3:$E$506),"")</f>
        <v>1st Shift</v>
      </c>
    </row>
    <row r="6" spans="1:16">
      <c r="A6" t="s">
        <v>39</v>
      </c>
      <c r="B6" s="6" t="str">
        <f>IF(COUNTIFS('Monthly Scorecard'!$D$3:$D$506,$A6,'Monthly Scorecard'!$B$3:$B$506,B$3,'Monthly Scorecard'!$AC$3:$AC$506,"Entered")=0,"",SUMIFS('Monthly Scorecard'!$AF$3:$AF$506,'Monthly Scorecard'!$D$3:$D$506,$A6,'Monthly Scorecard'!$B$3:$B$506,B$3,'Monthly Scorecard'!$AC$3:$AC$506,"Entered")/COUNTIFS('Monthly Scorecard'!$D$3:$D$506,$A6,'Monthly Scorecard'!$B$3:$B$506,B$3,'Monthly Scorecard'!$AC$3:$AC$506,"Entered"))</f>
        <v/>
      </c>
      <c r="C6" s="6" t="str">
        <f>IF(COUNTIFS('Monthly Scorecard'!$D$3:$D$506,$A6,'Monthly Scorecard'!$B$3:$B$506,C$3,'Monthly Scorecard'!$AC$3:$AC$506,"Entered")=0,"",SUMIFS('Monthly Scorecard'!$AF$3:$AF$506,'Monthly Scorecard'!$D$3:$D$506,$A6,'Monthly Scorecard'!$B$3:$B$506,C$3,'Monthly Scorecard'!$AC$3:$AC$506,"Entered")/COUNTIFS('Monthly Scorecard'!$D$3:$D$506,$A6,'Monthly Scorecard'!$B$3:$B$506,C$3,'Monthly Scorecard'!$AC$3:$AC$506,"Entered"))</f>
        <v/>
      </c>
      <c r="D6" s="6" t="str">
        <f>IF(COUNTIFS('Monthly Scorecard'!$D$3:$D$506,$A6,'Monthly Scorecard'!$B$3:$B$506,D$3,'Monthly Scorecard'!$AC$3:$AC$506,"Entered")=0,"",SUMIFS('Monthly Scorecard'!$AF$3:$AF$506,'Monthly Scorecard'!$D$3:$D$506,$A6,'Monthly Scorecard'!$B$3:$B$506,D$3,'Monthly Scorecard'!$AC$3:$AC$506,"Entered")/COUNTIFS('Monthly Scorecard'!$D$3:$D$506,$A6,'Monthly Scorecard'!$B$3:$B$506,D$3,'Monthly Scorecard'!$AC$3:$AC$506,"Entered"))</f>
        <v/>
      </c>
      <c r="E6" s="6" t="str">
        <f>IF(COUNTIFS('Monthly Scorecard'!$D$3:$D$506,$A6,'Monthly Scorecard'!$B$3:$B$506,E$3,'Monthly Scorecard'!$AC$3:$AC$506,"Entered")=0,"",SUMIFS('Monthly Scorecard'!$AF$3:$AF$506,'Monthly Scorecard'!$D$3:$D$506,$A6,'Monthly Scorecard'!$B$3:$B$506,E$3,'Monthly Scorecard'!$AC$3:$AC$506,"Entered")/COUNTIFS('Monthly Scorecard'!$D$3:$D$506,$A6,'Monthly Scorecard'!$B$3:$B$506,E$3,'Monthly Scorecard'!$AC$3:$AC$506,"Entered"))</f>
        <v/>
      </c>
      <c r="F6" s="6" t="str">
        <f>IF(COUNTIFS('Monthly Scorecard'!$D$3:$D$506,$A6,'Monthly Scorecard'!$B$3:$B$506,F$3,'Monthly Scorecard'!$AC$3:$AC$506,"Entered")=0,"",SUMIFS('Monthly Scorecard'!$AF$3:$AF$506,'Monthly Scorecard'!$D$3:$D$506,$A6,'Monthly Scorecard'!$B$3:$B$506,F$3,'Monthly Scorecard'!$AC$3:$AC$506,"Entered")/COUNTIFS('Monthly Scorecard'!$D$3:$D$506,$A6,'Monthly Scorecard'!$B$3:$B$506,F$3,'Monthly Scorecard'!$AC$3:$AC$506,"Entered"))</f>
        <v/>
      </c>
      <c r="G6" s="6" t="str">
        <f>IF(COUNTIFS('Monthly Scorecard'!$D$3:$D$506,$A6,'Monthly Scorecard'!$B$3:$B$506,G$3,'Monthly Scorecard'!$AC$3:$AC$506,"Entered")=0,"",SUMIFS('Monthly Scorecard'!$AF$3:$AF$506,'Monthly Scorecard'!$D$3:$D$506,$A6,'Monthly Scorecard'!$B$3:$B$506,G$3,'Monthly Scorecard'!$AC$3:$AC$506,"Entered")/COUNTIFS('Monthly Scorecard'!$D$3:$D$506,$A6,'Monthly Scorecard'!$B$3:$B$506,G$3,'Monthly Scorecard'!$AC$3:$AC$506,"Entered"))</f>
        <v/>
      </c>
      <c r="H6" s="6">
        <f>IF(COUNTIFS('Monthly Scorecard'!$D$3:$D$506,$A6,'Monthly Scorecard'!$B$3:$B$506,H$3,'Monthly Scorecard'!$AC$3:$AC$506,"Entered")=0,"",SUMIFS('Monthly Scorecard'!$AF$3:$AF$506,'Monthly Scorecard'!$D$3:$D$506,$A6,'Monthly Scorecard'!$B$3:$B$506,H$3,'Monthly Scorecard'!$AC$3:$AC$506,"Entered")/COUNTIFS('Monthly Scorecard'!$D$3:$D$506,$A6,'Monthly Scorecard'!$B$3:$B$506,H$3,'Monthly Scorecard'!$AC$3:$AC$506,"Entered"))</f>
        <v>61.9</v>
      </c>
      <c r="I6" s="6" t="str">
        <f>IF(COUNTIFS('Monthly Scorecard'!$D$3:$D$506,$A6,'Monthly Scorecard'!$B$3:$B$506,I$3,'Monthly Scorecard'!$AC$3:$AC$506,"Entered")=0,"",SUMIFS('Monthly Scorecard'!$AF$3:$AF$506,'Monthly Scorecard'!$D$3:$D$506,$A6,'Monthly Scorecard'!$B$3:$B$506,I$3,'Monthly Scorecard'!$AC$3:$AC$506,"Entered")/COUNTIFS('Monthly Scorecard'!$D$3:$D$506,$A6,'Monthly Scorecard'!$B$3:$B$506,I$3,'Monthly Scorecard'!$AC$3:$AC$506,"Entered"))</f>
        <v/>
      </c>
      <c r="J6" s="6" t="str">
        <f>IF(COUNTIFS('Monthly Scorecard'!$D$3:$D$506,$A6,'Monthly Scorecard'!$B$3:$B$506,J$3,'Monthly Scorecard'!$AC$3:$AC$506,"Entered")=0,"",SUMIFS('Monthly Scorecard'!$AF$3:$AF$506,'Monthly Scorecard'!$D$3:$D$506,$A6,'Monthly Scorecard'!$B$3:$B$506,J$3,'Monthly Scorecard'!$AC$3:$AC$506,"Entered")/COUNTIFS('Monthly Scorecard'!$D$3:$D$506,$A6,'Monthly Scorecard'!$B$3:$B$506,J$3,'Monthly Scorecard'!$AC$3:$AC$506,"Entered"))</f>
        <v/>
      </c>
      <c r="K6" s="6" t="str">
        <f>IF(COUNTIFS('Monthly Scorecard'!$D$3:$D$506,$A6,'Monthly Scorecard'!$B$3:$B$506,K$3,'Monthly Scorecard'!$AC$3:$AC$506,"Entered")=0,"",SUMIFS('Monthly Scorecard'!$AF$3:$AF$506,'Monthly Scorecard'!$D$3:$D$506,$A6,'Monthly Scorecard'!$B$3:$B$506,K$3,'Monthly Scorecard'!$AC$3:$AC$506,"Entered")/COUNTIFS('Monthly Scorecard'!$D$3:$D$506,$A6,'Monthly Scorecard'!$B$3:$B$506,K$3,'Monthly Scorecard'!$AC$3:$AC$506,"Entered"))</f>
        <v/>
      </c>
      <c r="L6" s="6" t="str">
        <f>IF(COUNTIFS('Monthly Scorecard'!$D$3:$D$506,$A6,'Monthly Scorecard'!$B$3:$B$506,L$3,'Monthly Scorecard'!$AC$3:$AC$506,"Entered")=0,"",SUMIFS('Monthly Scorecard'!$AF$3:$AF$506,'Monthly Scorecard'!$D$3:$D$506,$A6,'Monthly Scorecard'!$B$3:$B$506,L$3,'Monthly Scorecard'!$AC$3:$AC$506,"Entered")/COUNTIFS('Monthly Scorecard'!$D$3:$D$506,$A6,'Monthly Scorecard'!$B$3:$B$506,L$3,'Monthly Scorecard'!$AC$3:$AC$506,"Entered"))</f>
        <v/>
      </c>
      <c r="M6" s="6" t="str">
        <f>IF(COUNTIFS('Monthly Scorecard'!$D$3:$D$506,$A6,'Monthly Scorecard'!$B$3:$B$506,M$3,'Monthly Scorecard'!$AC$3:$AC$506,"Entered")=0,"",SUMIFS('Monthly Scorecard'!$AF$3:$AF$506,'Monthly Scorecard'!$D$3:$D$506,$A6,'Monthly Scorecard'!$B$3:$B$506,M$3,'Monthly Scorecard'!$AC$3:$AC$506,"Entered")/COUNTIFS('Monthly Scorecard'!$D$3:$D$506,$A6,'Monthly Scorecard'!$B$3:$B$506,M$3,'Monthly Scorecard'!$AC$3:$AC$506,"Entered"))</f>
        <v/>
      </c>
      <c r="N6" s="6">
        <f t="shared" si="0"/>
        <v>61.9</v>
      </c>
      <c r="O6" s="8" t="str">
        <f>IF(OR($N6="",$P6=""),"",IFERROR(IF($N6&gt;=VLOOKUP($P6,'Input &amp; Settings'!$F$5:$K$10,3,FALSE),"Outstanding",IF($N6&gt;=VLOOKUP($P6,'Input &amp; Settings'!$F$5:$K$10,4,FALSE),"Exceeds Expectations",IF($N6&gt;=VLOOKUP($P6,'Input &amp; Settings'!$F$5:$K$10,5,FALSE),"Meets Expectations",IF($N6&gt;=VLOOKUP($P6,'Input &amp; Settings'!$F$5:$K$10,6,FALSE),"Needs Improvement","Performance Improvement Required")))),""))</f>
        <v>Meets Expectations</v>
      </c>
      <c r="P6" t="str">
        <f>IFERROR(LOOKUP(2,1/(('Monthly Scorecard'!$D$3:$D$506=$A6)*('Monthly Scorecard'!$E$3:$E$506&lt;&gt;"")),'Monthly Scorecard'!$E$3:$E$506),"")</f>
        <v>1st Shift</v>
      </c>
    </row>
    <row r="7" spans="1:16">
      <c r="A7" t="s">
        <v>40</v>
      </c>
      <c r="B7" s="6" t="str">
        <f>IF(COUNTIFS('Monthly Scorecard'!$D$3:$D$506,$A7,'Monthly Scorecard'!$B$3:$B$506,B$3,'Monthly Scorecard'!$AC$3:$AC$506,"Entered")=0,"",SUMIFS('Monthly Scorecard'!$AF$3:$AF$506,'Monthly Scorecard'!$D$3:$D$506,$A7,'Monthly Scorecard'!$B$3:$B$506,B$3,'Monthly Scorecard'!$AC$3:$AC$506,"Entered")/COUNTIFS('Monthly Scorecard'!$D$3:$D$506,$A7,'Monthly Scorecard'!$B$3:$B$506,B$3,'Monthly Scorecard'!$AC$3:$AC$506,"Entered"))</f>
        <v/>
      </c>
      <c r="C7" s="6" t="str">
        <f>IF(COUNTIFS('Monthly Scorecard'!$D$3:$D$506,$A7,'Monthly Scorecard'!$B$3:$B$506,C$3,'Monthly Scorecard'!$AC$3:$AC$506,"Entered")=0,"",SUMIFS('Monthly Scorecard'!$AF$3:$AF$506,'Monthly Scorecard'!$D$3:$D$506,$A7,'Monthly Scorecard'!$B$3:$B$506,C$3,'Monthly Scorecard'!$AC$3:$AC$506,"Entered")/COUNTIFS('Monthly Scorecard'!$D$3:$D$506,$A7,'Monthly Scorecard'!$B$3:$B$506,C$3,'Monthly Scorecard'!$AC$3:$AC$506,"Entered"))</f>
        <v/>
      </c>
      <c r="D7" s="6" t="str">
        <f>IF(COUNTIFS('Monthly Scorecard'!$D$3:$D$506,$A7,'Monthly Scorecard'!$B$3:$B$506,D$3,'Monthly Scorecard'!$AC$3:$AC$506,"Entered")=0,"",SUMIFS('Monthly Scorecard'!$AF$3:$AF$506,'Monthly Scorecard'!$D$3:$D$506,$A7,'Monthly Scorecard'!$B$3:$B$506,D$3,'Monthly Scorecard'!$AC$3:$AC$506,"Entered")/COUNTIFS('Monthly Scorecard'!$D$3:$D$506,$A7,'Monthly Scorecard'!$B$3:$B$506,D$3,'Monthly Scorecard'!$AC$3:$AC$506,"Entered"))</f>
        <v/>
      </c>
      <c r="E7" s="6" t="str">
        <f>IF(COUNTIFS('Monthly Scorecard'!$D$3:$D$506,$A7,'Monthly Scorecard'!$B$3:$B$506,E$3,'Monthly Scorecard'!$AC$3:$AC$506,"Entered")=0,"",SUMIFS('Monthly Scorecard'!$AF$3:$AF$506,'Monthly Scorecard'!$D$3:$D$506,$A7,'Monthly Scorecard'!$B$3:$B$506,E$3,'Monthly Scorecard'!$AC$3:$AC$506,"Entered")/COUNTIFS('Monthly Scorecard'!$D$3:$D$506,$A7,'Monthly Scorecard'!$B$3:$B$506,E$3,'Monthly Scorecard'!$AC$3:$AC$506,"Entered"))</f>
        <v/>
      </c>
      <c r="F7" s="6" t="str">
        <f>IF(COUNTIFS('Monthly Scorecard'!$D$3:$D$506,$A7,'Monthly Scorecard'!$B$3:$B$506,F$3,'Monthly Scorecard'!$AC$3:$AC$506,"Entered")=0,"",SUMIFS('Monthly Scorecard'!$AF$3:$AF$506,'Monthly Scorecard'!$D$3:$D$506,$A7,'Monthly Scorecard'!$B$3:$B$506,F$3,'Monthly Scorecard'!$AC$3:$AC$506,"Entered")/COUNTIFS('Monthly Scorecard'!$D$3:$D$506,$A7,'Monthly Scorecard'!$B$3:$B$506,F$3,'Monthly Scorecard'!$AC$3:$AC$506,"Entered"))</f>
        <v/>
      </c>
      <c r="G7" s="6" t="str">
        <f>IF(COUNTIFS('Monthly Scorecard'!$D$3:$D$506,$A7,'Monthly Scorecard'!$B$3:$B$506,G$3,'Monthly Scorecard'!$AC$3:$AC$506,"Entered")=0,"",SUMIFS('Monthly Scorecard'!$AF$3:$AF$506,'Monthly Scorecard'!$D$3:$D$506,$A7,'Monthly Scorecard'!$B$3:$B$506,G$3,'Monthly Scorecard'!$AC$3:$AC$506,"Entered")/COUNTIFS('Monthly Scorecard'!$D$3:$D$506,$A7,'Monthly Scorecard'!$B$3:$B$506,G$3,'Monthly Scorecard'!$AC$3:$AC$506,"Entered"))</f>
        <v/>
      </c>
      <c r="H7" s="6">
        <f>IF(COUNTIFS('Monthly Scorecard'!$D$3:$D$506,$A7,'Monthly Scorecard'!$B$3:$B$506,H$3,'Monthly Scorecard'!$AC$3:$AC$506,"Entered")=0,"",SUMIFS('Monthly Scorecard'!$AF$3:$AF$506,'Monthly Scorecard'!$D$3:$D$506,$A7,'Monthly Scorecard'!$B$3:$B$506,H$3,'Monthly Scorecard'!$AC$3:$AC$506,"Entered")/COUNTIFS('Monthly Scorecard'!$D$3:$D$506,$A7,'Monthly Scorecard'!$B$3:$B$506,H$3,'Monthly Scorecard'!$AC$3:$AC$506,"Entered"))</f>
        <v>66.900000000000006</v>
      </c>
      <c r="I7" s="6" t="str">
        <f>IF(COUNTIFS('Monthly Scorecard'!$D$3:$D$506,$A7,'Monthly Scorecard'!$B$3:$B$506,I$3,'Monthly Scorecard'!$AC$3:$AC$506,"Entered")=0,"",SUMIFS('Monthly Scorecard'!$AF$3:$AF$506,'Monthly Scorecard'!$D$3:$D$506,$A7,'Monthly Scorecard'!$B$3:$B$506,I$3,'Monthly Scorecard'!$AC$3:$AC$506,"Entered")/COUNTIFS('Monthly Scorecard'!$D$3:$D$506,$A7,'Monthly Scorecard'!$B$3:$B$506,I$3,'Monthly Scorecard'!$AC$3:$AC$506,"Entered"))</f>
        <v/>
      </c>
      <c r="J7" s="6" t="str">
        <f>IF(COUNTIFS('Monthly Scorecard'!$D$3:$D$506,$A7,'Monthly Scorecard'!$B$3:$B$506,J$3,'Monthly Scorecard'!$AC$3:$AC$506,"Entered")=0,"",SUMIFS('Monthly Scorecard'!$AF$3:$AF$506,'Monthly Scorecard'!$D$3:$D$506,$A7,'Monthly Scorecard'!$B$3:$B$506,J$3,'Monthly Scorecard'!$AC$3:$AC$506,"Entered")/COUNTIFS('Monthly Scorecard'!$D$3:$D$506,$A7,'Monthly Scorecard'!$B$3:$B$506,J$3,'Monthly Scorecard'!$AC$3:$AC$506,"Entered"))</f>
        <v/>
      </c>
      <c r="K7" s="6" t="str">
        <f>IF(COUNTIFS('Monthly Scorecard'!$D$3:$D$506,$A7,'Monthly Scorecard'!$B$3:$B$506,K$3,'Monthly Scorecard'!$AC$3:$AC$506,"Entered")=0,"",SUMIFS('Monthly Scorecard'!$AF$3:$AF$506,'Monthly Scorecard'!$D$3:$D$506,$A7,'Monthly Scorecard'!$B$3:$B$506,K$3,'Monthly Scorecard'!$AC$3:$AC$506,"Entered")/COUNTIFS('Monthly Scorecard'!$D$3:$D$506,$A7,'Monthly Scorecard'!$B$3:$B$506,K$3,'Monthly Scorecard'!$AC$3:$AC$506,"Entered"))</f>
        <v/>
      </c>
      <c r="L7" s="6" t="str">
        <f>IF(COUNTIFS('Monthly Scorecard'!$D$3:$D$506,$A7,'Monthly Scorecard'!$B$3:$B$506,L$3,'Monthly Scorecard'!$AC$3:$AC$506,"Entered")=0,"",SUMIFS('Monthly Scorecard'!$AF$3:$AF$506,'Monthly Scorecard'!$D$3:$D$506,$A7,'Monthly Scorecard'!$B$3:$B$506,L$3,'Monthly Scorecard'!$AC$3:$AC$506,"Entered")/COUNTIFS('Monthly Scorecard'!$D$3:$D$506,$A7,'Monthly Scorecard'!$B$3:$B$506,L$3,'Monthly Scorecard'!$AC$3:$AC$506,"Entered"))</f>
        <v/>
      </c>
      <c r="M7" s="6" t="str">
        <f>IF(COUNTIFS('Monthly Scorecard'!$D$3:$D$506,$A7,'Monthly Scorecard'!$B$3:$B$506,M$3,'Monthly Scorecard'!$AC$3:$AC$506,"Entered")=0,"",SUMIFS('Monthly Scorecard'!$AF$3:$AF$506,'Monthly Scorecard'!$D$3:$D$506,$A7,'Monthly Scorecard'!$B$3:$B$506,M$3,'Monthly Scorecard'!$AC$3:$AC$506,"Entered")/COUNTIFS('Monthly Scorecard'!$D$3:$D$506,$A7,'Monthly Scorecard'!$B$3:$B$506,M$3,'Monthly Scorecard'!$AC$3:$AC$506,"Entered"))</f>
        <v/>
      </c>
      <c r="N7" s="6">
        <f t="shared" si="0"/>
        <v>66.900000000000006</v>
      </c>
      <c r="O7" s="8" t="str">
        <f>IF(OR($N7="",$P7=""),"",IFERROR(IF($N7&gt;=VLOOKUP($P7,'Input &amp; Settings'!$F$5:$K$10,3,FALSE),"Outstanding",IF($N7&gt;=VLOOKUP($P7,'Input &amp; Settings'!$F$5:$K$10,4,FALSE),"Exceeds Expectations",IF($N7&gt;=VLOOKUP($P7,'Input &amp; Settings'!$F$5:$K$10,5,FALSE),"Meets Expectations",IF($N7&gt;=VLOOKUP($P7,'Input &amp; Settings'!$F$5:$K$10,6,FALSE),"Needs Improvement","Performance Improvement Required")))),""))</f>
        <v>Meets Expectations</v>
      </c>
      <c r="P7" t="str">
        <f>IFERROR(LOOKUP(2,1/(('Monthly Scorecard'!$D$3:$D$506=$A7)*('Monthly Scorecard'!$E$3:$E$506&lt;&gt;"")),'Monthly Scorecard'!$E$3:$E$506),"")</f>
        <v>1st Shift</v>
      </c>
    </row>
    <row r="8" spans="1:16">
      <c r="A8" t="s">
        <v>41</v>
      </c>
      <c r="B8" s="6" t="str">
        <f>IF(COUNTIFS('Monthly Scorecard'!$D$3:$D$506,$A8,'Monthly Scorecard'!$B$3:$B$506,B$3,'Monthly Scorecard'!$AC$3:$AC$506,"Entered")=0,"",SUMIFS('Monthly Scorecard'!$AF$3:$AF$506,'Monthly Scorecard'!$D$3:$D$506,$A8,'Monthly Scorecard'!$B$3:$B$506,B$3,'Monthly Scorecard'!$AC$3:$AC$506,"Entered")/COUNTIFS('Monthly Scorecard'!$D$3:$D$506,$A8,'Monthly Scorecard'!$B$3:$B$506,B$3,'Monthly Scorecard'!$AC$3:$AC$506,"Entered"))</f>
        <v/>
      </c>
      <c r="C8" s="6" t="str">
        <f>IF(COUNTIFS('Monthly Scorecard'!$D$3:$D$506,$A8,'Monthly Scorecard'!$B$3:$B$506,C$3,'Monthly Scorecard'!$AC$3:$AC$506,"Entered")=0,"",SUMIFS('Monthly Scorecard'!$AF$3:$AF$506,'Monthly Scorecard'!$D$3:$D$506,$A8,'Monthly Scorecard'!$B$3:$B$506,C$3,'Monthly Scorecard'!$AC$3:$AC$506,"Entered")/COUNTIFS('Monthly Scorecard'!$D$3:$D$506,$A8,'Monthly Scorecard'!$B$3:$B$506,C$3,'Monthly Scorecard'!$AC$3:$AC$506,"Entered"))</f>
        <v/>
      </c>
      <c r="D8" s="6" t="str">
        <f>IF(COUNTIFS('Monthly Scorecard'!$D$3:$D$506,$A8,'Monthly Scorecard'!$B$3:$B$506,D$3,'Monthly Scorecard'!$AC$3:$AC$506,"Entered")=0,"",SUMIFS('Monthly Scorecard'!$AF$3:$AF$506,'Monthly Scorecard'!$D$3:$D$506,$A8,'Monthly Scorecard'!$B$3:$B$506,D$3,'Monthly Scorecard'!$AC$3:$AC$506,"Entered")/COUNTIFS('Monthly Scorecard'!$D$3:$D$506,$A8,'Monthly Scorecard'!$B$3:$B$506,D$3,'Monthly Scorecard'!$AC$3:$AC$506,"Entered"))</f>
        <v/>
      </c>
      <c r="E8" s="6" t="str">
        <f>IF(COUNTIFS('Monthly Scorecard'!$D$3:$D$506,$A8,'Monthly Scorecard'!$B$3:$B$506,E$3,'Monthly Scorecard'!$AC$3:$AC$506,"Entered")=0,"",SUMIFS('Monthly Scorecard'!$AF$3:$AF$506,'Monthly Scorecard'!$D$3:$D$506,$A8,'Monthly Scorecard'!$B$3:$B$506,E$3,'Monthly Scorecard'!$AC$3:$AC$506,"Entered")/COUNTIFS('Monthly Scorecard'!$D$3:$D$506,$A8,'Monthly Scorecard'!$B$3:$B$506,E$3,'Monthly Scorecard'!$AC$3:$AC$506,"Entered"))</f>
        <v/>
      </c>
      <c r="F8" s="6" t="str">
        <f>IF(COUNTIFS('Monthly Scorecard'!$D$3:$D$506,$A8,'Monthly Scorecard'!$B$3:$B$506,F$3,'Monthly Scorecard'!$AC$3:$AC$506,"Entered")=0,"",SUMIFS('Monthly Scorecard'!$AF$3:$AF$506,'Monthly Scorecard'!$D$3:$D$506,$A8,'Monthly Scorecard'!$B$3:$B$506,F$3,'Monthly Scorecard'!$AC$3:$AC$506,"Entered")/COUNTIFS('Monthly Scorecard'!$D$3:$D$506,$A8,'Monthly Scorecard'!$B$3:$B$506,F$3,'Monthly Scorecard'!$AC$3:$AC$506,"Entered"))</f>
        <v/>
      </c>
      <c r="G8" s="6" t="str">
        <f>IF(COUNTIFS('Monthly Scorecard'!$D$3:$D$506,$A8,'Monthly Scorecard'!$B$3:$B$506,G$3,'Monthly Scorecard'!$AC$3:$AC$506,"Entered")=0,"",SUMIFS('Monthly Scorecard'!$AF$3:$AF$506,'Monthly Scorecard'!$D$3:$D$506,$A8,'Monthly Scorecard'!$B$3:$B$506,G$3,'Monthly Scorecard'!$AC$3:$AC$506,"Entered")/COUNTIFS('Monthly Scorecard'!$D$3:$D$506,$A8,'Monthly Scorecard'!$B$3:$B$506,G$3,'Monthly Scorecard'!$AC$3:$AC$506,"Entered"))</f>
        <v/>
      </c>
      <c r="H8" s="6">
        <f>IF(COUNTIFS('Monthly Scorecard'!$D$3:$D$506,$A8,'Monthly Scorecard'!$B$3:$B$506,H$3,'Monthly Scorecard'!$AC$3:$AC$506,"Entered")=0,"",SUMIFS('Monthly Scorecard'!$AF$3:$AF$506,'Monthly Scorecard'!$D$3:$D$506,$A8,'Monthly Scorecard'!$B$3:$B$506,H$3,'Monthly Scorecard'!$AC$3:$AC$506,"Entered")/COUNTIFS('Monthly Scorecard'!$D$3:$D$506,$A8,'Monthly Scorecard'!$B$3:$B$506,H$3,'Monthly Scorecard'!$AC$3:$AC$506,"Entered"))</f>
        <v>70.7</v>
      </c>
      <c r="I8" s="6">
        <f>IF(COUNTIFS('Monthly Scorecard'!$D$3:$D$506,$A8,'Monthly Scorecard'!$B$3:$B$506,I$3,'Monthly Scorecard'!$AC$3:$AC$506,"Entered")=0,"",SUMIFS('Monthly Scorecard'!$AF$3:$AF$506,'Monthly Scorecard'!$D$3:$D$506,$A8,'Monthly Scorecard'!$B$3:$B$506,I$3,'Monthly Scorecard'!$AC$3:$AC$506,"Entered")/COUNTIFS('Monthly Scorecard'!$D$3:$D$506,$A8,'Monthly Scorecard'!$B$3:$B$506,I$3,'Monthly Scorecard'!$AC$3:$AC$506,"Entered"))</f>
        <v>66.8</v>
      </c>
      <c r="J8" s="6" t="str">
        <f>IF(COUNTIFS('Monthly Scorecard'!$D$3:$D$506,$A8,'Monthly Scorecard'!$B$3:$B$506,J$3,'Monthly Scorecard'!$AC$3:$AC$506,"Entered")=0,"",SUMIFS('Monthly Scorecard'!$AF$3:$AF$506,'Monthly Scorecard'!$D$3:$D$506,$A8,'Monthly Scorecard'!$B$3:$B$506,J$3,'Monthly Scorecard'!$AC$3:$AC$506,"Entered")/COUNTIFS('Monthly Scorecard'!$D$3:$D$506,$A8,'Monthly Scorecard'!$B$3:$B$506,J$3,'Monthly Scorecard'!$AC$3:$AC$506,"Entered"))</f>
        <v/>
      </c>
      <c r="K8" s="6" t="str">
        <f>IF(COUNTIFS('Monthly Scorecard'!$D$3:$D$506,$A8,'Monthly Scorecard'!$B$3:$B$506,K$3,'Monthly Scorecard'!$AC$3:$AC$506,"Entered")=0,"",SUMIFS('Monthly Scorecard'!$AF$3:$AF$506,'Monthly Scorecard'!$D$3:$D$506,$A8,'Monthly Scorecard'!$B$3:$B$506,K$3,'Monthly Scorecard'!$AC$3:$AC$506,"Entered")/COUNTIFS('Monthly Scorecard'!$D$3:$D$506,$A8,'Monthly Scorecard'!$B$3:$B$506,K$3,'Monthly Scorecard'!$AC$3:$AC$506,"Entered"))</f>
        <v/>
      </c>
      <c r="L8" s="6" t="str">
        <f>IF(COUNTIFS('Monthly Scorecard'!$D$3:$D$506,$A8,'Monthly Scorecard'!$B$3:$B$506,L$3,'Monthly Scorecard'!$AC$3:$AC$506,"Entered")=0,"",SUMIFS('Monthly Scorecard'!$AF$3:$AF$506,'Monthly Scorecard'!$D$3:$D$506,$A8,'Monthly Scorecard'!$B$3:$B$506,L$3,'Monthly Scorecard'!$AC$3:$AC$506,"Entered")/COUNTIFS('Monthly Scorecard'!$D$3:$D$506,$A8,'Monthly Scorecard'!$B$3:$B$506,L$3,'Monthly Scorecard'!$AC$3:$AC$506,"Entered"))</f>
        <v/>
      </c>
      <c r="M8" s="6" t="str">
        <f>IF(COUNTIFS('Monthly Scorecard'!$D$3:$D$506,$A8,'Monthly Scorecard'!$B$3:$B$506,M$3,'Monthly Scorecard'!$AC$3:$AC$506,"Entered")=0,"",SUMIFS('Monthly Scorecard'!$AF$3:$AF$506,'Monthly Scorecard'!$D$3:$D$506,$A8,'Monthly Scorecard'!$B$3:$B$506,M$3,'Monthly Scorecard'!$AC$3:$AC$506,"Entered")/COUNTIFS('Monthly Scorecard'!$D$3:$D$506,$A8,'Monthly Scorecard'!$B$3:$B$506,M$3,'Monthly Scorecard'!$AC$3:$AC$506,"Entered"))</f>
        <v/>
      </c>
      <c r="N8" s="6">
        <f t="shared" si="0"/>
        <v>68.75</v>
      </c>
      <c r="O8" s="8" t="str">
        <f>IF(OR($N8="",$P8=""),"",IFERROR(IF($N8&gt;=VLOOKUP($P8,'Input &amp; Settings'!$F$5:$K$10,3,FALSE),"Outstanding",IF($N8&gt;=VLOOKUP($P8,'Input &amp; Settings'!$F$5:$K$10,4,FALSE),"Exceeds Expectations",IF($N8&gt;=VLOOKUP($P8,'Input &amp; Settings'!$F$5:$K$10,5,FALSE),"Meets Expectations",IF($N8&gt;=VLOOKUP($P8,'Input &amp; Settings'!$F$5:$K$10,6,FALSE),"Needs Improvement","Performance Improvement Required")))),""))</f>
        <v>Meets Expectations</v>
      </c>
      <c r="P8" t="str">
        <f>IFERROR(LOOKUP(2,1/(('Monthly Scorecard'!$D$3:$D$506=$A8)*('Monthly Scorecard'!$E$3:$E$506&lt;&gt;"")),'Monthly Scorecard'!$E$3:$E$506),"")</f>
        <v>1st Shift</v>
      </c>
    </row>
    <row r="9" spans="1:16">
      <c r="A9" t="s">
        <v>42</v>
      </c>
      <c r="B9" s="6" t="str">
        <f>IF(COUNTIFS('Monthly Scorecard'!$D$3:$D$506,$A9,'Monthly Scorecard'!$B$3:$B$506,B$3,'Monthly Scorecard'!$AC$3:$AC$506,"Entered")=0,"",SUMIFS('Monthly Scorecard'!$AF$3:$AF$506,'Monthly Scorecard'!$D$3:$D$506,$A9,'Monthly Scorecard'!$B$3:$B$506,B$3,'Monthly Scorecard'!$AC$3:$AC$506,"Entered")/COUNTIFS('Monthly Scorecard'!$D$3:$D$506,$A9,'Monthly Scorecard'!$B$3:$B$506,B$3,'Monthly Scorecard'!$AC$3:$AC$506,"Entered"))</f>
        <v/>
      </c>
      <c r="C9" s="6" t="str">
        <f>IF(COUNTIFS('Monthly Scorecard'!$D$3:$D$506,$A9,'Monthly Scorecard'!$B$3:$B$506,C$3,'Monthly Scorecard'!$AC$3:$AC$506,"Entered")=0,"",SUMIFS('Monthly Scorecard'!$AF$3:$AF$506,'Monthly Scorecard'!$D$3:$D$506,$A9,'Monthly Scorecard'!$B$3:$B$506,C$3,'Monthly Scorecard'!$AC$3:$AC$506,"Entered")/COUNTIFS('Monthly Scorecard'!$D$3:$D$506,$A9,'Monthly Scorecard'!$B$3:$B$506,C$3,'Monthly Scorecard'!$AC$3:$AC$506,"Entered"))</f>
        <v/>
      </c>
      <c r="D9" s="6" t="str">
        <f>IF(COUNTIFS('Monthly Scorecard'!$D$3:$D$506,$A9,'Monthly Scorecard'!$B$3:$B$506,D$3,'Monthly Scorecard'!$AC$3:$AC$506,"Entered")=0,"",SUMIFS('Monthly Scorecard'!$AF$3:$AF$506,'Monthly Scorecard'!$D$3:$D$506,$A9,'Monthly Scorecard'!$B$3:$B$506,D$3,'Monthly Scorecard'!$AC$3:$AC$506,"Entered")/COUNTIFS('Monthly Scorecard'!$D$3:$D$506,$A9,'Monthly Scorecard'!$B$3:$B$506,D$3,'Monthly Scorecard'!$AC$3:$AC$506,"Entered"))</f>
        <v/>
      </c>
      <c r="E9" s="6" t="str">
        <f>IF(COUNTIFS('Monthly Scorecard'!$D$3:$D$506,$A9,'Monthly Scorecard'!$B$3:$B$506,E$3,'Monthly Scorecard'!$AC$3:$AC$506,"Entered")=0,"",SUMIFS('Monthly Scorecard'!$AF$3:$AF$506,'Monthly Scorecard'!$D$3:$D$506,$A9,'Monthly Scorecard'!$B$3:$B$506,E$3,'Monthly Scorecard'!$AC$3:$AC$506,"Entered")/COUNTIFS('Monthly Scorecard'!$D$3:$D$506,$A9,'Monthly Scorecard'!$B$3:$B$506,E$3,'Monthly Scorecard'!$AC$3:$AC$506,"Entered"))</f>
        <v/>
      </c>
      <c r="F9" s="6" t="str">
        <f>IF(COUNTIFS('Monthly Scorecard'!$D$3:$D$506,$A9,'Monthly Scorecard'!$B$3:$B$506,F$3,'Monthly Scorecard'!$AC$3:$AC$506,"Entered")=0,"",SUMIFS('Monthly Scorecard'!$AF$3:$AF$506,'Monthly Scorecard'!$D$3:$D$506,$A9,'Monthly Scorecard'!$B$3:$B$506,F$3,'Monthly Scorecard'!$AC$3:$AC$506,"Entered")/COUNTIFS('Monthly Scorecard'!$D$3:$D$506,$A9,'Monthly Scorecard'!$B$3:$B$506,F$3,'Monthly Scorecard'!$AC$3:$AC$506,"Entered"))</f>
        <v/>
      </c>
      <c r="G9" s="6" t="str">
        <f>IF(COUNTIFS('Monthly Scorecard'!$D$3:$D$506,$A9,'Monthly Scorecard'!$B$3:$B$506,G$3,'Monthly Scorecard'!$AC$3:$AC$506,"Entered")=0,"",SUMIFS('Monthly Scorecard'!$AF$3:$AF$506,'Monthly Scorecard'!$D$3:$D$506,$A9,'Monthly Scorecard'!$B$3:$B$506,G$3,'Monthly Scorecard'!$AC$3:$AC$506,"Entered")/COUNTIFS('Monthly Scorecard'!$D$3:$D$506,$A9,'Monthly Scorecard'!$B$3:$B$506,G$3,'Monthly Scorecard'!$AC$3:$AC$506,"Entered"))</f>
        <v/>
      </c>
      <c r="H9" s="6">
        <f>IF(COUNTIFS('Monthly Scorecard'!$D$3:$D$506,$A9,'Monthly Scorecard'!$B$3:$B$506,H$3,'Monthly Scorecard'!$AC$3:$AC$506,"Entered")=0,"",SUMIFS('Monthly Scorecard'!$AF$3:$AF$506,'Monthly Scorecard'!$D$3:$D$506,$A9,'Monthly Scorecard'!$B$3:$B$506,H$3,'Monthly Scorecard'!$AC$3:$AC$506,"Entered")/COUNTIFS('Monthly Scorecard'!$D$3:$D$506,$A9,'Monthly Scorecard'!$B$3:$B$506,H$3,'Monthly Scorecard'!$AC$3:$AC$506,"Entered"))</f>
        <v>71.2</v>
      </c>
      <c r="I9" s="6" t="str">
        <f>IF(COUNTIFS('Monthly Scorecard'!$D$3:$D$506,$A9,'Monthly Scorecard'!$B$3:$B$506,I$3,'Monthly Scorecard'!$AC$3:$AC$506,"Entered")=0,"",SUMIFS('Monthly Scorecard'!$AF$3:$AF$506,'Monthly Scorecard'!$D$3:$D$506,$A9,'Monthly Scorecard'!$B$3:$B$506,I$3,'Monthly Scorecard'!$AC$3:$AC$506,"Entered")/COUNTIFS('Monthly Scorecard'!$D$3:$D$506,$A9,'Monthly Scorecard'!$B$3:$B$506,I$3,'Monthly Scorecard'!$AC$3:$AC$506,"Entered"))</f>
        <v/>
      </c>
      <c r="J9" s="6" t="str">
        <f>IF(COUNTIFS('Monthly Scorecard'!$D$3:$D$506,$A9,'Monthly Scorecard'!$B$3:$B$506,J$3,'Monthly Scorecard'!$AC$3:$AC$506,"Entered")=0,"",SUMIFS('Monthly Scorecard'!$AF$3:$AF$506,'Monthly Scorecard'!$D$3:$D$506,$A9,'Monthly Scorecard'!$B$3:$B$506,J$3,'Monthly Scorecard'!$AC$3:$AC$506,"Entered")/COUNTIFS('Monthly Scorecard'!$D$3:$D$506,$A9,'Monthly Scorecard'!$B$3:$B$506,J$3,'Monthly Scorecard'!$AC$3:$AC$506,"Entered"))</f>
        <v/>
      </c>
      <c r="K9" s="6" t="str">
        <f>IF(COUNTIFS('Monthly Scorecard'!$D$3:$D$506,$A9,'Monthly Scorecard'!$B$3:$B$506,K$3,'Monthly Scorecard'!$AC$3:$AC$506,"Entered")=0,"",SUMIFS('Monthly Scorecard'!$AF$3:$AF$506,'Monthly Scorecard'!$D$3:$D$506,$A9,'Monthly Scorecard'!$B$3:$B$506,K$3,'Monthly Scorecard'!$AC$3:$AC$506,"Entered")/COUNTIFS('Monthly Scorecard'!$D$3:$D$506,$A9,'Monthly Scorecard'!$B$3:$B$506,K$3,'Monthly Scorecard'!$AC$3:$AC$506,"Entered"))</f>
        <v/>
      </c>
      <c r="L9" s="6" t="str">
        <f>IF(COUNTIFS('Monthly Scorecard'!$D$3:$D$506,$A9,'Monthly Scorecard'!$B$3:$B$506,L$3,'Monthly Scorecard'!$AC$3:$AC$506,"Entered")=0,"",SUMIFS('Monthly Scorecard'!$AF$3:$AF$506,'Monthly Scorecard'!$D$3:$D$506,$A9,'Monthly Scorecard'!$B$3:$B$506,L$3,'Monthly Scorecard'!$AC$3:$AC$506,"Entered")/COUNTIFS('Monthly Scorecard'!$D$3:$D$506,$A9,'Monthly Scorecard'!$B$3:$B$506,L$3,'Monthly Scorecard'!$AC$3:$AC$506,"Entered"))</f>
        <v/>
      </c>
      <c r="M9" s="6" t="str">
        <f>IF(COUNTIFS('Monthly Scorecard'!$D$3:$D$506,$A9,'Monthly Scorecard'!$B$3:$B$506,M$3,'Monthly Scorecard'!$AC$3:$AC$506,"Entered")=0,"",SUMIFS('Monthly Scorecard'!$AF$3:$AF$506,'Monthly Scorecard'!$D$3:$D$506,$A9,'Monthly Scorecard'!$B$3:$B$506,M$3,'Monthly Scorecard'!$AC$3:$AC$506,"Entered")/COUNTIFS('Monthly Scorecard'!$D$3:$D$506,$A9,'Monthly Scorecard'!$B$3:$B$506,M$3,'Monthly Scorecard'!$AC$3:$AC$506,"Entered"))</f>
        <v/>
      </c>
      <c r="N9" s="6">
        <f t="shared" si="0"/>
        <v>71.2</v>
      </c>
      <c r="O9" s="8" t="str">
        <f>IF(OR($N9="",$P9=""),"",IFERROR(IF($N9&gt;=VLOOKUP($P9,'Input &amp; Settings'!$F$5:$K$10,3,FALSE),"Outstanding",IF($N9&gt;=VLOOKUP($P9,'Input &amp; Settings'!$F$5:$K$10,4,FALSE),"Exceeds Expectations",IF($N9&gt;=VLOOKUP($P9,'Input &amp; Settings'!$F$5:$K$10,5,FALSE),"Meets Expectations",IF($N9&gt;=VLOOKUP($P9,'Input &amp; Settings'!$F$5:$K$10,6,FALSE),"Needs Improvement","Performance Improvement Required")))),""))</f>
        <v>Exceeds Expectations</v>
      </c>
      <c r="P9" t="str">
        <f>IFERROR(LOOKUP(2,1/(('Monthly Scorecard'!$D$3:$D$506=$A9)*('Monthly Scorecard'!$E$3:$E$506&lt;&gt;"")),'Monthly Scorecard'!$E$3:$E$506),"")</f>
        <v>2nd Shift</v>
      </c>
    </row>
    <row r="10" spans="1:16">
      <c r="A10" t="s">
        <v>43</v>
      </c>
      <c r="B10" s="6" t="str">
        <f>IF(COUNTIFS('Monthly Scorecard'!$D$3:$D$506,$A10,'Monthly Scorecard'!$B$3:$B$506,B$3,'Monthly Scorecard'!$AC$3:$AC$506,"Entered")=0,"",SUMIFS('Monthly Scorecard'!$AF$3:$AF$506,'Monthly Scorecard'!$D$3:$D$506,$A10,'Monthly Scorecard'!$B$3:$B$506,B$3,'Monthly Scorecard'!$AC$3:$AC$506,"Entered")/COUNTIFS('Monthly Scorecard'!$D$3:$D$506,$A10,'Monthly Scorecard'!$B$3:$B$506,B$3,'Monthly Scorecard'!$AC$3:$AC$506,"Entered"))</f>
        <v/>
      </c>
      <c r="C10" s="6" t="str">
        <f>IF(COUNTIFS('Monthly Scorecard'!$D$3:$D$506,$A10,'Monthly Scorecard'!$B$3:$B$506,C$3,'Monthly Scorecard'!$AC$3:$AC$506,"Entered")=0,"",SUMIFS('Monthly Scorecard'!$AF$3:$AF$506,'Monthly Scorecard'!$D$3:$D$506,$A10,'Monthly Scorecard'!$B$3:$B$506,C$3,'Monthly Scorecard'!$AC$3:$AC$506,"Entered")/COUNTIFS('Monthly Scorecard'!$D$3:$D$506,$A10,'Monthly Scorecard'!$B$3:$B$506,C$3,'Monthly Scorecard'!$AC$3:$AC$506,"Entered"))</f>
        <v/>
      </c>
      <c r="D10" s="6" t="str">
        <f>IF(COUNTIFS('Monthly Scorecard'!$D$3:$D$506,$A10,'Monthly Scorecard'!$B$3:$B$506,D$3,'Monthly Scorecard'!$AC$3:$AC$506,"Entered")=0,"",SUMIFS('Monthly Scorecard'!$AF$3:$AF$506,'Monthly Scorecard'!$D$3:$D$506,$A10,'Monthly Scorecard'!$B$3:$B$506,D$3,'Monthly Scorecard'!$AC$3:$AC$506,"Entered")/COUNTIFS('Monthly Scorecard'!$D$3:$D$506,$A10,'Monthly Scorecard'!$B$3:$B$506,D$3,'Monthly Scorecard'!$AC$3:$AC$506,"Entered"))</f>
        <v/>
      </c>
      <c r="E10" s="6" t="str">
        <f>IF(COUNTIFS('Monthly Scorecard'!$D$3:$D$506,$A10,'Monthly Scorecard'!$B$3:$B$506,E$3,'Monthly Scorecard'!$AC$3:$AC$506,"Entered")=0,"",SUMIFS('Monthly Scorecard'!$AF$3:$AF$506,'Monthly Scorecard'!$D$3:$D$506,$A10,'Monthly Scorecard'!$B$3:$B$506,E$3,'Monthly Scorecard'!$AC$3:$AC$506,"Entered")/COUNTIFS('Monthly Scorecard'!$D$3:$D$506,$A10,'Monthly Scorecard'!$B$3:$B$506,E$3,'Monthly Scorecard'!$AC$3:$AC$506,"Entered"))</f>
        <v/>
      </c>
      <c r="F10" s="6" t="str">
        <f>IF(COUNTIFS('Monthly Scorecard'!$D$3:$D$506,$A10,'Monthly Scorecard'!$B$3:$B$506,F$3,'Monthly Scorecard'!$AC$3:$AC$506,"Entered")=0,"",SUMIFS('Monthly Scorecard'!$AF$3:$AF$506,'Monthly Scorecard'!$D$3:$D$506,$A10,'Monthly Scorecard'!$B$3:$B$506,F$3,'Monthly Scorecard'!$AC$3:$AC$506,"Entered")/COUNTIFS('Monthly Scorecard'!$D$3:$D$506,$A10,'Monthly Scorecard'!$B$3:$B$506,F$3,'Monthly Scorecard'!$AC$3:$AC$506,"Entered"))</f>
        <v/>
      </c>
      <c r="G10" s="6" t="str">
        <f>IF(COUNTIFS('Monthly Scorecard'!$D$3:$D$506,$A10,'Monthly Scorecard'!$B$3:$B$506,G$3,'Monthly Scorecard'!$AC$3:$AC$506,"Entered")=0,"",SUMIFS('Monthly Scorecard'!$AF$3:$AF$506,'Monthly Scorecard'!$D$3:$D$506,$A10,'Monthly Scorecard'!$B$3:$B$506,G$3,'Monthly Scorecard'!$AC$3:$AC$506,"Entered")/COUNTIFS('Monthly Scorecard'!$D$3:$D$506,$A10,'Monthly Scorecard'!$B$3:$B$506,G$3,'Monthly Scorecard'!$AC$3:$AC$506,"Entered"))</f>
        <v/>
      </c>
      <c r="H10" s="6">
        <f>IF(COUNTIFS('Monthly Scorecard'!$D$3:$D$506,$A10,'Monthly Scorecard'!$B$3:$B$506,H$3,'Monthly Scorecard'!$AC$3:$AC$506,"Entered")=0,"",SUMIFS('Monthly Scorecard'!$AF$3:$AF$506,'Monthly Scorecard'!$D$3:$D$506,$A10,'Monthly Scorecard'!$B$3:$B$506,H$3,'Monthly Scorecard'!$AC$3:$AC$506,"Entered")/COUNTIFS('Monthly Scorecard'!$D$3:$D$506,$A10,'Monthly Scorecard'!$B$3:$B$506,H$3,'Monthly Scorecard'!$AC$3:$AC$506,"Entered"))</f>
        <v>72.900000000000006</v>
      </c>
      <c r="I10" s="6" t="str">
        <f>IF(COUNTIFS('Monthly Scorecard'!$D$3:$D$506,$A10,'Monthly Scorecard'!$B$3:$B$506,I$3,'Monthly Scorecard'!$AC$3:$AC$506,"Entered")=0,"",SUMIFS('Monthly Scorecard'!$AF$3:$AF$506,'Monthly Scorecard'!$D$3:$D$506,$A10,'Monthly Scorecard'!$B$3:$B$506,I$3,'Monthly Scorecard'!$AC$3:$AC$506,"Entered")/COUNTIFS('Monthly Scorecard'!$D$3:$D$506,$A10,'Monthly Scorecard'!$B$3:$B$506,I$3,'Monthly Scorecard'!$AC$3:$AC$506,"Entered"))</f>
        <v/>
      </c>
      <c r="J10" s="6" t="str">
        <f>IF(COUNTIFS('Monthly Scorecard'!$D$3:$D$506,$A10,'Monthly Scorecard'!$B$3:$B$506,J$3,'Monthly Scorecard'!$AC$3:$AC$506,"Entered")=0,"",SUMIFS('Monthly Scorecard'!$AF$3:$AF$506,'Monthly Scorecard'!$D$3:$D$506,$A10,'Monthly Scorecard'!$B$3:$B$506,J$3,'Monthly Scorecard'!$AC$3:$AC$506,"Entered")/COUNTIFS('Monthly Scorecard'!$D$3:$D$506,$A10,'Monthly Scorecard'!$B$3:$B$506,J$3,'Monthly Scorecard'!$AC$3:$AC$506,"Entered"))</f>
        <v/>
      </c>
      <c r="K10" s="6" t="str">
        <f>IF(COUNTIFS('Monthly Scorecard'!$D$3:$D$506,$A10,'Monthly Scorecard'!$B$3:$B$506,K$3,'Monthly Scorecard'!$AC$3:$AC$506,"Entered")=0,"",SUMIFS('Monthly Scorecard'!$AF$3:$AF$506,'Monthly Scorecard'!$D$3:$D$506,$A10,'Monthly Scorecard'!$B$3:$B$506,K$3,'Monthly Scorecard'!$AC$3:$AC$506,"Entered")/COUNTIFS('Monthly Scorecard'!$D$3:$D$506,$A10,'Monthly Scorecard'!$B$3:$B$506,K$3,'Monthly Scorecard'!$AC$3:$AC$506,"Entered"))</f>
        <v/>
      </c>
      <c r="L10" s="6" t="str">
        <f>IF(COUNTIFS('Monthly Scorecard'!$D$3:$D$506,$A10,'Monthly Scorecard'!$B$3:$B$506,L$3,'Monthly Scorecard'!$AC$3:$AC$506,"Entered")=0,"",SUMIFS('Monthly Scorecard'!$AF$3:$AF$506,'Monthly Scorecard'!$D$3:$D$506,$A10,'Monthly Scorecard'!$B$3:$B$506,L$3,'Monthly Scorecard'!$AC$3:$AC$506,"Entered")/COUNTIFS('Monthly Scorecard'!$D$3:$D$506,$A10,'Monthly Scorecard'!$B$3:$B$506,L$3,'Monthly Scorecard'!$AC$3:$AC$506,"Entered"))</f>
        <v/>
      </c>
      <c r="M10" s="6" t="str">
        <f>IF(COUNTIFS('Monthly Scorecard'!$D$3:$D$506,$A10,'Monthly Scorecard'!$B$3:$B$506,M$3,'Monthly Scorecard'!$AC$3:$AC$506,"Entered")=0,"",SUMIFS('Monthly Scorecard'!$AF$3:$AF$506,'Monthly Scorecard'!$D$3:$D$506,$A10,'Monthly Scorecard'!$B$3:$B$506,M$3,'Monthly Scorecard'!$AC$3:$AC$506,"Entered")/COUNTIFS('Monthly Scorecard'!$D$3:$D$506,$A10,'Monthly Scorecard'!$B$3:$B$506,M$3,'Monthly Scorecard'!$AC$3:$AC$506,"Entered"))</f>
        <v/>
      </c>
      <c r="N10" s="6">
        <f t="shared" si="0"/>
        <v>72.900000000000006</v>
      </c>
      <c r="O10" s="8" t="str">
        <f>IF(OR($N10="",$P10=""),"",IFERROR(IF($N10&gt;=VLOOKUP($P10,'Input &amp; Settings'!$F$5:$K$10,3,FALSE),"Outstanding",IF($N10&gt;=VLOOKUP($P10,'Input &amp; Settings'!$F$5:$K$10,4,FALSE),"Exceeds Expectations",IF($N10&gt;=VLOOKUP($P10,'Input &amp; Settings'!$F$5:$K$10,5,FALSE),"Meets Expectations",IF($N10&gt;=VLOOKUP($P10,'Input &amp; Settings'!$F$5:$K$10,6,FALSE),"Needs Improvement","Performance Improvement Required")))),""))</f>
        <v>Exceeds Expectations</v>
      </c>
      <c r="P10" t="str">
        <f>IFERROR(LOOKUP(2,1/(('Monthly Scorecard'!$D$3:$D$506=$A10)*('Monthly Scorecard'!$E$3:$E$506&lt;&gt;"")),'Monthly Scorecard'!$E$3:$E$506),"")</f>
        <v>2nd Shift</v>
      </c>
    </row>
    <row r="11" spans="1:16">
      <c r="A11" t="s">
        <v>44</v>
      </c>
      <c r="B11" s="6" t="str">
        <f>IF(COUNTIFS('Monthly Scorecard'!$D$3:$D$506,$A11,'Monthly Scorecard'!$B$3:$B$506,B$3,'Monthly Scorecard'!$AC$3:$AC$506,"Entered")=0,"",SUMIFS('Monthly Scorecard'!$AF$3:$AF$506,'Monthly Scorecard'!$D$3:$D$506,$A11,'Monthly Scorecard'!$B$3:$B$506,B$3,'Monthly Scorecard'!$AC$3:$AC$506,"Entered")/COUNTIFS('Monthly Scorecard'!$D$3:$D$506,$A11,'Monthly Scorecard'!$B$3:$B$506,B$3,'Monthly Scorecard'!$AC$3:$AC$506,"Entered"))</f>
        <v/>
      </c>
      <c r="C11" s="6" t="str">
        <f>IF(COUNTIFS('Monthly Scorecard'!$D$3:$D$506,$A11,'Monthly Scorecard'!$B$3:$B$506,C$3,'Monthly Scorecard'!$AC$3:$AC$506,"Entered")=0,"",SUMIFS('Monthly Scorecard'!$AF$3:$AF$506,'Monthly Scorecard'!$D$3:$D$506,$A11,'Monthly Scorecard'!$B$3:$B$506,C$3,'Monthly Scorecard'!$AC$3:$AC$506,"Entered")/COUNTIFS('Monthly Scorecard'!$D$3:$D$506,$A11,'Monthly Scorecard'!$B$3:$B$506,C$3,'Monthly Scorecard'!$AC$3:$AC$506,"Entered"))</f>
        <v/>
      </c>
      <c r="D11" s="6" t="str">
        <f>IF(COUNTIFS('Monthly Scorecard'!$D$3:$D$506,$A11,'Monthly Scorecard'!$B$3:$B$506,D$3,'Monthly Scorecard'!$AC$3:$AC$506,"Entered")=0,"",SUMIFS('Monthly Scorecard'!$AF$3:$AF$506,'Monthly Scorecard'!$D$3:$D$506,$A11,'Monthly Scorecard'!$B$3:$B$506,D$3,'Monthly Scorecard'!$AC$3:$AC$506,"Entered")/COUNTIFS('Monthly Scorecard'!$D$3:$D$506,$A11,'Monthly Scorecard'!$B$3:$B$506,D$3,'Monthly Scorecard'!$AC$3:$AC$506,"Entered"))</f>
        <v/>
      </c>
      <c r="E11" s="6" t="str">
        <f>IF(COUNTIFS('Monthly Scorecard'!$D$3:$D$506,$A11,'Monthly Scorecard'!$B$3:$B$506,E$3,'Monthly Scorecard'!$AC$3:$AC$506,"Entered")=0,"",SUMIFS('Monthly Scorecard'!$AF$3:$AF$506,'Monthly Scorecard'!$D$3:$D$506,$A11,'Monthly Scorecard'!$B$3:$B$506,E$3,'Monthly Scorecard'!$AC$3:$AC$506,"Entered")/COUNTIFS('Monthly Scorecard'!$D$3:$D$506,$A11,'Monthly Scorecard'!$B$3:$B$506,E$3,'Monthly Scorecard'!$AC$3:$AC$506,"Entered"))</f>
        <v/>
      </c>
      <c r="F11" s="6" t="str">
        <f>IF(COUNTIFS('Monthly Scorecard'!$D$3:$D$506,$A11,'Monthly Scorecard'!$B$3:$B$506,F$3,'Monthly Scorecard'!$AC$3:$AC$506,"Entered")=0,"",SUMIFS('Monthly Scorecard'!$AF$3:$AF$506,'Monthly Scorecard'!$D$3:$D$506,$A11,'Monthly Scorecard'!$B$3:$B$506,F$3,'Monthly Scorecard'!$AC$3:$AC$506,"Entered")/COUNTIFS('Monthly Scorecard'!$D$3:$D$506,$A11,'Monthly Scorecard'!$B$3:$B$506,F$3,'Monthly Scorecard'!$AC$3:$AC$506,"Entered"))</f>
        <v/>
      </c>
      <c r="G11" s="6" t="str">
        <f>IF(COUNTIFS('Monthly Scorecard'!$D$3:$D$506,$A11,'Monthly Scorecard'!$B$3:$B$506,G$3,'Monthly Scorecard'!$AC$3:$AC$506,"Entered")=0,"",SUMIFS('Monthly Scorecard'!$AF$3:$AF$506,'Monthly Scorecard'!$D$3:$D$506,$A11,'Monthly Scorecard'!$B$3:$B$506,G$3,'Monthly Scorecard'!$AC$3:$AC$506,"Entered")/COUNTIFS('Monthly Scorecard'!$D$3:$D$506,$A11,'Monthly Scorecard'!$B$3:$B$506,G$3,'Monthly Scorecard'!$AC$3:$AC$506,"Entered"))</f>
        <v/>
      </c>
      <c r="H11" s="6">
        <f>IF(COUNTIFS('Monthly Scorecard'!$D$3:$D$506,$A11,'Monthly Scorecard'!$B$3:$B$506,H$3,'Monthly Scorecard'!$AC$3:$AC$506,"Entered")=0,"",SUMIFS('Monthly Scorecard'!$AF$3:$AF$506,'Monthly Scorecard'!$D$3:$D$506,$A11,'Monthly Scorecard'!$B$3:$B$506,H$3,'Monthly Scorecard'!$AC$3:$AC$506,"Entered")/COUNTIFS('Monthly Scorecard'!$D$3:$D$506,$A11,'Monthly Scorecard'!$B$3:$B$506,H$3,'Monthly Scorecard'!$AC$3:$AC$506,"Entered"))</f>
        <v>59.4</v>
      </c>
      <c r="I11" s="6" t="str">
        <f>IF(COUNTIFS('Monthly Scorecard'!$D$3:$D$506,$A11,'Monthly Scorecard'!$B$3:$B$506,I$3,'Monthly Scorecard'!$AC$3:$AC$506,"Entered")=0,"",SUMIFS('Monthly Scorecard'!$AF$3:$AF$506,'Monthly Scorecard'!$D$3:$D$506,$A11,'Monthly Scorecard'!$B$3:$B$506,I$3,'Monthly Scorecard'!$AC$3:$AC$506,"Entered")/COUNTIFS('Monthly Scorecard'!$D$3:$D$506,$A11,'Monthly Scorecard'!$B$3:$B$506,I$3,'Monthly Scorecard'!$AC$3:$AC$506,"Entered"))</f>
        <v/>
      </c>
      <c r="J11" s="6" t="str">
        <f>IF(COUNTIFS('Monthly Scorecard'!$D$3:$D$506,$A11,'Monthly Scorecard'!$B$3:$B$506,J$3,'Monthly Scorecard'!$AC$3:$AC$506,"Entered")=0,"",SUMIFS('Monthly Scorecard'!$AF$3:$AF$506,'Monthly Scorecard'!$D$3:$D$506,$A11,'Monthly Scorecard'!$B$3:$B$506,J$3,'Monthly Scorecard'!$AC$3:$AC$506,"Entered")/COUNTIFS('Monthly Scorecard'!$D$3:$D$506,$A11,'Monthly Scorecard'!$B$3:$B$506,J$3,'Monthly Scorecard'!$AC$3:$AC$506,"Entered"))</f>
        <v/>
      </c>
      <c r="K11" s="6" t="str">
        <f>IF(COUNTIFS('Monthly Scorecard'!$D$3:$D$506,$A11,'Monthly Scorecard'!$B$3:$B$506,K$3,'Monthly Scorecard'!$AC$3:$AC$506,"Entered")=0,"",SUMIFS('Monthly Scorecard'!$AF$3:$AF$506,'Monthly Scorecard'!$D$3:$D$506,$A11,'Monthly Scorecard'!$B$3:$B$506,K$3,'Monthly Scorecard'!$AC$3:$AC$506,"Entered")/COUNTIFS('Monthly Scorecard'!$D$3:$D$506,$A11,'Monthly Scorecard'!$B$3:$B$506,K$3,'Monthly Scorecard'!$AC$3:$AC$506,"Entered"))</f>
        <v/>
      </c>
      <c r="L11" s="6" t="str">
        <f>IF(COUNTIFS('Monthly Scorecard'!$D$3:$D$506,$A11,'Monthly Scorecard'!$B$3:$B$506,L$3,'Monthly Scorecard'!$AC$3:$AC$506,"Entered")=0,"",SUMIFS('Monthly Scorecard'!$AF$3:$AF$506,'Monthly Scorecard'!$D$3:$D$506,$A11,'Monthly Scorecard'!$B$3:$B$506,L$3,'Monthly Scorecard'!$AC$3:$AC$506,"Entered")/COUNTIFS('Monthly Scorecard'!$D$3:$D$506,$A11,'Monthly Scorecard'!$B$3:$B$506,L$3,'Monthly Scorecard'!$AC$3:$AC$506,"Entered"))</f>
        <v/>
      </c>
      <c r="M11" s="6" t="str">
        <f>IF(COUNTIFS('Monthly Scorecard'!$D$3:$D$506,$A11,'Monthly Scorecard'!$B$3:$B$506,M$3,'Monthly Scorecard'!$AC$3:$AC$506,"Entered")=0,"",SUMIFS('Monthly Scorecard'!$AF$3:$AF$506,'Monthly Scorecard'!$D$3:$D$506,$A11,'Monthly Scorecard'!$B$3:$B$506,M$3,'Monthly Scorecard'!$AC$3:$AC$506,"Entered")/COUNTIFS('Monthly Scorecard'!$D$3:$D$506,$A11,'Monthly Scorecard'!$B$3:$B$506,M$3,'Monthly Scorecard'!$AC$3:$AC$506,"Entered"))</f>
        <v/>
      </c>
      <c r="N11" s="6">
        <f t="shared" si="0"/>
        <v>59.4</v>
      </c>
      <c r="O11" s="8" t="str">
        <f>IF(OR($N11="",$P11=""),"",IFERROR(IF($N11&gt;=VLOOKUP($P11,'Input &amp; Settings'!$F$5:$K$10,3,FALSE),"Outstanding",IF($N11&gt;=VLOOKUP($P11,'Input &amp; Settings'!$F$5:$K$10,4,FALSE),"Exceeds Expectations",IF($N11&gt;=VLOOKUP($P11,'Input &amp; Settings'!$F$5:$K$10,5,FALSE),"Meets Expectations",IF($N11&gt;=VLOOKUP($P11,'Input &amp; Settings'!$F$5:$K$10,6,FALSE),"Needs Improvement","Performance Improvement Required")))),""))</f>
        <v>Needs Improvement</v>
      </c>
      <c r="P11" t="str">
        <f>IFERROR(LOOKUP(2,1/(('Monthly Scorecard'!$D$3:$D$506=$A11)*('Monthly Scorecard'!$E$3:$E$506&lt;&gt;"")),'Monthly Scorecard'!$E$3:$E$506),"")</f>
        <v>3rd Shift</v>
      </c>
    </row>
    <row r="12" spans="1:16">
      <c r="A12" t="s">
        <v>45</v>
      </c>
      <c r="B12" s="6" t="str">
        <f>IF(COUNTIFS('Monthly Scorecard'!$D$3:$D$506,$A12,'Monthly Scorecard'!$B$3:$B$506,B$3,'Monthly Scorecard'!$AC$3:$AC$506,"Entered")=0,"",SUMIFS('Monthly Scorecard'!$AF$3:$AF$506,'Monthly Scorecard'!$D$3:$D$506,$A12,'Monthly Scorecard'!$B$3:$B$506,B$3,'Monthly Scorecard'!$AC$3:$AC$506,"Entered")/COUNTIFS('Monthly Scorecard'!$D$3:$D$506,$A12,'Monthly Scorecard'!$B$3:$B$506,B$3,'Monthly Scorecard'!$AC$3:$AC$506,"Entered"))</f>
        <v/>
      </c>
      <c r="C12" s="6" t="str">
        <f>IF(COUNTIFS('Monthly Scorecard'!$D$3:$D$506,$A12,'Monthly Scorecard'!$B$3:$B$506,C$3,'Monthly Scorecard'!$AC$3:$AC$506,"Entered")=0,"",SUMIFS('Monthly Scorecard'!$AF$3:$AF$506,'Monthly Scorecard'!$D$3:$D$506,$A12,'Monthly Scorecard'!$B$3:$B$506,C$3,'Monthly Scorecard'!$AC$3:$AC$506,"Entered")/COUNTIFS('Monthly Scorecard'!$D$3:$D$506,$A12,'Monthly Scorecard'!$B$3:$B$506,C$3,'Monthly Scorecard'!$AC$3:$AC$506,"Entered"))</f>
        <v/>
      </c>
      <c r="D12" s="6" t="str">
        <f>IF(COUNTIFS('Monthly Scorecard'!$D$3:$D$506,$A12,'Monthly Scorecard'!$B$3:$B$506,D$3,'Monthly Scorecard'!$AC$3:$AC$506,"Entered")=0,"",SUMIFS('Monthly Scorecard'!$AF$3:$AF$506,'Monthly Scorecard'!$D$3:$D$506,$A12,'Monthly Scorecard'!$B$3:$B$506,D$3,'Monthly Scorecard'!$AC$3:$AC$506,"Entered")/COUNTIFS('Monthly Scorecard'!$D$3:$D$506,$A12,'Monthly Scorecard'!$B$3:$B$506,D$3,'Monthly Scorecard'!$AC$3:$AC$506,"Entered"))</f>
        <v/>
      </c>
      <c r="E12" s="6" t="str">
        <f>IF(COUNTIFS('Monthly Scorecard'!$D$3:$D$506,$A12,'Monthly Scorecard'!$B$3:$B$506,E$3,'Monthly Scorecard'!$AC$3:$AC$506,"Entered")=0,"",SUMIFS('Monthly Scorecard'!$AF$3:$AF$506,'Monthly Scorecard'!$D$3:$D$506,$A12,'Monthly Scorecard'!$B$3:$B$506,E$3,'Monthly Scorecard'!$AC$3:$AC$506,"Entered")/COUNTIFS('Monthly Scorecard'!$D$3:$D$506,$A12,'Monthly Scorecard'!$B$3:$B$506,E$3,'Monthly Scorecard'!$AC$3:$AC$506,"Entered"))</f>
        <v/>
      </c>
      <c r="F12" s="6" t="str">
        <f>IF(COUNTIFS('Monthly Scorecard'!$D$3:$D$506,$A12,'Monthly Scorecard'!$B$3:$B$506,F$3,'Monthly Scorecard'!$AC$3:$AC$506,"Entered")=0,"",SUMIFS('Monthly Scorecard'!$AF$3:$AF$506,'Monthly Scorecard'!$D$3:$D$506,$A12,'Monthly Scorecard'!$B$3:$B$506,F$3,'Monthly Scorecard'!$AC$3:$AC$506,"Entered")/COUNTIFS('Monthly Scorecard'!$D$3:$D$506,$A12,'Monthly Scorecard'!$B$3:$B$506,F$3,'Monthly Scorecard'!$AC$3:$AC$506,"Entered"))</f>
        <v/>
      </c>
      <c r="G12" s="6" t="str">
        <f>IF(COUNTIFS('Monthly Scorecard'!$D$3:$D$506,$A12,'Monthly Scorecard'!$B$3:$B$506,G$3,'Monthly Scorecard'!$AC$3:$AC$506,"Entered")=0,"",SUMIFS('Monthly Scorecard'!$AF$3:$AF$506,'Monthly Scorecard'!$D$3:$D$506,$A12,'Monthly Scorecard'!$B$3:$B$506,G$3,'Monthly Scorecard'!$AC$3:$AC$506,"Entered")/COUNTIFS('Monthly Scorecard'!$D$3:$D$506,$A12,'Monthly Scorecard'!$B$3:$B$506,G$3,'Monthly Scorecard'!$AC$3:$AC$506,"Entered"))</f>
        <v/>
      </c>
      <c r="H12" s="6">
        <f>IF(COUNTIFS('Monthly Scorecard'!$D$3:$D$506,$A12,'Monthly Scorecard'!$B$3:$B$506,H$3,'Monthly Scorecard'!$AC$3:$AC$506,"Entered")=0,"",SUMIFS('Monthly Scorecard'!$AF$3:$AF$506,'Monthly Scorecard'!$D$3:$D$506,$A12,'Monthly Scorecard'!$B$3:$B$506,H$3,'Monthly Scorecard'!$AC$3:$AC$506,"Entered")/COUNTIFS('Monthly Scorecard'!$D$3:$D$506,$A12,'Monthly Scorecard'!$B$3:$B$506,H$3,'Monthly Scorecard'!$AC$3:$AC$506,"Entered"))</f>
        <v>54.4</v>
      </c>
      <c r="I12" s="6" t="str">
        <f>IF(COUNTIFS('Monthly Scorecard'!$D$3:$D$506,$A12,'Monthly Scorecard'!$B$3:$B$506,I$3,'Monthly Scorecard'!$AC$3:$AC$506,"Entered")=0,"",SUMIFS('Monthly Scorecard'!$AF$3:$AF$506,'Monthly Scorecard'!$D$3:$D$506,$A12,'Monthly Scorecard'!$B$3:$B$506,I$3,'Monthly Scorecard'!$AC$3:$AC$506,"Entered")/COUNTIFS('Monthly Scorecard'!$D$3:$D$506,$A12,'Monthly Scorecard'!$B$3:$B$506,I$3,'Monthly Scorecard'!$AC$3:$AC$506,"Entered"))</f>
        <v/>
      </c>
      <c r="J12" s="6" t="str">
        <f>IF(COUNTIFS('Monthly Scorecard'!$D$3:$D$506,$A12,'Monthly Scorecard'!$B$3:$B$506,J$3,'Monthly Scorecard'!$AC$3:$AC$506,"Entered")=0,"",SUMIFS('Monthly Scorecard'!$AF$3:$AF$506,'Monthly Scorecard'!$D$3:$D$506,$A12,'Monthly Scorecard'!$B$3:$B$506,J$3,'Monthly Scorecard'!$AC$3:$AC$506,"Entered")/COUNTIFS('Monthly Scorecard'!$D$3:$D$506,$A12,'Monthly Scorecard'!$B$3:$B$506,J$3,'Monthly Scorecard'!$AC$3:$AC$506,"Entered"))</f>
        <v/>
      </c>
      <c r="K12" s="6" t="str">
        <f>IF(COUNTIFS('Monthly Scorecard'!$D$3:$D$506,$A12,'Monthly Scorecard'!$B$3:$B$506,K$3,'Monthly Scorecard'!$AC$3:$AC$506,"Entered")=0,"",SUMIFS('Monthly Scorecard'!$AF$3:$AF$506,'Monthly Scorecard'!$D$3:$D$506,$A12,'Monthly Scorecard'!$B$3:$B$506,K$3,'Monthly Scorecard'!$AC$3:$AC$506,"Entered")/COUNTIFS('Monthly Scorecard'!$D$3:$D$506,$A12,'Monthly Scorecard'!$B$3:$B$506,K$3,'Monthly Scorecard'!$AC$3:$AC$506,"Entered"))</f>
        <v/>
      </c>
      <c r="L12" s="6" t="str">
        <f>IF(COUNTIFS('Monthly Scorecard'!$D$3:$D$506,$A12,'Monthly Scorecard'!$B$3:$B$506,L$3,'Monthly Scorecard'!$AC$3:$AC$506,"Entered")=0,"",SUMIFS('Monthly Scorecard'!$AF$3:$AF$506,'Monthly Scorecard'!$D$3:$D$506,$A12,'Monthly Scorecard'!$B$3:$B$506,L$3,'Monthly Scorecard'!$AC$3:$AC$506,"Entered")/COUNTIFS('Monthly Scorecard'!$D$3:$D$506,$A12,'Monthly Scorecard'!$B$3:$B$506,L$3,'Monthly Scorecard'!$AC$3:$AC$506,"Entered"))</f>
        <v/>
      </c>
      <c r="M12" s="6" t="str">
        <f>IF(COUNTIFS('Monthly Scorecard'!$D$3:$D$506,$A12,'Monthly Scorecard'!$B$3:$B$506,M$3,'Monthly Scorecard'!$AC$3:$AC$506,"Entered")=0,"",SUMIFS('Monthly Scorecard'!$AF$3:$AF$506,'Monthly Scorecard'!$D$3:$D$506,$A12,'Monthly Scorecard'!$B$3:$B$506,M$3,'Monthly Scorecard'!$AC$3:$AC$506,"Entered")/COUNTIFS('Monthly Scorecard'!$D$3:$D$506,$A12,'Monthly Scorecard'!$B$3:$B$506,M$3,'Monthly Scorecard'!$AC$3:$AC$506,"Entered"))</f>
        <v/>
      </c>
      <c r="N12" s="6">
        <f t="shared" si="0"/>
        <v>54.4</v>
      </c>
      <c r="O12" s="8" t="str">
        <f>IF(OR($N12="",$P12=""),"",IFERROR(IF($N12&gt;=VLOOKUP($P12,'Input &amp; Settings'!$F$5:$K$10,3,FALSE),"Outstanding",IF($N12&gt;=VLOOKUP($P12,'Input &amp; Settings'!$F$5:$K$10,4,FALSE),"Exceeds Expectations",IF($N12&gt;=VLOOKUP($P12,'Input &amp; Settings'!$F$5:$K$10,5,FALSE),"Meets Expectations",IF($N12&gt;=VLOOKUP($P12,'Input &amp; Settings'!$F$5:$K$10,6,FALSE),"Needs Improvement","Performance Improvement Required")))),""))</f>
        <v>Needs Improvement</v>
      </c>
      <c r="P12" t="str">
        <f>IFERROR(LOOKUP(2,1/(('Monthly Scorecard'!$D$3:$D$506=$A12)*('Monthly Scorecard'!$E$3:$E$506&lt;&gt;"")),'Monthly Scorecard'!$E$3:$E$506),"")</f>
        <v>1st Shift</v>
      </c>
    </row>
    <row r="13" spans="1:16">
      <c r="A13" t="s">
        <v>46</v>
      </c>
      <c r="B13" s="6" t="str">
        <f>IF(COUNTIFS('Monthly Scorecard'!$D$3:$D$506,$A13,'Monthly Scorecard'!$B$3:$B$506,B$3,'Monthly Scorecard'!$AC$3:$AC$506,"Entered")=0,"",SUMIFS('Monthly Scorecard'!$AF$3:$AF$506,'Monthly Scorecard'!$D$3:$D$506,$A13,'Monthly Scorecard'!$B$3:$B$506,B$3,'Monthly Scorecard'!$AC$3:$AC$506,"Entered")/COUNTIFS('Monthly Scorecard'!$D$3:$D$506,$A13,'Monthly Scorecard'!$B$3:$B$506,B$3,'Monthly Scorecard'!$AC$3:$AC$506,"Entered"))</f>
        <v/>
      </c>
      <c r="C13" s="6" t="str">
        <f>IF(COUNTIFS('Monthly Scorecard'!$D$3:$D$506,$A13,'Monthly Scorecard'!$B$3:$B$506,C$3,'Monthly Scorecard'!$AC$3:$AC$506,"Entered")=0,"",SUMIFS('Monthly Scorecard'!$AF$3:$AF$506,'Monthly Scorecard'!$D$3:$D$506,$A13,'Monthly Scorecard'!$B$3:$B$506,C$3,'Monthly Scorecard'!$AC$3:$AC$506,"Entered")/COUNTIFS('Monthly Scorecard'!$D$3:$D$506,$A13,'Monthly Scorecard'!$B$3:$B$506,C$3,'Monthly Scorecard'!$AC$3:$AC$506,"Entered"))</f>
        <v/>
      </c>
      <c r="D13" s="6" t="str">
        <f>IF(COUNTIFS('Monthly Scorecard'!$D$3:$D$506,$A13,'Monthly Scorecard'!$B$3:$B$506,D$3,'Monthly Scorecard'!$AC$3:$AC$506,"Entered")=0,"",SUMIFS('Monthly Scorecard'!$AF$3:$AF$506,'Monthly Scorecard'!$D$3:$D$506,$A13,'Monthly Scorecard'!$B$3:$B$506,D$3,'Monthly Scorecard'!$AC$3:$AC$506,"Entered")/COUNTIFS('Monthly Scorecard'!$D$3:$D$506,$A13,'Monthly Scorecard'!$B$3:$B$506,D$3,'Monthly Scorecard'!$AC$3:$AC$506,"Entered"))</f>
        <v/>
      </c>
      <c r="E13" s="6" t="str">
        <f>IF(COUNTIFS('Monthly Scorecard'!$D$3:$D$506,$A13,'Monthly Scorecard'!$B$3:$B$506,E$3,'Monthly Scorecard'!$AC$3:$AC$506,"Entered")=0,"",SUMIFS('Monthly Scorecard'!$AF$3:$AF$506,'Monthly Scorecard'!$D$3:$D$506,$A13,'Monthly Scorecard'!$B$3:$B$506,E$3,'Monthly Scorecard'!$AC$3:$AC$506,"Entered")/COUNTIFS('Monthly Scorecard'!$D$3:$D$506,$A13,'Monthly Scorecard'!$B$3:$B$506,E$3,'Monthly Scorecard'!$AC$3:$AC$506,"Entered"))</f>
        <v/>
      </c>
      <c r="F13" s="6" t="str">
        <f>IF(COUNTIFS('Monthly Scorecard'!$D$3:$D$506,$A13,'Monthly Scorecard'!$B$3:$B$506,F$3,'Monthly Scorecard'!$AC$3:$AC$506,"Entered")=0,"",SUMIFS('Monthly Scorecard'!$AF$3:$AF$506,'Monthly Scorecard'!$D$3:$D$506,$A13,'Monthly Scorecard'!$B$3:$B$506,F$3,'Monthly Scorecard'!$AC$3:$AC$506,"Entered")/COUNTIFS('Monthly Scorecard'!$D$3:$D$506,$A13,'Monthly Scorecard'!$B$3:$B$506,F$3,'Monthly Scorecard'!$AC$3:$AC$506,"Entered"))</f>
        <v/>
      </c>
      <c r="G13" s="6" t="str">
        <f>IF(COUNTIFS('Monthly Scorecard'!$D$3:$D$506,$A13,'Monthly Scorecard'!$B$3:$B$506,G$3,'Monthly Scorecard'!$AC$3:$AC$506,"Entered")=0,"",SUMIFS('Monthly Scorecard'!$AF$3:$AF$506,'Monthly Scorecard'!$D$3:$D$506,$A13,'Monthly Scorecard'!$B$3:$B$506,G$3,'Monthly Scorecard'!$AC$3:$AC$506,"Entered")/COUNTIFS('Monthly Scorecard'!$D$3:$D$506,$A13,'Monthly Scorecard'!$B$3:$B$506,G$3,'Monthly Scorecard'!$AC$3:$AC$506,"Entered"))</f>
        <v/>
      </c>
      <c r="H13" s="6">
        <f>IF(COUNTIFS('Monthly Scorecard'!$D$3:$D$506,$A13,'Monthly Scorecard'!$B$3:$B$506,H$3,'Monthly Scorecard'!$AC$3:$AC$506,"Entered")=0,"",SUMIFS('Monthly Scorecard'!$AF$3:$AF$506,'Monthly Scorecard'!$D$3:$D$506,$A13,'Monthly Scorecard'!$B$3:$B$506,H$3,'Monthly Scorecard'!$AC$3:$AC$506,"Entered")/COUNTIFS('Monthly Scorecard'!$D$3:$D$506,$A13,'Monthly Scorecard'!$B$3:$B$506,H$3,'Monthly Scorecard'!$AC$3:$AC$506,"Entered"))</f>
        <v>66.3</v>
      </c>
      <c r="I13" s="6">
        <f>IF(COUNTIFS('Monthly Scorecard'!$D$3:$D$506,$A13,'Monthly Scorecard'!$B$3:$B$506,I$3,'Monthly Scorecard'!$AC$3:$AC$506,"Entered")=0,"",SUMIFS('Monthly Scorecard'!$AF$3:$AF$506,'Monthly Scorecard'!$D$3:$D$506,$A13,'Monthly Scorecard'!$B$3:$B$506,I$3,'Monthly Scorecard'!$AC$3:$AC$506,"Entered")/COUNTIFS('Monthly Scorecard'!$D$3:$D$506,$A13,'Monthly Scorecard'!$B$3:$B$506,I$3,'Monthly Scorecard'!$AC$3:$AC$506,"Entered"))</f>
        <v>63.6</v>
      </c>
      <c r="J13" s="6" t="str">
        <f>IF(COUNTIFS('Monthly Scorecard'!$D$3:$D$506,$A13,'Monthly Scorecard'!$B$3:$B$506,J$3,'Monthly Scorecard'!$AC$3:$AC$506,"Entered")=0,"",SUMIFS('Monthly Scorecard'!$AF$3:$AF$506,'Monthly Scorecard'!$D$3:$D$506,$A13,'Monthly Scorecard'!$B$3:$B$506,J$3,'Monthly Scorecard'!$AC$3:$AC$506,"Entered")/COUNTIFS('Monthly Scorecard'!$D$3:$D$506,$A13,'Monthly Scorecard'!$B$3:$B$506,J$3,'Monthly Scorecard'!$AC$3:$AC$506,"Entered"))</f>
        <v/>
      </c>
      <c r="K13" s="6" t="str">
        <f>IF(COUNTIFS('Monthly Scorecard'!$D$3:$D$506,$A13,'Monthly Scorecard'!$B$3:$B$506,K$3,'Monthly Scorecard'!$AC$3:$AC$506,"Entered")=0,"",SUMIFS('Monthly Scorecard'!$AF$3:$AF$506,'Monthly Scorecard'!$D$3:$D$506,$A13,'Monthly Scorecard'!$B$3:$B$506,K$3,'Monthly Scorecard'!$AC$3:$AC$506,"Entered")/COUNTIFS('Monthly Scorecard'!$D$3:$D$506,$A13,'Monthly Scorecard'!$B$3:$B$506,K$3,'Monthly Scorecard'!$AC$3:$AC$506,"Entered"))</f>
        <v/>
      </c>
      <c r="L13" s="6" t="str">
        <f>IF(COUNTIFS('Monthly Scorecard'!$D$3:$D$506,$A13,'Monthly Scorecard'!$B$3:$B$506,L$3,'Monthly Scorecard'!$AC$3:$AC$506,"Entered")=0,"",SUMIFS('Monthly Scorecard'!$AF$3:$AF$506,'Monthly Scorecard'!$D$3:$D$506,$A13,'Monthly Scorecard'!$B$3:$B$506,L$3,'Monthly Scorecard'!$AC$3:$AC$506,"Entered")/COUNTIFS('Monthly Scorecard'!$D$3:$D$506,$A13,'Monthly Scorecard'!$B$3:$B$506,L$3,'Monthly Scorecard'!$AC$3:$AC$506,"Entered"))</f>
        <v/>
      </c>
      <c r="M13" s="6" t="str">
        <f>IF(COUNTIFS('Monthly Scorecard'!$D$3:$D$506,$A13,'Monthly Scorecard'!$B$3:$B$506,M$3,'Monthly Scorecard'!$AC$3:$AC$506,"Entered")=0,"",SUMIFS('Monthly Scorecard'!$AF$3:$AF$506,'Monthly Scorecard'!$D$3:$D$506,$A13,'Monthly Scorecard'!$B$3:$B$506,M$3,'Monthly Scorecard'!$AC$3:$AC$506,"Entered")/COUNTIFS('Monthly Scorecard'!$D$3:$D$506,$A13,'Monthly Scorecard'!$B$3:$B$506,M$3,'Monthly Scorecard'!$AC$3:$AC$506,"Entered"))</f>
        <v/>
      </c>
      <c r="N13" s="6">
        <f t="shared" si="0"/>
        <v>64.95</v>
      </c>
      <c r="O13" s="8" t="str">
        <f>IF(OR($N13="",$P13=""),"",IFERROR(IF($N13&gt;=VLOOKUP($P13,'Input &amp; Settings'!$F$5:$K$10,3,FALSE),"Outstanding",IF($N13&gt;=VLOOKUP($P13,'Input &amp; Settings'!$F$5:$K$10,4,FALSE),"Exceeds Expectations",IF($N13&gt;=VLOOKUP($P13,'Input &amp; Settings'!$F$5:$K$10,5,FALSE),"Meets Expectations",IF($N13&gt;=VLOOKUP($P13,'Input &amp; Settings'!$F$5:$K$10,6,FALSE),"Needs Improvement","Performance Improvement Required")))),""))</f>
        <v>Meets Expectations</v>
      </c>
      <c r="P13" t="str">
        <f>IFERROR(LOOKUP(2,1/(('Monthly Scorecard'!$D$3:$D$506=$A13)*('Monthly Scorecard'!$E$3:$E$506&lt;&gt;"")),'Monthly Scorecard'!$E$3:$E$506),"")</f>
        <v>1st Shift</v>
      </c>
    </row>
    <row r="14" spans="1:16">
      <c r="A14" t="s">
        <v>47</v>
      </c>
      <c r="B14" s="6" t="str">
        <f>IF(COUNTIFS('Monthly Scorecard'!$D$3:$D$506,$A14,'Monthly Scorecard'!$B$3:$B$506,B$3,'Monthly Scorecard'!$AC$3:$AC$506,"Entered")=0,"",SUMIFS('Monthly Scorecard'!$AF$3:$AF$506,'Monthly Scorecard'!$D$3:$D$506,$A14,'Monthly Scorecard'!$B$3:$B$506,B$3,'Monthly Scorecard'!$AC$3:$AC$506,"Entered")/COUNTIFS('Monthly Scorecard'!$D$3:$D$506,$A14,'Monthly Scorecard'!$B$3:$B$506,B$3,'Monthly Scorecard'!$AC$3:$AC$506,"Entered"))</f>
        <v/>
      </c>
      <c r="C14" s="6" t="str">
        <f>IF(COUNTIFS('Monthly Scorecard'!$D$3:$D$506,$A14,'Monthly Scorecard'!$B$3:$B$506,C$3,'Monthly Scorecard'!$AC$3:$AC$506,"Entered")=0,"",SUMIFS('Monthly Scorecard'!$AF$3:$AF$506,'Monthly Scorecard'!$D$3:$D$506,$A14,'Monthly Scorecard'!$B$3:$B$506,C$3,'Monthly Scorecard'!$AC$3:$AC$506,"Entered")/COUNTIFS('Monthly Scorecard'!$D$3:$D$506,$A14,'Monthly Scorecard'!$B$3:$B$506,C$3,'Monthly Scorecard'!$AC$3:$AC$506,"Entered"))</f>
        <v/>
      </c>
      <c r="D14" s="6" t="str">
        <f>IF(COUNTIFS('Monthly Scorecard'!$D$3:$D$506,$A14,'Monthly Scorecard'!$B$3:$B$506,D$3,'Monthly Scorecard'!$AC$3:$AC$506,"Entered")=0,"",SUMIFS('Monthly Scorecard'!$AF$3:$AF$506,'Monthly Scorecard'!$D$3:$D$506,$A14,'Monthly Scorecard'!$B$3:$B$506,D$3,'Monthly Scorecard'!$AC$3:$AC$506,"Entered")/COUNTIFS('Monthly Scorecard'!$D$3:$D$506,$A14,'Monthly Scorecard'!$B$3:$B$506,D$3,'Monthly Scorecard'!$AC$3:$AC$506,"Entered"))</f>
        <v/>
      </c>
      <c r="E14" s="6" t="str">
        <f>IF(COUNTIFS('Monthly Scorecard'!$D$3:$D$506,$A14,'Monthly Scorecard'!$B$3:$B$506,E$3,'Monthly Scorecard'!$AC$3:$AC$506,"Entered")=0,"",SUMIFS('Monthly Scorecard'!$AF$3:$AF$506,'Monthly Scorecard'!$D$3:$D$506,$A14,'Monthly Scorecard'!$B$3:$B$506,E$3,'Monthly Scorecard'!$AC$3:$AC$506,"Entered")/COUNTIFS('Monthly Scorecard'!$D$3:$D$506,$A14,'Monthly Scorecard'!$B$3:$B$506,E$3,'Monthly Scorecard'!$AC$3:$AC$506,"Entered"))</f>
        <v/>
      </c>
      <c r="F14" s="6" t="str">
        <f>IF(COUNTIFS('Monthly Scorecard'!$D$3:$D$506,$A14,'Monthly Scorecard'!$B$3:$B$506,F$3,'Monthly Scorecard'!$AC$3:$AC$506,"Entered")=0,"",SUMIFS('Monthly Scorecard'!$AF$3:$AF$506,'Monthly Scorecard'!$D$3:$D$506,$A14,'Monthly Scorecard'!$B$3:$B$506,F$3,'Monthly Scorecard'!$AC$3:$AC$506,"Entered")/COUNTIFS('Monthly Scorecard'!$D$3:$D$506,$A14,'Monthly Scorecard'!$B$3:$B$506,F$3,'Monthly Scorecard'!$AC$3:$AC$506,"Entered"))</f>
        <v/>
      </c>
      <c r="G14" s="6" t="str">
        <f>IF(COUNTIFS('Monthly Scorecard'!$D$3:$D$506,$A14,'Monthly Scorecard'!$B$3:$B$506,G$3,'Monthly Scorecard'!$AC$3:$AC$506,"Entered")=0,"",SUMIFS('Monthly Scorecard'!$AF$3:$AF$506,'Monthly Scorecard'!$D$3:$D$506,$A14,'Monthly Scorecard'!$B$3:$B$506,G$3,'Monthly Scorecard'!$AC$3:$AC$506,"Entered")/COUNTIFS('Monthly Scorecard'!$D$3:$D$506,$A14,'Monthly Scorecard'!$B$3:$B$506,G$3,'Monthly Scorecard'!$AC$3:$AC$506,"Entered"))</f>
        <v/>
      </c>
      <c r="H14" s="6" t="str">
        <f>IF(COUNTIFS('Monthly Scorecard'!$D$3:$D$506,$A14,'Monthly Scorecard'!$B$3:$B$506,H$3,'Monthly Scorecard'!$AC$3:$AC$506,"Entered")=0,"",SUMIFS('Monthly Scorecard'!$AF$3:$AF$506,'Monthly Scorecard'!$D$3:$D$506,$A14,'Monthly Scorecard'!$B$3:$B$506,H$3,'Monthly Scorecard'!$AC$3:$AC$506,"Entered")/COUNTIFS('Monthly Scorecard'!$D$3:$D$506,$A14,'Monthly Scorecard'!$B$3:$B$506,H$3,'Monthly Scorecard'!$AC$3:$AC$506,"Entered"))</f>
        <v/>
      </c>
      <c r="I14" s="6" t="str">
        <f>IF(COUNTIFS('Monthly Scorecard'!$D$3:$D$506,$A14,'Monthly Scorecard'!$B$3:$B$506,I$3,'Monthly Scorecard'!$AC$3:$AC$506,"Entered")=0,"",SUMIFS('Monthly Scorecard'!$AF$3:$AF$506,'Monthly Scorecard'!$D$3:$D$506,$A14,'Monthly Scorecard'!$B$3:$B$506,I$3,'Monthly Scorecard'!$AC$3:$AC$506,"Entered")/COUNTIFS('Monthly Scorecard'!$D$3:$D$506,$A14,'Monthly Scorecard'!$B$3:$B$506,I$3,'Monthly Scorecard'!$AC$3:$AC$506,"Entered"))</f>
        <v/>
      </c>
      <c r="J14" s="6" t="str">
        <f>IF(COUNTIFS('Monthly Scorecard'!$D$3:$D$506,$A14,'Monthly Scorecard'!$B$3:$B$506,J$3,'Monthly Scorecard'!$AC$3:$AC$506,"Entered")=0,"",SUMIFS('Monthly Scorecard'!$AF$3:$AF$506,'Monthly Scorecard'!$D$3:$D$506,$A14,'Monthly Scorecard'!$B$3:$B$506,J$3,'Monthly Scorecard'!$AC$3:$AC$506,"Entered")/COUNTIFS('Monthly Scorecard'!$D$3:$D$506,$A14,'Monthly Scorecard'!$B$3:$B$506,J$3,'Monthly Scorecard'!$AC$3:$AC$506,"Entered"))</f>
        <v/>
      </c>
      <c r="K14" s="6" t="str">
        <f>IF(COUNTIFS('Monthly Scorecard'!$D$3:$D$506,$A14,'Monthly Scorecard'!$B$3:$B$506,K$3,'Monthly Scorecard'!$AC$3:$AC$506,"Entered")=0,"",SUMIFS('Monthly Scorecard'!$AF$3:$AF$506,'Monthly Scorecard'!$D$3:$D$506,$A14,'Monthly Scorecard'!$B$3:$B$506,K$3,'Monthly Scorecard'!$AC$3:$AC$506,"Entered")/COUNTIFS('Monthly Scorecard'!$D$3:$D$506,$A14,'Monthly Scorecard'!$B$3:$B$506,K$3,'Monthly Scorecard'!$AC$3:$AC$506,"Entered"))</f>
        <v/>
      </c>
      <c r="L14" s="6" t="str">
        <f>IF(COUNTIFS('Monthly Scorecard'!$D$3:$D$506,$A14,'Monthly Scorecard'!$B$3:$B$506,L$3,'Monthly Scorecard'!$AC$3:$AC$506,"Entered")=0,"",SUMIFS('Monthly Scorecard'!$AF$3:$AF$506,'Monthly Scorecard'!$D$3:$D$506,$A14,'Monthly Scorecard'!$B$3:$B$506,L$3,'Monthly Scorecard'!$AC$3:$AC$506,"Entered")/COUNTIFS('Monthly Scorecard'!$D$3:$D$506,$A14,'Monthly Scorecard'!$B$3:$B$506,L$3,'Monthly Scorecard'!$AC$3:$AC$506,"Entered"))</f>
        <v/>
      </c>
      <c r="M14" s="6" t="str">
        <f>IF(COUNTIFS('Monthly Scorecard'!$D$3:$D$506,$A14,'Monthly Scorecard'!$B$3:$B$506,M$3,'Monthly Scorecard'!$AC$3:$AC$506,"Entered")=0,"",SUMIFS('Monthly Scorecard'!$AF$3:$AF$506,'Monthly Scorecard'!$D$3:$D$506,$A14,'Monthly Scorecard'!$B$3:$B$506,M$3,'Monthly Scorecard'!$AC$3:$AC$506,"Entered")/COUNTIFS('Monthly Scorecard'!$D$3:$D$506,$A14,'Monthly Scorecard'!$B$3:$B$506,M$3,'Monthly Scorecard'!$AC$3:$AC$506,"Entered"))</f>
        <v/>
      </c>
      <c r="N14" s="6" t="str">
        <f t="shared" si="0"/>
        <v/>
      </c>
      <c r="O14" s="8" t="str">
        <f>IF(OR($N14="",$P14=""),"",IFERROR(IF($N14&gt;=VLOOKUP($P14,'Input &amp; Settings'!$F$5:$K$10,3,FALSE),"Outstanding",IF($N14&gt;=VLOOKUP($P14,'Input &amp; Settings'!$F$5:$K$10,4,FALSE),"Exceeds Expectations",IF($N14&gt;=VLOOKUP($P14,'Input &amp; Settings'!$F$5:$K$10,5,FALSE),"Meets Expectations",IF($N14&gt;=VLOOKUP($P14,'Input &amp; Settings'!$F$5:$K$10,6,FALSE),"Needs Improvement","Performance Improvement Required")))),""))</f>
        <v/>
      </c>
      <c r="P14" t="str">
        <f>IFERROR(LOOKUP(2,1/(('Monthly Scorecard'!$D$3:$D$506=$A14)*('Monthly Scorecard'!$E$3:$E$506&lt;&gt;"")),'Monthly Scorecard'!$E$3:$E$506),"")</f>
        <v>2nd Shift</v>
      </c>
    </row>
    <row r="15" spans="1:16">
      <c r="A15" t="s">
        <v>48</v>
      </c>
      <c r="B15" s="6" t="str">
        <f>IF(COUNTIFS('Monthly Scorecard'!$D$3:$D$506,$A15,'Monthly Scorecard'!$B$3:$B$506,B$3,'Monthly Scorecard'!$AC$3:$AC$506,"Entered")=0,"",SUMIFS('Monthly Scorecard'!$AF$3:$AF$506,'Monthly Scorecard'!$D$3:$D$506,$A15,'Monthly Scorecard'!$B$3:$B$506,B$3,'Monthly Scorecard'!$AC$3:$AC$506,"Entered")/COUNTIFS('Monthly Scorecard'!$D$3:$D$506,$A15,'Monthly Scorecard'!$B$3:$B$506,B$3,'Monthly Scorecard'!$AC$3:$AC$506,"Entered"))</f>
        <v/>
      </c>
      <c r="C15" s="6" t="str">
        <f>IF(COUNTIFS('Monthly Scorecard'!$D$3:$D$506,$A15,'Monthly Scorecard'!$B$3:$B$506,C$3,'Monthly Scorecard'!$AC$3:$AC$506,"Entered")=0,"",SUMIFS('Monthly Scorecard'!$AF$3:$AF$506,'Monthly Scorecard'!$D$3:$D$506,$A15,'Monthly Scorecard'!$B$3:$B$506,C$3,'Monthly Scorecard'!$AC$3:$AC$506,"Entered")/COUNTIFS('Monthly Scorecard'!$D$3:$D$506,$A15,'Monthly Scorecard'!$B$3:$B$506,C$3,'Monthly Scorecard'!$AC$3:$AC$506,"Entered"))</f>
        <v/>
      </c>
      <c r="D15" s="6" t="str">
        <f>IF(COUNTIFS('Monthly Scorecard'!$D$3:$D$506,$A15,'Monthly Scorecard'!$B$3:$B$506,D$3,'Monthly Scorecard'!$AC$3:$AC$506,"Entered")=0,"",SUMIFS('Monthly Scorecard'!$AF$3:$AF$506,'Monthly Scorecard'!$D$3:$D$506,$A15,'Monthly Scorecard'!$B$3:$B$506,D$3,'Monthly Scorecard'!$AC$3:$AC$506,"Entered")/COUNTIFS('Monthly Scorecard'!$D$3:$D$506,$A15,'Monthly Scorecard'!$B$3:$B$506,D$3,'Monthly Scorecard'!$AC$3:$AC$506,"Entered"))</f>
        <v/>
      </c>
      <c r="E15" s="6" t="str">
        <f>IF(COUNTIFS('Monthly Scorecard'!$D$3:$D$506,$A15,'Monthly Scorecard'!$B$3:$B$506,E$3,'Monthly Scorecard'!$AC$3:$AC$506,"Entered")=0,"",SUMIFS('Monthly Scorecard'!$AF$3:$AF$506,'Monthly Scorecard'!$D$3:$D$506,$A15,'Monthly Scorecard'!$B$3:$B$506,E$3,'Monthly Scorecard'!$AC$3:$AC$506,"Entered")/COUNTIFS('Monthly Scorecard'!$D$3:$D$506,$A15,'Monthly Scorecard'!$B$3:$B$506,E$3,'Monthly Scorecard'!$AC$3:$AC$506,"Entered"))</f>
        <v/>
      </c>
      <c r="F15" s="6" t="str">
        <f>IF(COUNTIFS('Monthly Scorecard'!$D$3:$D$506,$A15,'Monthly Scorecard'!$B$3:$B$506,F$3,'Monthly Scorecard'!$AC$3:$AC$506,"Entered")=0,"",SUMIFS('Monthly Scorecard'!$AF$3:$AF$506,'Monthly Scorecard'!$D$3:$D$506,$A15,'Monthly Scorecard'!$B$3:$B$506,F$3,'Monthly Scorecard'!$AC$3:$AC$506,"Entered")/COUNTIFS('Monthly Scorecard'!$D$3:$D$506,$A15,'Monthly Scorecard'!$B$3:$B$506,F$3,'Monthly Scorecard'!$AC$3:$AC$506,"Entered"))</f>
        <v/>
      </c>
      <c r="G15" s="6" t="str">
        <f>IF(COUNTIFS('Monthly Scorecard'!$D$3:$D$506,$A15,'Monthly Scorecard'!$B$3:$B$506,G$3,'Monthly Scorecard'!$AC$3:$AC$506,"Entered")=0,"",SUMIFS('Monthly Scorecard'!$AF$3:$AF$506,'Monthly Scorecard'!$D$3:$D$506,$A15,'Monthly Scorecard'!$B$3:$B$506,G$3,'Monthly Scorecard'!$AC$3:$AC$506,"Entered")/COUNTIFS('Monthly Scorecard'!$D$3:$D$506,$A15,'Monthly Scorecard'!$B$3:$B$506,G$3,'Monthly Scorecard'!$AC$3:$AC$506,"Entered"))</f>
        <v/>
      </c>
      <c r="H15" s="6">
        <f>IF(COUNTIFS('Monthly Scorecard'!$D$3:$D$506,$A15,'Monthly Scorecard'!$B$3:$B$506,H$3,'Monthly Scorecard'!$AC$3:$AC$506,"Entered")=0,"",SUMIFS('Monthly Scorecard'!$AF$3:$AF$506,'Monthly Scorecard'!$D$3:$D$506,$A15,'Monthly Scorecard'!$B$3:$B$506,H$3,'Monthly Scorecard'!$AC$3:$AC$506,"Entered")/COUNTIFS('Monthly Scorecard'!$D$3:$D$506,$A15,'Monthly Scorecard'!$B$3:$B$506,H$3,'Monthly Scorecard'!$AC$3:$AC$506,"Entered"))</f>
        <v>68.400000000000006</v>
      </c>
      <c r="I15" s="6" t="str">
        <f>IF(COUNTIFS('Monthly Scorecard'!$D$3:$D$506,$A15,'Monthly Scorecard'!$B$3:$B$506,I$3,'Monthly Scorecard'!$AC$3:$AC$506,"Entered")=0,"",SUMIFS('Monthly Scorecard'!$AF$3:$AF$506,'Monthly Scorecard'!$D$3:$D$506,$A15,'Monthly Scorecard'!$B$3:$B$506,I$3,'Monthly Scorecard'!$AC$3:$AC$506,"Entered")/COUNTIFS('Monthly Scorecard'!$D$3:$D$506,$A15,'Monthly Scorecard'!$B$3:$B$506,I$3,'Monthly Scorecard'!$AC$3:$AC$506,"Entered"))</f>
        <v/>
      </c>
      <c r="J15" s="6" t="str">
        <f>IF(COUNTIFS('Monthly Scorecard'!$D$3:$D$506,$A15,'Monthly Scorecard'!$B$3:$B$506,J$3,'Monthly Scorecard'!$AC$3:$AC$506,"Entered")=0,"",SUMIFS('Monthly Scorecard'!$AF$3:$AF$506,'Monthly Scorecard'!$D$3:$D$506,$A15,'Monthly Scorecard'!$B$3:$B$506,J$3,'Monthly Scorecard'!$AC$3:$AC$506,"Entered")/COUNTIFS('Monthly Scorecard'!$D$3:$D$506,$A15,'Monthly Scorecard'!$B$3:$B$506,J$3,'Monthly Scorecard'!$AC$3:$AC$506,"Entered"))</f>
        <v/>
      </c>
      <c r="K15" s="6" t="str">
        <f>IF(COUNTIFS('Monthly Scorecard'!$D$3:$D$506,$A15,'Monthly Scorecard'!$B$3:$B$506,K$3,'Monthly Scorecard'!$AC$3:$AC$506,"Entered")=0,"",SUMIFS('Monthly Scorecard'!$AF$3:$AF$506,'Monthly Scorecard'!$D$3:$D$506,$A15,'Monthly Scorecard'!$B$3:$B$506,K$3,'Monthly Scorecard'!$AC$3:$AC$506,"Entered")/COUNTIFS('Monthly Scorecard'!$D$3:$D$506,$A15,'Monthly Scorecard'!$B$3:$B$506,K$3,'Monthly Scorecard'!$AC$3:$AC$506,"Entered"))</f>
        <v/>
      </c>
      <c r="L15" s="6" t="str">
        <f>IF(COUNTIFS('Monthly Scorecard'!$D$3:$D$506,$A15,'Monthly Scorecard'!$B$3:$B$506,L$3,'Monthly Scorecard'!$AC$3:$AC$506,"Entered")=0,"",SUMIFS('Monthly Scorecard'!$AF$3:$AF$506,'Monthly Scorecard'!$D$3:$D$506,$A15,'Monthly Scorecard'!$B$3:$B$506,L$3,'Monthly Scorecard'!$AC$3:$AC$506,"Entered")/COUNTIFS('Monthly Scorecard'!$D$3:$D$506,$A15,'Monthly Scorecard'!$B$3:$B$506,L$3,'Monthly Scorecard'!$AC$3:$AC$506,"Entered"))</f>
        <v/>
      </c>
      <c r="M15" s="6" t="str">
        <f>IF(COUNTIFS('Monthly Scorecard'!$D$3:$D$506,$A15,'Monthly Scorecard'!$B$3:$B$506,M$3,'Monthly Scorecard'!$AC$3:$AC$506,"Entered")=0,"",SUMIFS('Monthly Scorecard'!$AF$3:$AF$506,'Monthly Scorecard'!$D$3:$D$506,$A15,'Monthly Scorecard'!$B$3:$B$506,M$3,'Monthly Scorecard'!$AC$3:$AC$506,"Entered")/COUNTIFS('Monthly Scorecard'!$D$3:$D$506,$A15,'Monthly Scorecard'!$B$3:$B$506,M$3,'Monthly Scorecard'!$AC$3:$AC$506,"Entered"))</f>
        <v/>
      </c>
      <c r="N15" s="6">
        <f t="shared" si="0"/>
        <v>68.400000000000006</v>
      </c>
      <c r="O15" s="8" t="str">
        <f>IF(OR($N15="",$P15=""),"",IFERROR(IF($N15&gt;=VLOOKUP($P15,'Input &amp; Settings'!$F$5:$K$10,3,FALSE),"Outstanding",IF($N15&gt;=VLOOKUP($P15,'Input &amp; Settings'!$F$5:$K$10,4,FALSE),"Exceeds Expectations",IF($N15&gt;=VLOOKUP($P15,'Input &amp; Settings'!$F$5:$K$10,5,FALSE),"Meets Expectations",IF($N15&gt;=VLOOKUP($P15,'Input &amp; Settings'!$F$5:$K$10,6,FALSE),"Needs Improvement","Performance Improvement Required")))),""))</f>
        <v>Exceeds Expectations</v>
      </c>
      <c r="P15" t="str">
        <f>IFERROR(LOOKUP(2,1/(('Monthly Scorecard'!$D$3:$D$506=$A15)*('Monthly Scorecard'!$E$3:$E$506&lt;&gt;"")),'Monthly Scorecard'!$E$3:$E$506),"")</f>
        <v>2nd Shift</v>
      </c>
    </row>
    <row r="16" spans="1:16">
      <c r="A16" t="s">
        <v>49</v>
      </c>
      <c r="B16" s="6" t="str">
        <f>IF(COUNTIFS('Monthly Scorecard'!$D$3:$D$506,$A16,'Monthly Scorecard'!$B$3:$B$506,B$3,'Monthly Scorecard'!$AC$3:$AC$506,"Entered")=0,"",SUMIFS('Monthly Scorecard'!$AF$3:$AF$506,'Monthly Scorecard'!$D$3:$D$506,$A16,'Monthly Scorecard'!$B$3:$B$506,B$3,'Monthly Scorecard'!$AC$3:$AC$506,"Entered")/COUNTIFS('Monthly Scorecard'!$D$3:$D$506,$A16,'Monthly Scorecard'!$B$3:$B$506,B$3,'Monthly Scorecard'!$AC$3:$AC$506,"Entered"))</f>
        <v/>
      </c>
      <c r="C16" s="6" t="str">
        <f>IF(COUNTIFS('Monthly Scorecard'!$D$3:$D$506,$A16,'Monthly Scorecard'!$B$3:$B$506,C$3,'Monthly Scorecard'!$AC$3:$AC$506,"Entered")=0,"",SUMIFS('Monthly Scorecard'!$AF$3:$AF$506,'Monthly Scorecard'!$D$3:$D$506,$A16,'Monthly Scorecard'!$B$3:$B$506,C$3,'Monthly Scorecard'!$AC$3:$AC$506,"Entered")/COUNTIFS('Monthly Scorecard'!$D$3:$D$506,$A16,'Monthly Scorecard'!$B$3:$B$506,C$3,'Monthly Scorecard'!$AC$3:$AC$506,"Entered"))</f>
        <v/>
      </c>
      <c r="D16" s="6" t="str">
        <f>IF(COUNTIFS('Monthly Scorecard'!$D$3:$D$506,$A16,'Monthly Scorecard'!$B$3:$B$506,D$3,'Monthly Scorecard'!$AC$3:$AC$506,"Entered")=0,"",SUMIFS('Monthly Scorecard'!$AF$3:$AF$506,'Monthly Scorecard'!$D$3:$D$506,$A16,'Monthly Scorecard'!$B$3:$B$506,D$3,'Monthly Scorecard'!$AC$3:$AC$506,"Entered")/COUNTIFS('Monthly Scorecard'!$D$3:$D$506,$A16,'Monthly Scorecard'!$B$3:$B$506,D$3,'Monthly Scorecard'!$AC$3:$AC$506,"Entered"))</f>
        <v/>
      </c>
      <c r="E16" s="6" t="str">
        <f>IF(COUNTIFS('Monthly Scorecard'!$D$3:$D$506,$A16,'Monthly Scorecard'!$B$3:$B$506,E$3,'Monthly Scorecard'!$AC$3:$AC$506,"Entered")=0,"",SUMIFS('Monthly Scorecard'!$AF$3:$AF$506,'Monthly Scorecard'!$D$3:$D$506,$A16,'Monthly Scorecard'!$B$3:$B$506,E$3,'Monthly Scorecard'!$AC$3:$AC$506,"Entered")/COUNTIFS('Monthly Scorecard'!$D$3:$D$506,$A16,'Monthly Scorecard'!$B$3:$B$506,E$3,'Monthly Scorecard'!$AC$3:$AC$506,"Entered"))</f>
        <v/>
      </c>
      <c r="F16" s="6" t="str">
        <f>IF(COUNTIFS('Monthly Scorecard'!$D$3:$D$506,$A16,'Monthly Scorecard'!$B$3:$B$506,F$3,'Monthly Scorecard'!$AC$3:$AC$506,"Entered")=0,"",SUMIFS('Monthly Scorecard'!$AF$3:$AF$506,'Monthly Scorecard'!$D$3:$D$506,$A16,'Monthly Scorecard'!$B$3:$B$506,F$3,'Monthly Scorecard'!$AC$3:$AC$506,"Entered")/COUNTIFS('Monthly Scorecard'!$D$3:$D$506,$A16,'Monthly Scorecard'!$B$3:$B$506,F$3,'Monthly Scorecard'!$AC$3:$AC$506,"Entered"))</f>
        <v/>
      </c>
      <c r="G16" s="6" t="str">
        <f>IF(COUNTIFS('Monthly Scorecard'!$D$3:$D$506,$A16,'Monthly Scorecard'!$B$3:$B$506,G$3,'Monthly Scorecard'!$AC$3:$AC$506,"Entered")=0,"",SUMIFS('Monthly Scorecard'!$AF$3:$AF$506,'Monthly Scorecard'!$D$3:$D$506,$A16,'Monthly Scorecard'!$B$3:$B$506,G$3,'Monthly Scorecard'!$AC$3:$AC$506,"Entered")/COUNTIFS('Monthly Scorecard'!$D$3:$D$506,$A16,'Monthly Scorecard'!$B$3:$B$506,G$3,'Monthly Scorecard'!$AC$3:$AC$506,"Entered"))</f>
        <v/>
      </c>
      <c r="H16" s="6">
        <f>IF(COUNTIFS('Monthly Scorecard'!$D$3:$D$506,$A16,'Monthly Scorecard'!$B$3:$B$506,H$3,'Monthly Scorecard'!$AC$3:$AC$506,"Entered")=0,"",SUMIFS('Monthly Scorecard'!$AF$3:$AF$506,'Monthly Scorecard'!$D$3:$D$506,$A16,'Monthly Scorecard'!$B$3:$B$506,H$3,'Monthly Scorecard'!$AC$3:$AC$506,"Entered")/COUNTIFS('Monthly Scorecard'!$D$3:$D$506,$A16,'Monthly Scorecard'!$B$3:$B$506,H$3,'Monthly Scorecard'!$AC$3:$AC$506,"Entered"))</f>
        <v>72.2</v>
      </c>
      <c r="I16" s="6" t="str">
        <f>IF(COUNTIFS('Monthly Scorecard'!$D$3:$D$506,$A16,'Monthly Scorecard'!$B$3:$B$506,I$3,'Monthly Scorecard'!$AC$3:$AC$506,"Entered")=0,"",SUMIFS('Monthly Scorecard'!$AF$3:$AF$506,'Monthly Scorecard'!$D$3:$D$506,$A16,'Monthly Scorecard'!$B$3:$B$506,I$3,'Monthly Scorecard'!$AC$3:$AC$506,"Entered")/COUNTIFS('Monthly Scorecard'!$D$3:$D$506,$A16,'Monthly Scorecard'!$B$3:$B$506,I$3,'Monthly Scorecard'!$AC$3:$AC$506,"Entered"))</f>
        <v/>
      </c>
      <c r="J16" s="6" t="str">
        <f>IF(COUNTIFS('Monthly Scorecard'!$D$3:$D$506,$A16,'Monthly Scorecard'!$B$3:$B$506,J$3,'Monthly Scorecard'!$AC$3:$AC$506,"Entered")=0,"",SUMIFS('Monthly Scorecard'!$AF$3:$AF$506,'Monthly Scorecard'!$D$3:$D$506,$A16,'Monthly Scorecard'!$B$3:$B$506,J$3,'Monthly Scorecard'!$AC$3:$AC$506,"Entered")/COUNTIFS('Monthly Scorecard'!$D$3:$D$506,$A16,'Monthly Scorecard'!$B$3:$B$506,J$3,'Monthly Scorecard'!$AC$3:$AC$506,"Entered"))</f>
        <v/>
      </c>
      <c r="K16" s="6" t="str">
        <f>IF(COUNTIFS('Monthly Scorecard'!$D$3:$D$506,$A16,'Monthly Scorecard'!$B$3:$B$506,K$3,'Monthly Scorecard'!$AC$3:$AC$506,"Entered")=0,"",SUMIFS('Monthly Scorecard'!$AF$3:$AF$506,'Monthly Scorecard'!$D$3:$D$506,$A16,'Monthly Scorecard'!$B$3:$B$506,K$3,'Monthly Scorecard'!$AC$3:$AC$506,"Entered")/COUNTIFS('Monthly Scorecard'!$D$3:$D$506,$A16,'Monthly Scorecard'!$B$3:$B$506,K$3,'Monthly Scorecard'!$AC$3:$AC$506,"Entered"))</f>
        <v/>
      </c>
      <c r="L16" s="6" t="str">
        <f>IF(COUNTIFS('Monthly Scorecard'!$D$3:$D$506,$A16,'Monthly Scorecard'!$B$3:$B$506,L$3,'Monthly Scorecard'!$AC$3:$AC$506,"Entered")=0,"",SUMIFS('Monthly Scorecard'!$AF$3:$AF$506,'Monthly Scorecard'!$D$3:$D$506,$A16,'Monthly Scorecard'!$B$3:$B$506,L$3,'Monthly Scorecard'!$AC$3:$AC$506,"Entered")/COUNTIFS('Monthly Scorecard'!$D$3:$D$506,$A16,'Monthly Scorecard'!$B$3:$B$506,L$3,'Monthly Scorecard'!$AC$3:$AC$506,"Entered"))</f>
        <v/>
      </c>
      <c r="M16" s="6" t="str">
        <f>IF(COUNTIFS('Monthly Scorecard'!$D$3:$D$506,$A16,'Monthly Scorecard'!$B$3:$B$506,M$3,'Monthly Scorecard'!$AC$3:$AC$506,"Entered")=0,"",SUMIFS('Monthly Scorecard'!$AF$3:$AF$506,'Monthly Scorecard'!$D$3:$D$506,$A16,'Monthly Scorecard'!$B$3:$B$506,M$3,'Monthly Scorecard'!$AC$3:$AC$506,"Entered")/COUNTIFS('Monthly Scorecard'!$D$3:$D$506,$A16,'Monthly Scorecard'!$B$3:$B$506,M$3,'Monthly Scorecard'!$AC$3:$AC$506,"Entered"))</f>
        <v/>
      </c>
      <c r="N16" s="6">
        <f t="shared" si="0"/>
        <v>72.2</v>
      </c>
      <c r="O16" s="8" t="str">
        <f>IF(OR($N16="",$P16=""),"",IFERROR(IF($N16&gt;=VLOOKUP($P16,'Input &amp; Settings'!$F$5:$K$10,3,FALSE),"Outstanding",IF($N16&gt;=VLOOKUP($P16,'Input &amp; Settings'!$F$5:$K$10,4,FALSE),"Exceeds Expectations",IF($N16&gt;=VLOOKUP($P16,'Input &amp; Settings'!$F$5:$K$10,5,FALSE),"Meets Expectations",IF($N16&gt;=VLOOKUP($P16,'Input &amp; Settings'!$F$5:$K$10,6,FALSE),"Needs Improvement","Performance Improvement Required")))),""))</f>
        <v>Exceeds Expectations</v>
      </c>
      <c r="P16" t="str">
        <f>IFERROR(LOOKUP(2,1/(('Monthly Scorecard'!$D$3:$D$506=$A16)*('Monthly Scorecard'!$E$3:$E$506&lt;&gt;"")),'Monthly Scorecard'!$E$3:$E$506),"")</f>
        <v>1st Shift</v>
      </c>
    </row>
    <row r="17" spans="1:16">
      <c r="A17" t="s">
        <v>50</v>
      </c>
      <c r="B17" s="6" t="str">
        <f>IF(COUNTIFS('Monthly Scorecard'!$D$3:$D$506,$A17,'Monthly Scorecard'!$B$3:$B$506,B$3,'Monthly Scorecard'!$AC$3:$AC$506,"Entered")=0,"",SUMIFS('Monthly Scorecard'!$AF$3:$AF$506,'Monthly Scorecard'!$D$3:$D$506,$A17,'Monthly Scorecard'!$B$3:$B$506,B$3,'Monthly Scorecard'!$AC$3:$AC$506,"Entered")/COUNTIFS('Monthly Scorecard'!$D$3:$D$506,$A17,'Monthly Scorecard'!$B$3:$B$506,B$3,'Monthly Scorecard'!$AC$3:$AC$506,"Entered"))</f>
        <v/>
      </c>
      <c r="C17" s="6" t="str">
        <f>IF(COUNTIFS('Monthly Scorecard'!$D$3:$D$506,$A17,'Monthly Scorecard'!$B$3:$B$506,C$3,'Monthly Scorecard'!$AC$3:$AC$506,"Entered")=0,"",SUMIFS('Monthly Scorecard'!$AF$3:$AF$506,'Monthly Scorecard'!$D$3:$D$506,$A17,'Monthly Scorecard'!$B$3:$B$506,C$3,'Monthly Scorecard'!$AC$3:$AC$506,"Entered")/COUNTIFS('Monthly Scorecard'!$D$3:$D$506,$A17,'Monthly Scorecard'!$B$3:$B$506,C$3,'Monthly Scorecard'!$AC$3:$AC$506,"Entered"))</f>
        <v/>
      </c>
      <c r="D17" s="6" t="str">
        <f>IF(COUNTIFS('Monthly Scorecard'!$D$3:$D$506,$A17,'Monthly Scorecard'!$B$3:$B$506,D$3,'Monthly Scorecard'!$AC$3:$AC$506,"Entered")=0,"",SUMIFS('Monthly Scorecard'!$AF$3:$AF$506,'Monthly Scorecard'!$D$3:$D$506,$A17,'Monthly Scorecard'!$B$3:$B$506,D$3,'Monthly Scorecard'!$AC$3:$AC$506,"Entered")/COUNTIFS('Monthly Scorecard'!$D$3:$D$506,$A17,'Monthly Scorecard'!$B$3:$B$506,D$3,'Monthly Scorecard'!$AC$3:$AC$506,"Entered"))</f>
        <v/>
      </c>
      <c r="E17" s="6" t="str">
        <f>IF(COUNTIFS('Monthly Scorecard'!$D$3:$D$506,$A17,'Monthly Scorecard'!$B$3:$B$506,E$3,'Monthly Scorecard'!$AC$3:$AC$506,"Entered")=0,"",SUMIFS('Monthly Scorecard'!$AF$3:$AF$506,'Monthly Scorecard'!$D$3:$D$506,$A17,'Monthly Scorecard'!$B$3:$B$506,E$3,'Monthly Scorecard'!$AC$3:$AC$506,"Entered")/COUNTIFS('Monthly Scorecard'!$D$3:$D$506,$A17,'Monthly Scorecard'!$B$3:$B$506,E$3,'Monthly Scorecard'!$AC$3:$AC$506,"Entered"))</f>
        <v/>
      </c>
      <c r="F17" s="6" t="str">
        <f>IF(COUNTIFS('Monthly Scorecard'!$D$3:$D$506,$A17,'Monthly Scorecard'!$B$3:$B$506,F$3,'Monthly Scorecard'!$AC$3:$AC$506,"Entered")=0,"",SUMIFS('Monthly Scorecard'!$AF$3:$AF$506,'Monthly Scorecard'!$D$3:$D$506,$A17,'Monthly Scorecard'!$B$3:$B$506,F$3,'Monthly Scorecard'!$AC$3:$AC$506,"Entered")/COUNTIFS('Monthly Scorecard'!$D$3:$D$506,$A17,'Monthly Scorecard'!$B$3:$B$506,F$3,'Monthly Scorecard'!$AC$3:$AC$506,"Entered"))</f>
        <v/>
      </c>
      <c r="G17" s="6" t="str">
        <f>IF(COUNTIFS('Monthly Scorecard'!$D$3:$D$506,$A17,'Monthly Scorecard'!$B$3:$B$506,G$3,'Monthly Scorecard'!$AC$3:$AC$506,"Entered")=0,"",SUMIFS('Monthly Scorecard'!$AF$3:$AF$506,'Monthly Scorecard'!$D$3:$D$506,$A17,'Monthly Scorecard'!$B$3:$B$506,G$3,'Monthly Scorecard'!$AC$3:$AC$506,"Entered")/COUNTIFS('Monthly Scorecard'!$D$3:$D$506,$A17,'Monthly Scorecard'!$B$3:$B$506,G$3,'Monthly Scorecard'!$AC$3:$AC$506,"Entered"))</f>
        <v/>
      </c>
      <c r="H17" s="6">
        <f>IF(COUNTIFS('Monthly Scorecard'!$D$3:$D$506,$A17,'Monthly Scorecard'!$B$3:$B$506,H$3,'Monthly Scorecard'!$AC$3:$AC$506,"Entered")=0,"",SUMIFS('Monthly Scorecard'!$AF$3:$AF$506,'Monthly Scorecard'!$D$3:$D$506,$A17,'Monthly Scorecard'!$B$3:$B$506,H$3,'Monthly Scorecard'!$AC$3:$AC$506,"Entered")/COUNTIFS('Monthly Scorecard'!$D$3:$D$506,$A17,'Monthly Scorecard'!$B$3:$B$506,H$3,'Monthly Scorecard'!$AC$3:$AC$506,"Entered"))</f>
        <v>73.099999999999994</v>
      </c>
      <c r="I17" s="6">
        <f>IF(COUNTIFS('Monthly Scorecard'!$D$3:$D$506,$A17,'Monthly Scorecard'!$B$3:$B$506,I$3,'Monthly Scorecard'!$AC$3:$AC$506,"Entered")=0,"",SUMIFS('Monthly Scorecard'!$AF$3:$AF$506,'Monthly Scorecard'!$D$3:$D$506,$A17,'Monthly Scorecard'!$B$3:$B$506,I$3,'Monthly Scorecard'!$AC$3:$AC$506,"Entered")/COUNTIFS('Monthly Scorecard'!$D$3:$D$506,$A17,'Monthly Scorecard'!$B$3:$B$506,I$3,'Monthly Scorecard'!$AC$3:$AC$506,"Entered"))</f>
        <v>65.400000000000006</v>
      </c>
      <c r="J17" s="6" t="str">
        <f>IF(COUNTIFS('Monthly Scorecard'!$D$3:$D$506,$A17,'Monthly Scorecard'!$B$3:$B$506,J$3,'Monthly Scorecard'!$AC$3:$AC$506,"Entered")=0,"",SUMIFS('Monthly Scorecard'!$AF$3:$AF$506,'Monthly Scorecard'!$D$3:$D$506,$A17,'Monthly Scorecard'!$B$3:$B$506,J$3,'Monthly Scorecard'!$AC$3:$AC$506,"Entered")/COUNTIFS('Monthly Scorecard'!$D$3:$D$506,$A17,'Monthly Scorecard'!$B$3:$B$506,J$3,'Monthly Scorecard'!$AC$3:$AC$506,"Entered"))</f>
        <v/>
      </c>
      <c r="K17" s="6" t="str">
        <f>IF(COUNTIFS('Monthly Scorecard'!$D$3:$D$506,$A17,'Monthly Scorecard'!$B$3:$B$506,K$3,'Monthly Scorecard'!$AC$3:$AC$506,"Entered")=0,"",SUMIFS('Monthly Scorecard'!$AF$3:$AF$506,'Monthly Scorecard'!$D$3:$D$506,$A17,'Monthly Scorecard'!$B$3:$B$506,K$3,'Monthly Scorecard'!$AC$3:$AC$506,"Entered")/COUNTIFS('Monthly Scorecard'!$D$3:$D$506,$A17,'Monthly Scorecard'!$B$3:$B$506,K$3,'Monthly Scorecard'!$AC$3:$AC$506,"Entered"))</f>
        <v/>
      </c>
      <c r="L17" s="6" t="str">
        <f>IF(COUNTIFS('Monthly Scorecard'!$D$3:$D$506,$A17,'Monthly Scorecard'!$B$3:$B$506,L$3,'Monthly Scorecard'!$AC$3:$AC$506,"Entered")=0,"",SUMIFS('Monthly Scorecard'!$AF$3:$AF$506,'Monthly Scorecard'!$D$3:$D$506,$A17,'Monthly Scorecard'!$B$3:$B$506,L$3,'Monthly Scorecard'!$AC$3:$AC$506,"Entered")/COUNTIFS('Monthly Scorecard'!$D$3:$D$506,$A17,'Monthly Scorecard'!$B$3:$B$506,L$3,'Monthly Scorecard'!$AC$3:$AC$506,"Entered"))</f>
        <v/>
      </c>
      <c r="M17" s="6" t="str">
        <f>IF(COUNTIFS('Monthly Scorecard'!$D$3:$D$506,$A17,'Monthly Scorecard'!$B$3:$B$506,M$3,'Monthly Scorecard'!$AC$3:$AC$506,"Entered")=0,"",SUMIFS('Monthly Scorecard'!$AF$3:$AF$506,'Monthly Scorecard'!$D$3:$D$506,$A17,'Monthly Scorecard'!$B$3:$B$506,M$3,'Monthly Scorecard'!$AC$3:$AC$506,"Entered")/COUNTIFS('Monthly Scorecard'!$D$3:$D$506,$A17,'Monthly Scorecard'!$B$3:$B$506,M$3,'Monthly Scorecard'!$AC$3:$AC$506,"Entered"))</f>
        <v/>
      </c>
      <c r="N17" s="6">
        <f t="shared" si="0"/>
        <v>69.25</v>
      </c>
      <c r="O17" s="8" t="str">
        <f>IF(OR($N17="",$P17=""),"",IFERROR(IF($N17&gt;=VLOOKUP($P17,'Input &amp; Settings'!$F$5:$K$10,3,FALSE),"Outstanding",IF($N17&gt;=VLOOKUP($P17,'Input &amp; Settings'!$F$5:$K$10,4,FALSE),"Exceeds Expectations",IF($N17&gt;=VLOOKUP($P17,'Input &amp; Settings'!$F$5:$K$10,5,FALSE),"Meets Expectations",IF($N17&gt;=VLOOKUP($P17,'Input &amp; Settings'!$F$5:$K$10,6,FALSE),"Needs Improvement","Performance Improvement Required")))),""))</f>
        <v>Exceeds Expectations</v>
      </c>
      <c r="P17" t="str">
        <f>IFERROR(LOOKUP(2,1/(('Monthly Scorecard'!$D$3:$D$506=$A17)*('Monthly Scorecard'!$E$3:$E$506&lt;&gt;"")),'Monthly Scorecard'!$E$3:$E$506),"")</f>
        <v>1st Shift Weekend</v>
      </c>
    </row>
    <row r="18" spans="1:16">
      <c r="A18" t="s">
        <v>51</v>
      </c>
      <c r="B18" s="6" t="str">
        <f>IF(COUNTIFS('Monthly Scorecard'!$D$3:$D$506,$A18,'Monthly Scorecard'!$B$3:$B$506,B$3,'Monthly Scorecard'!$AC$3:$AC$506,"Entered")=0,"",SUMIFS('Monthly Scorecard'!$AF$3:$AF$506,'Monthly Scorecard'!$D$3:$D$506,$A18,'Monthly Scorecard'!$B$3:$B$506,B$3,'Monthly Scorecard'!$AC$3:$AC$506,"Entered")/COUNTIFS('Monthly Scorecard'!$D$3:$D$506,$A18,'Monthly Scorecard'!$B$3:$B$506,B$3,'Monthly Scorecard'!$AC$3:$AC$506,"Entered"))</f>
        <v/>
      </c>
      <c r="C18" s="6" t="str">
        <f>IF(COUNTIFS('Monthly Scorecard'!$D$3:$D$506,$A18,'Monthly Scorecard'!$B$3:$B$506,C$3,'Monthly Scorecard'!$AC$3:$AC$506,"Entered")=0,"",SUMIFS('Monthly Scorecard'!$AF$3:$AF$506,'Monthly Scorecard'!$D$3:$D$506,$A18,'Monthly Scorecard'!$B$3:$B$506,C$3,'Monthly Scorecard'!$AC$3:$AC$506,"Entered")/COUNTIFS('Monthly Scorecard'!$D$3:$D$506,$A18,'Monthly Scorecard'!$B$3:$B$506,C$3,'Monthly Scorecard'!$AC$3:$AC$506,"Entered"))</f>
        <v/>
      </c>
      <c r="D18" s="6" t="str">
        <f>IF(COUNTIFS('Monthly Scorecard'!$D$3:$D$506,$A18,'Monthly Scorecard'!$B$3:$B$506,D$3,'Monthly Scorecard'!$AC$3:$AC$506,"Entered")=0,"",SUMIFS('Monthly Scorecard'!$AF$3:$AF$506,'Monthly Scorecard'!$D$3:$D$506,$A18,'Monthly Scorecard'!$B$3:$B$506,D$3,'Monthly Scorecard'!$AC$3:$AC$506,"Entered")/COUNTIFS('Monthly Scorecard'!$D$3:$D$506,$A18,'Monthly Scorecard'!$B$3:$B$506,D$3,'Monthly Scorecard'!$AC$3:$AC$506,"Entered"))</f>
        <v/>
      </c>
      <c r="E18" s="6" t="str">
        <f>IF(COUNTIFS('Monthly Scorecard'!$D$3:$D$506,$A18,'Monthly Scorecard'!$B$3:$B$506,E$3,'Monthly Scorecard'!$AC$3:$AC$506,"Entered")=0,"",SUMIFS('Monthly Scorecard'!$AF$3:$AF$506,'Monthly Scorecard'!$D$3:$D$506,$A18,'Monthly Scorecard'!$B$3:$B$506,E$3,'Monthly Scorecard'!$AC$3:$AC$506,"Entered")/COUNTIFS('Monthly Scorecard'!$D$3:$D$506,$A18,'Monthly Scorecard'!$B$3:$B$506,E$3,'Monthly Scorecard'!$AC$3:$AC$506,"Entered"))</f>
        <v/>
      </c>
      <c r="F18" s="6" t="str">
        <f>IF(COUNTIFS('Monthly Scorecard'!$D$3:$D$506,$A18,'Monthly Scorecard'!$B$3:$B$506,F$3,'Monthly Scorecard'!$AC$3:$AC$506,"Entered")=0,"",SUMIFS('Monthly Scorecard'!$AF$3:$AF$506,'Monthly Scorecard'!$D$3:$D$506,$A18,'Monthly Scorecard'!$B$3:$B$506,F$3,'Monthly Scorecard'!$AC$3:$AC$506,"Entered")/COUNTIFS('Monthly Scorecard'!$D$3:$D$506,$A18,'Monthly Scorecard'!$B$3:$B$506,F$3,'Monthly Scorecard'!$AC$3:$AC$506,"Entered"))</f>
        <v/>
      </c>
      <c r="G18" s="6" t="str">
        <f>IF(COUNTIFS('Monthly Scorecard'!$D$3:$D$506,$A18,'Monthly Scorecard'!$B$3:$B$506,G$3,'Monthly Scorecard'!$AC$3:$AC$506,"Entered")=0,"",SUMIFS('Monthly Scorecard'!$AF$3:$AF$506,'Monthly Scorecard'!$D$3:$D$506,$A18,'Monthly Scorecard'!$B$3:$B$506,G$3,'Monthly Scorecard'!$AC$3:$AC$506,"Entered")/COUNTIFS('Monthly Scorecard'!$D$3:$D$506,$A18,'Monthly Scorecard'!$B$3:$B$506,G$3,'Monthly Scorecard'!$AC$3:$AC$506,"Entered"))</f>
        <v/>
      </c>
      <c r="H18" s="6">
        <f>IF(COUNTIFS('Monthly Scorecard'!$D$3:$D$506,$A18,'Monthly Scorecard'!$B$3:$B$506,H$3,'Monthly Scorecard'!$AC$3:$AC$506,"Entered")=0,"",SUMIFS('Monthly Scorecard'!$AF$3:$AF$506,'Monthly Scorecard'!$D$3:$D$506,$A18,'Monthly Scorecard'!$B$3:$B$506,H$3,'Monthly Scorecard'!$AC$3:$AC$506,"Entered")/COUNTIFS('Monthly Scorecard'!$D$3:$D$506,$A18,'Monthly Scorecard'!$B$3:$B$506,H$3,'Monthly Scorecard'!$AC$3:$AC$506,"Entered"))</f>
        <v>71.3</v>
      </c>
      <c r="I18" s="6" t="str">
        <f>IF(COUNTIFS('Monthly Scorecard'!$D$3:$D$506,$A18,'Monthly Scorecard'!$B$3:$B$506,I$3,'Monthly Scorecard'!$AC$3:$AC$506,"Entered")=0,"",SUMIFS('Monthly Scorecard'!$AF$3:$AF$506,'Monthly Scorecard'!$D$3:$D$506,$A18,'Monthly Scorecard'!$B$3:$B$506,I$3,'Monthly Scorecard'!$AC$3:$AC$506,"Entered")/COUNTIFS('Monthly Scorecard'!$D$3:$D$506,$A18,'Monthly Scorecard'!$B$3:$B$506,I$3,'Monthly Scorecard'!$AC$3:$AC$506,"Entered"))</f>
        <v/>
      </c>
      <c r="J18" s="6" t="str">
        <f>IF(COUNTIFS('Monthly Scorecard'!$D$3:$D$506,$A18,'Monthly Scorecard'!$B$3:$B$506,J$3,'Monthly Scorecard'!$AC$3:$AC$506,"Entered")=0,"",SUMIFS('Monthly Scorecard'!$AF$3:$AF$506,'Monthly Scorecard'!$D$3:$D$506,$A18,'Monthly Scorecard'!$B$3:$B$506,J$3,'Monthly Scorecard'!$AC$3:$AC$506,"Entered")/COUNTIFS('Monthly Scorecard'!$D$3:$D$506,$A18,'Monthly Scorecard'!$B$3:$B$506,J$3,'Monthly Scorecard'!$AC$3:$AC$506,"Entered"))</f>
        <v/>
      </c>
      <c r="K18" s="6" t="str">
        <f>IF(COUNTIFS('Monthly Scorecard'!$D$3:$D$506,$A18,'Monthly Scorecard'!$B$3:$B$506,K$3,'Monthly Scorecard'!$AC$3:$AC$506,"Entered")=0,"",SUMIFS('Monthly Scorecard'!$AF$3:$AF$506,'Monthly Scorecard'!$D$3:$D$506,$A18,'Monthly Scorecard'!$B$3:$B$506,K$3,'Monthly Scorecard'!$AC$3:$AC$506,"Entered")/COUNTIFS('Monthly Scorecard'!$D$3:$D$506,$A18,'Monthly Scorecard'!$B$3:$B$506,K$3,'Monthly Scorecard'!$AC$3:$AC$506,"Entered"))</f>
        <v/>
      </c>
      <c r="L18" s="6" t="str">
        <f>IF(COUNTIFS('Monthly Scorecard'!$D$3:$D$506,$A18,'Monthly Scorecard'!$B$3:$B$506,L$3,'Monthly Scorecard'!$AC$3:$AC$506,"Entered")=0,"",SUMIFS('Monthly Scorecard'!$AF$3:$AF$506,'Monthly Scorecard'!$D$3:$D$506,$A18,'Monthly Scorecard'!$B$3:$B$506,L$3,'Monthly Scorecard'!$AC$3:$AC$506,"Entered")/COUNTIFS('Monthly Scorecard'!$D$3:$D$506,$A18,'Monthly Scorecard'!$B$3:$B$506,L$3,'Monthly Scorecard'!$AC$3:$AC$506,"Entered"))</f>
        <v/>
      </c>
      <c r="M18" s="6" t="str">
        <f>IF(COUNTIFS('Monthly Scorecard'!$D$3:$D$506,$A18,'Monthly Scorecard'!$B$3:$B$506,M$3,'Monthly Scorecard'!$AC$3:$AC$506,"Entered")=0,"",SUMIFS('Monthly Scorecard'!$AF$3:$AF$506,'Monthly Scorecard'!$D$3:$D$506,$A18,'Monthly Scorecard'!$B$3:$B$506,M$3,'Monthly Scorecard'!$AC$3:$AC$506,"Entered")/COUNTIFS('Monthly Scorecard'!$D$3:$D$506,$A18,'Monthly Scorecard'!$B$3:$B$506,M$3,'Monthly Scorecard'!$AC$3:$AC$506,"Entered"))</f>
        <v/>
      </c>
      <c r="N18" s="6">
        <f t="shared" si="0"/>
        <v>71.3</v>
      </c>
      <c r="O18" s="8" t="str">
        <f>IF(OR($N18="",$P18=""),"",IFERROR(IF($N18&gt;=VLOOKUP($P18,'Input &amp; Settings'!$F$5:$K$10,3,FALSE),"Outstanding",IF($N18&gt;=VLOOKUP($P18,'Input &amp; Settings'!$F$5:$K$10,4,FALSE),"Exceeds Expectations",IF($N18&gt;=VLOOKUP($P18,'Input &amp; Settings'!$F$5:$K$10,5,FALSE),"Meets Expectations",IF($N18&gt;=VLOOKUP($P18,'Input &amp; Settings'!$F$5:$K$10,6,FALSE),"Needs Improvement","Performance Improvement Required")))),""))</f>
        <v>Exceeds Expectations</v>
      </c>
      <c r="P18" t="str">
        <f>IFERROR(LOOKUP(2,1/(('Monthly Scorecard'!$D$3:$D$506=$A18)*('Monthly Scorecard'!$E$3:$E$506&lt;&gt;"")),'Monthly Scorecard'!$E$3:$E$506),"")</f>
        <v>2nd Shift</v>
      </c>
    </row>
    <row r="19" spans="1:16">
      <c r="A19" t="s">
        <v>52</v>
      </c>
      <c r="B19" s="6" t="str">
        <f>IF(COUNTIFS('Monthly Scorecard'!$D$3:$D$506,$A19,'Monthly Scorecard'!$B$3:$B$506,B$3,'Monthly Scorecard'!$AC$3:$AC$506,"Entered")=0,"",SUMIFS('Monthly Scorecard'!$AF$3:$AF$506,'Monthly Scorecard'!$D$3:$D$506,$A19,'Monthly Scorecard'!$B$3:$B$506,B$3,'Monthly Scorecard'!$AC$3:$AC$506,"Entered")/COUNTIFS('Monthly Scorecard'!$D$3:$D$506,$A19,'Monthly Scorecard'!$B$3:$B$506,B$3,'Monthly Scorecard'!$AC$3:$AC$506,"Entered"))</f>
        <v/>
      </c>
      <c r="C19" s="6" t="str">
        <f>IF(COUNTIFS('Monthly Scorecard'!$D$3:$D$506,$A19,'Monthly Scorecard'!$B$3:$B$506,C$3,'Monthly Scorecard'!$AC$3:$AC$506,"Entered")=0,"",SUMIFS('Monthly Scorecard'!$AF$3:$AF$506,'Monthly Scorecard'!$D$3:$D$506,$A19,'Monthly Scorecard'!$B$3:$B$506,C$3,'Monthly Scorecard'!$AC$3:$AC$506,"Entered")/COUNTIFS('Monthly Scorecard'!$D$3:$D$506,$A19,'Monthly Scorecard'!$B$3:$B$506,C$3,'Monthly Scorecard'!$AC$3:$AC$506,"Entered"))</f>
        <v/>
      </c>
      <c r="D19" s="6" t="str">
        <f>IF(COUNTIFS('Monthly Scorecard'!$D$3:$D$506,$A19,'Monthly Scorecard'!$B$3:$B$506,D$3,'Monthly Scorecard'!$AC$3:$AC$506,"Entered")=0,"",SUMIFS('Monthly Scorecard'!$AF$3:$AF$506,'Monthly Scorecard'!$D$3:$D$506,$A19,'Monthly Scorecard'!$B$3:$B$506,D$3,'Monthly Scorecard'!$AC$3:$AC$506,"Entered")/COUNTIFS('Monthly Scorecard'!$D$3:$D$506,$A19,'Monthly Scorecard'!$B$3:$B$506,D$3,'Monthly Scorecard'!$AC$3:$AC$506,"Entered"))</f>
        <v/>
      </c>
      <c r="E19" s="6" t="str">
        <f>IF(COUNTIFS('Monthly Scorecard'!$D$3:$D$506,$A19,'Monthly Scorecard'!$B$3:$B$506,E$3,'Monthly Scorecard'!$AC$3:$AC$506,"Entered")=0,"",SUMIFS('Monthly Scorecard'!$AF$3:$AF$506,'Monthly Scorecard'!$D$3:$D$506,$A19,'Monthly Scorecard'!$B$3:$B$506,E$3,'Monthly Scorecard'!$AC$3:$AC$506,"Entered")/COUNTIFS('Monthly Scorecard'!$D$3:$D$506,$A19,'Monthly Scorecard'!$B$3:$B$506,E$3,'Monthly Scorecard'!$AC$3:$AC$506,"Entered"))</f>
        <v/>
      </c>
      <c r="F19" s="6" t="str">
        <f>IF(COUNTIFS('Monthly Scorecard'!$D$3:$D$506,$A19,'Monthly Scorecard'!$B$3:$B$506,F$3,'Monthly Scorecard'!$AC$3:$AC$506,"Entered")=0,"",SUMIFS('Monthly Scorecard'!$AF$3:$AF$506,'Monthly Scorecard'!$D$3:$D$506,$A19,'Monthly Scorecard'!$B$3:$B$506,F$3,'Monthly Scorecard'!$AC$3:$AC$506,"Entered")/COUNTIFS('Monthly Scorecard'!$D$3:$D$506,$A19,'Monthly Scorecard'!$B$3:$B$506,F$3,'Monthly Scorecard'!$AC$3:$AC$506,"Entered"))</f>
        <v/>
      </c>
      <c r="G19" s="6" t="str">
        <f>IF(COUNTIFS('Monthly Scorecard'!$D$3:$D$506,$A19,'Monthly Scorecard'!$B$3:$B$506,G$3,'Monthly Scorecard'!$AC$3:$AC$506,"Entered")=0,"",SUMIFS('Monthly Scorecard'!$AF$3:$AF$506,'Monthly Scorecard'!$D$3:$D$506,$A19,'Monthly Scorecard'!$B$3:$B$506,G$3,'Monthly Scorecard'!$AC$3:$AC$506,"Entered")/COUNTIFS('Monthly Scorecard'!$D$3:$D$506,$A19,'Monthly Scorecard'!$B$3:$B$506,G$3,'Monthly Scorecard'!$AC$3:$AC$506,"Entered"))</f>
        <v/>
      </c>
      <c r="H19" s="6">
        <f>IF(COUNTIFS('Monthly Scorecard'!$D$3:$D$506,$A19,'Monthly Scorecard'!$B$3:$B$506,H$3,'Monthly Scorecard'!$AC$3:$AC$506,"Entered")=0,"",SUMIFS('Monthly Scorecard'!$AF$3:$AF$506,'Monthly Scorecard'!$D$3:$D$506,$A19,'Monthly Scorecard'!$B$3:$B$506,H$3,'Monthly Scorecard'!$AC$3:$AC$506,"Entered")/COUNTIFS('Monthly Scorecard'!$D$3:$D$506,$A19,'Monthly Scorecard'!$B$3:$B$506,H$3,'Monthly Scorecard'!$AC$3:$AC$506,"Entered"))</f>
        <v>56.1</v>
      </c>
      <c r="I19" s="6" t="str">
        <f>IF(COUNTIFS('Monthly Scorecard'!$D$3:$D$506,$A19,'Monthly Scorecard'!$B$3:$B$506,I$3,'Monthly Scorecard'!$AC$3:$AC$506,"Entered")=0,"",SUMIFS('Monthly Scorecard'!$AF$3:$AF$506,'Monthly Scorecard'!$D$3:$D$506,$A19,'Monthly Scorecard'!$B$3:$B$506,I$3,'Monthly Scorecard'!$AC$3:$AC$506,"Entered")/COUNTIFS('Monthly Scorecard'!$D$3:$D$506,$A19,'Monthly Scorecard'!$B$3:$B$506,I$3,'Monthly Scorecard'!$AC$3:$AC$506,"Entered"))</f>
        <v/>
      </c>
      <c r="J19" s="6" t="str">
        <f>IF(COUNTIFS('Monthly Scorecard'!$D$3:$D$506,$A19,'Monthly Scorecard'!$B$3:$B$506,J$3,'Monthly Scorecard'!$AC$3:$AC$506,"Entered")=0,"",SUMIFS('Monthly Scorecard'!$AF$3:$AF$506,'Monthly Scorecard'!$D$3:$D$506,$A19,'Monthly Scorecard'!$B$3:$B$506,J$3,'Monthly Scorecard'!$AC$3:$AC$506,"Entered")/COUNTIFS('Monthly Scorecard'!$D$3:$D$506,$A19,'Monthly Scorecard'!$B$3:$B$506,J$3,'Monthly Scorecard'!$AC$3:$AC$506,"Entered"))</f>
        <v/>
      </c>
      <c r="K19" s="6" t="str">
        <f>IF(COUNTIFS('Monthly Scorecard'!$D$3:$D$506,$A19,'Monthly Scorecard'!$B$3:$B$506,K$3,'Monthly Scorecard'!$AC$3:$AC$506,"Entered")=0,"",SUMIFS('Monthly Scorecard'!$AF$3:$AF$506,'Monthly Scorecard'!$D$3:$D$506,$A19,'Monthly Scorecard'!$B$3:$B$506,K$3,'Monthly Scorecard'!$AC$3:$AC$506,"Entered")/COUNTIFS('Monthly Scorecard'!$D$3:$D$506,$A19,'Monthly Scorecard'!$B$3:$B$506,K$3,'Monthly Scorecard'!$AC$3:$AC$506,"Entered"))</f>
        <v/>
      </c>
      <c r="L19" s="6" t="str">
        <f>IF(COUNTIFS('Monthly Scorecard'!$D$3:$D$506,$A19,'Monthly Scorecard'!$B$3:$B$506,L$3,'Monthly Scorecard'!$AC$3:$AC$506,"Entered")=0,"",SUMIFS('Monthly Scorecard'!$AF$3:$AF$506,'Monthly Scorecard'!$D$3:$D$506,$A19,'Monthly Scorecard'!$B$3:$B$506,L$3,'Monthly Scorecard'!$AC$3:$AC$506,"Entered")/COUNTIFS('Monthly Scorecard'!$D$3:$D$506,$A19,'Monthly Scorecard'!$B$3:$B$506,L$3,'Monthly Scorecard'!$AC$3:$AC$506,"Entered"))</f>
        <v/>
      </c>
      <c r="M19" s="6" t="str">
        <f>IF(COUNTIFS('Monthly Scorecard'!$D$3:$D$506,$A19,'Monthly Scorecard'!$B$3:$B$506,M$3,'Monthly Scorecard'!$AC$3:$AC$506,"Entered")=0,"",SUMIFS('Monthly Scorecard'!$AF$3:$AF$506,'Monthly Scorecard'!$D$3:$D$506,$A19,'Monthly Scorecard'!$B$3:$B$506,M$3,'Monthly Scorecard'!$AC$3:$AC$506,"Entered")/COUNTIFS('Monthly Scorecard'!$D$3:$D$506,$A19,'Monthly Scorecard'!$B$3:$B$506,M$3,'Monthly Scorecard'!$AC$3:$AC$506,"Entered"))</f>
        <v/>
      </c>
      <c r="N19" s="6">
        <f t="shared" si="0"/>
        <v>56.1</v>
      </c>
      <c r="O19" s="8" t="str">
        <f>IF(OR($N19="",$P19=""),"",IFERROR(IF($N19&gt;=VLOOKUP($P19,'Input &amp; Settings'!$F$5:$K$10,3,FALSE),"Outstanding",IF($N19&gt;=VLOOKUP($P19,'Input &amp; Settings'!$F$5:$K$10,4,FALSE),"Exceeds Expectations",IF($N19&gt;=VLOOKUP($P19,'Input &amp; Settings'!$F$5:$K$10,5,FALSE),"Meets Expectations",IF($N19&gt;=VLOOKUP($P19,'Input &amp; Settings'!$F$5:$K$10,6,FALSE),"Needs Improvement","Performance Improvement Required")))),""))</f>
        <v>Needs Improvement</v>
      </c>
      <c r="P19" t="str">
        <f>IFERROR(LOOKUP(2,1/(('Monthly Scorecard'!$D$3:$D$506=$A19)*('Monthly Scorecard'!$E$3:$E$506&lt;&gt;"")),'Monthly Scorecard'!$E$3:$E$506),"")</f>
        <v>3rd Shift</v>
      </c>
    </row>
    <row r="20" spans="1:16">
      <c r="A20" t="s">
        <v>54</v>
      </c>
      <c r="B20" s="6" t="str">
        <f>IF(COUNTIFS('Monthly Scorecard'!$D$3:$D$506,$A20,'Monthly Scorecard'!$B$3:$B$506,B$3,'Monthly Scorecard'!$AC$3:$AC$506,"Entered")=0,"",SUMIFS('Monthly Scorecard'!$AF$3:$AF$506,'Monthly Scorecard'!$D$3:$D$506,$A20,'Monthly Scorecard'!$B$3:$B$506,B$3,'Monthly Scorecard'!$AC$3:$AC$506,"Entered")/COUNTIFS('Monthly Scorecard'!$D$3:$D$506,$A20,'Monthly Scorecard'!$B$3:$B$506,B$3,'Monthly Scorecard'!$AC$3:$AC$506,"Entered"))</f>
        <v/>
      </c>
      <c r="C20" s="6" t="str">
        <f>IF(COUNTIFS('Monthly Scorecard'!$D$3:$D$506,$A20,'Monthly Scorecard'!$B$3:$B$506,C$3,'Monthly Scorecard'!$AC$3:$AC$506,"Entered")=0,"",SUMIFS('Monthly Scorecard'!$AF$3:$AF$506,'Monthly Scorecard'!$D$3:$D$506,$A20,'Monthly Scorecard'!$B$3:$B$506,C$3,'Monthly Scorecard'!$AC$3:$AC$506,"Entered")/COUNTIFS('Monthly Scorecard'!$D$3:$D$506,$A20,'Monthly Scorecard'!$B$3:$B$506,C$3,'Monthly Scorecard'!$AC$3:$AC$506,"Entered"))</f>
        <v/>
      </c>
      <c r="D20" s="6" t="str">
        <f>IF(COUNTIFS('Monthly Scorecard'!$D$3:$D$506,$A20,'Monthly Scorecard'!$B$3:$B$506,D$3,'Monthly Scorecard'!$AC$3:$AC$506,"Entered")=0,"",SUMIFS('Monthly Scorecard'!$AF$3:$AF$506,'Monthly Scorecard'!$D$3:$D$506,$A20,'Monthly Scorecard'!$B$3:$B$506,D$3,'Monthly Scorecard'!$AC$3:$AC$506,"Entered")/COUNTIFS('Monthly Scorecard'!$D$3:$D$506,$A20,'Monthly Scorecard'!$B$3:$B$506,D$3,'Monthly Scorecard'!$AC$3:$AC$506,"Entered"))</f>
        <v/>
      </c>
      <c r="E20" s="6" t="str">
        <f>IF(COUNTIFS('Monthly Scorecard'!$D$3:$D$506,$A20,'Monthly Scorecard'!$B$3:$B$506,E$3,'Monthly Scorecard'!$AC$3:$AC$506,"Entered")=0,"",SUMIFS('Monthly Scorecard'!$AF$3:$AF$506,'Monthly Scorecard'!$D$3:$D$506,$A20,'Monthly Scorecard'!$B$3:$B$506,E$3,'Monthly Scorecard'!$AC$3:$AC$506,"Entered")/COUNTIFS('Monthly Scorecard'!$D$3:$D$506,$A20,'Monthly Scorecard'!$B$3:$B$506,E$3,'Monthly Scorecard'!$AC$3:$AC$506,"Entered"))</f>
        <v/>
      </c>
      <c r="F20" s="6" t="str">
        <f>IF(COUNTIFS('Monthly Scorecard'!$D$3:$D$506,$A20,'Monthly Scorecard'!$B$3:$B$506,F$3,'Monthly Scorecard'!$AC$3:$AC$506,"Entered")=0,"",SUMIFS('Monthly Scorecard'!$AF$3:$AF$506,'Monthly Scorecard'!$D$3:$D$506,$A20,'Monthly Scorecard'!$B$3:$B$506,F$3,'Monthly Scorecard'!$AC$3:$AC$506,"Entered")/COUNTIFS('Monthly Scorecard'!$D$3:$D$506,$A20,'Monthly Scorecard'!$B$3:$B$506,F$3,'Monthly Scorecard'!$AC$3:$AC$506,"Entered"))</f>
        <v/>
      </c>
      <c r="G20" s="6" t="str">
        <f>IF(COUNTIFS('Monthly Scorecard'!$D$3:$D$506,$A20,'Monthly Scorecard'!$B$3:$B$506,G$3,'Monthly Scorecard'!$AC$3:$AC$506,"Entered")=0,"",SUMIFS('Monthly Scorecard'!$AF$3:$AF$506,'Monthly Scorecard'!$D$3:$D$506,$A20,'Monthly Scorecard'!$B$3:$B$506,G$3,'Monthly Scorecard'!$AC$3:$AC$506,"Entered")/COUNTIFS('Monthly Scorecard'!$D$3:$D$506,$A20,'Monthly Scorecard'!$B$3:$B$506,G$3,'Monthly Scorecard'!$AC$3:$AC$506,"Entered"))</f>
        <v/>
      </c>
      <c r="H20" s="6" t="str">
        <f>IF(COUNTIFS('Monthly Scorecard'!$D$3:$D$506,$A20,'Monthly Scorecard'!$B$3:$B$506,H$3,'Monthly Scorecard'!$AC$3:$AC$506,"Entered")=0,"",SUMIFS('Monthly Scorecard'!$AF$3:$AF$506,'Monthly Scorecard'!$D$3:$D$506,$A20,'Monthly Scorecard'!$B$3:$B$506,H$3,'Monthly Scorecard'!$AC$3:$AC$506,"Entered")/COUNTIFS('Monthly Scorecard'!$D$3:$D$506,$A20,'Monthly Scorecard'!$B$3:$B$506,H$3,'Monthly Scorecard'!$AC$3:$AC$506,"Entered"))</f>
        <v/>
      </c>
      <c r="I20" s="6" t="str">
        <f>IF(COUNTIFS('Monthly Scorecard'!$D$3:$D$506,$A20,'Monthly Scorecard'!$B$3:$B$506,I$3,'Monthly Scorecard'!$AC$3:$AC$506,"Entered")=0,"",SUMIFS('Monthly Scorecard'!$AF$3:$AF$506,'Monthly Scorecard'!$D$3:$D$506,$A20,'Monthly Scorecard'!$B$3:$B$506,I$3,'Monthly Scorecard'!$AC$3:$AC$506,"Entered")/COUNTIFS('Monthly Scorecard'!$D$3:$D$506,$A20,'Monthly Scorecard'!$B$3:$B$506,I$3,'Monthly Scorecard'!$AC$3:$AC$506,"Entered"))</f>
        <v/>
      </c>
      <c r="J20" s="6" t="str">
        <f>IF(COUNTIFS('Monthly Scorecard'!$D$3:$D$506,$A20,'Monthly Scorecard'!$B$3:$B$506,J$3,'Monthly Scorecard'!$AC$3:$AC$506,"Entered")=0,"",SUMIFS('Monthly Scorecard'!$AF$3:$AF$506,'Monthly Scorecard'!$D$3:$D$506,$A20,'Monthly Scorecard'!$B$3:$B$506,J$3,'Monthly Scorecard'!$AC$3:$AC$506,"Entered")/COUNTIFS('Monthly Scorecard'!$D$3:$D$506,$A20,'Monthly Scorecard'!$B$3:$B$506,J$3,'Monthly Scorecard'!$AC$3:$AC$506,"Entered"))</f>
        <v/>
      </c>
      <c r="K20" s="6" t="str">
        <f>IF(COUNTIFS('Monthly Scorecard'!$D$3:$D$506,$A20,'Monthly Scorecard'!$B$3:$B$506,K$3,'Monthly Scorecard'!$AC$3:$AC$506,"Entered")=0,"",SUMIFS('Monthly Scorecard'!$AF$3:$AF$506,'Monthly Scorecard'!$D$3:$D$506,$A20,'Monthly Scorecard'!$B$3:$B$506,K$3,'Monthly Scorecard'!$AC$3:$AC$506,"Entered")/COUNTIFS('Monthly Scorecard'!$D$3:$D$506,$A20,'Monthly Scorecard'!$B$3:$B$506,K$3,'Monthly Scorecard'!$AC$3:$AC$506,"Entered"))</f>
        <v/>
      </c>
      <c r="L20" s="6" t="str">
        <f>IF(COUNTIFS('Monthly Scorecard'!$D$3:$D$506,$A20,'Monthly Scorecard'!$B$3:$B$506,L$3,'Monthly Scorecard'!$AC$3:$AC$506,"Entered")=0,"",SUMIFS('Monthly Scorecard'!$AF$3:$AF$506,'Monthly Scorecard'!$D$3:$D$506,$A20,'Monthly Scorecard'!$B$3:$B$506,L$3,'Monthly Scorecard'!$AC$3:$AC$506,"Entered")/COUNTIFS('Monthly Scorecard'!$D$3:$D$506,$A20,'Monthly Scorecard'!$B$3:$B$506,L$3,'Monthly Scorecard'!$AC$3:$AC$506,"Entered"))</f>
        <v/>
      </c>
      <c r="M20" s="6" t="str">
        <f>IF(COUNTIFS('Monthly Scorecard'!$D$3:$D$506,$A20,'Monthly Scorecard'!$B$3:$B$506,M$3,'Monthly Scorecard'!$AC$3:$AC$506,"Entered")=0,"",SUMIFS('Monthly Scorecard'!$AF$3:$AF$506,'Monthly Scorecard'!$D$3:$D$506,$A20,'Monthly Scorecard'!$B$3:$B$506,M$3,'Monthly Scorecard'!$AC$3:$AC$506,"Entered")/COUNTIFS('Monthly Scorecard'!$D$3:$D$506,$A20,'Monthly Scorecard'!$B$3:$B$506,M$3,'Monthly Scorecard'!$AC$3:$AC$506,"Entered"))</f>
        <v/>
      </c>
      <c r="N20" s="6" t="str">
        <f t="shared" si="0"/>
        <v/>
      </c>
      <c r="O20" s="8" t="str">
        <f>IF(OR($N20="",$P20=""),"",IFERROR(IF($N20&gt;=VLOOKUP($P20,'Input &amp; Settings'!$F$5:$K$10,3,FALSE),"Outstanding",IF($N20&gt;=VLOOKUP($P20,'Input &amp; Settings'!$F$5:$K$10,4,FALSE),"Exceeds Expectations",IF($N20&gt;=VLOOKUP($P20,'Input &amp; Settings'!$F$5:$K$10,5,FALSE),"Meets Expectations",IF($N20&gt;=VLOOKUP($P20,'Input &amp; Settings'!$F$5:$K$10,6,FALSE),"Needs Improvement","Performance Improvement Required")))),""))</f>
        <v/>
      </c>
      <c r="P20" t="str">
        <f>IFERROR(LOOKUP(2,1/(('Monthly Scorecard'!$D$3:$D$506=$A20)*('Monthly Scorecard'!$E$3:$E$506&lt;&gt;"")),'Monthly Scorecard'!$E$3:$E$506),"")</f>
        <v>2nd Shift Weekend</v>
      </c>
    </row>
    <row r="21" spans="1:16">
      <c r="A21" t="s">
        <v>55</v>
      </c>
      <c r="B21" s="6" t="str">
        <f>IF(COUNTIFS('Monthly Scorecard'!$D$3:$D$506,$A21,'Monthly Scorecard'!$B$3:$B$506,B$3,'Monthly Scorecard'!$AC$3:$AC$506,"Entered")=0,"",SUMIFS('Monthly Scorecard'!$AF$3:$AF$506,'Monthly Scorecard'!$D$3:$D$506,$A21,'Monthly Scorecard'!$B$3:$B$506,B$3,'Monthly Scorecard'!$AC$3:$AC$506,"Entered")/COUNTIFS('Monthly Scorecard'!$D$3:$D$506,$A21,'Monthly Scorecard'!$B$3:$B$506,B$3,'Monthly Scorecard'!$AC$3:$AC$506,"Entered"))</f>
        <v/>
      </c>
      <c r="C21" s="6" t="str">
        <f>IF(COUNTIFS('Monthly Scorecard'!$D$3:$D$506,$A21,'Monthly Scorecard'!$B$3:$B$506,C$3,'Monthly Scorecard'!$AC$3:$AC$506,"Entered")=0,"",SUMIFS('Monthly Scorecard'!$AF$3:$AF$506,'Monthly Scorecard'!$D$3:$D$506,$A21,'Monthly Scorecard'!$B$3:$B$506,C$3,'Monthly Scorecard'!$AC$3:$AC$506,"Entered")/COUNTIFS('Monthly Scorecard'!$D$3:$D$506,$A21,'Monthly Scorecard'!$B$3:$B$506,C$3,'Monthly Scorecard'!$AC$3:$AC$506,"Entered"))</f>
        <v/>
      </c>
      <c r="D21" s="6" t="str">
        <f>IF(COUNTIFS('Monthly Scorecard'!$D$3:$D$506,$A21,'Monthly Scorecard'!$B$3:$B$506,D$3,'Monthly Scorecard'!$AC$3:$AC$506,"Entered")=0,"",SUMIFS('Monthly Scorecard'!$AF$3:$AF$506,'Monthly Scorecard'!$D$3:$D$506,$A21,'Monthly Scorecard'!$B$3:$B$506,D$3,'Monthly Scorecard'!$AC$3:$AC$506,"Entered")/COUNTIFS('Monthly Scorecard'!$D$3:$D$506,$A21,'Monthly Scorecard'!$B$3:$B$506,D$3,'Monthly Scorecard'!$AC$3:$AC$506,"Entered"))</f>
        <v/>
      </c>
      <c r="E21" s="6" t="str">
        <f>IF(COUNTIFS('Monthly Scorecard'!$D$3:$D$506,$A21,'Monthly Scorecard'!$B$3:$B$506,E$3,'Monthly Scorecard'!$AC$3:$AC$506,"Entered")=0,"",SUMIFS('Monthly Scorecard'!$AF$3:$AF$506,'Monthly Scorecard'!$D$3:$D$506,$A21,'Monthly Scorecard'!$B$3:$B$506,E$3,'Monthly Scorecard'!$AC$3:$AC$506,"Entered")/COUNTIFS('Monthly Scorecard'!$D$3:$D$506,$A21,'Monthly Scorecard'!$B$3:$B$506,E$3,'Monthly Scorecard'!$AC$3:$AC$506,"Entered"))</f>
        <v/>
      </c>
      <c r="F21" s="6" t="str">
        <f>IF(COUNTIFS('Monthly Scorecard'!$D$3:$D$506,$A21,'Monthly Scorecard'!$B$3:$B$506,F$3,'Monthly Scorecard'!$AC$3:$AC$506,"Entered")=0,"",SUMIFS('Monthly Scorecard'!$AF$3:$AF$506,'Monthly Scorecard'!$D$3:$D$506,$A21,'Monthly Scorecard'!$B$3:$B$506,F$3,'Monthly Scorecard'!$AC$3:$AC$506,"Entered")/COUNTIFS('Monthly Scorecard'!$D$3:$D$506,$A21,'Monthly Scorecard'!$B$3:$B$506,F$3,'Monthly Scorecard'!$AC$3:$AC$506,"Entered"))</f>
        <v/>
      </c>
      <c r="G21" s="6">
        <f>IF(COUNTIFS('Monthly Scorecard'!$D$3:$D$506,$A21,'Monthly Scorecard'!$B$3:$B$506,G$3,'Monthly Scorecard'!$AC$3:$AC$506,"Entered")=0,"",SUMIFS('Monthly Scorecard'!$AF$3:$AF$506,'Monthly Scorecard'!$D$3:$D$506,$A21,'Monthly Scorecard'!$B$3:$B$506,G$3,'Monthly Scorecard'!$AC$3:$AC$506,"Entered")/COUNTIFS('Monthly Scorecard'!$D$3:$D$506,$A21,'Monthly Scorecard'!$B$3:$B$506,G$3,'Monthly Scorecard'!$AC$3:$AC$506,"Entered"))</f>
        <v>43.5</v>
      </c>
      <c r="H21" s="6">
        <f>IF(COUNTIFS('Monthly Scorecard'!$D$3:$D$506,$A21,'Monthly Scorecard'!$B$3:$B$506,H$3,'Monthly Scorecard'!$AC$3:$AC$506,"Entered")=0,"",SUMIFS('Monthly Scorecard'!$AF$3:$AF$506,'Monthly Scorecard'!$D$3:$D$506,$A21,'Monthly Scorecard'!$B$3:$B$506,H$3,'Monthly Scorecard'!$AC$3:$AC$506,"Entered")/COUNTIFS('Monthly Scorecard'!$D$3:$D$506,$A21,'Monthly Scorecard'!$B$3:$B$506,H$3,'Monthly Scorecard'!$AC$3:$AC$506,"Entered"))</f>
        <v>49.6</v>
      </c>
      <c r="I21" s="6" t="str">
        <f>IF(COUNTIFS('Monthly Scorecard'!$D$3:$D$506,$A21,'Monthly Scorecard'!$B$3:$B$506,I$3,'Monthly Scorecard'!$AC$3:$AC$506,"Entered")=0,"",SUMIFS('Monthly Scorecard'!$AF$3:$AF$506,'Monthly Scorecard'!$D$3:$D$506,$A21,'Monthly Scorecard'!$B$3:$B$506,I$3,'Monthly Scorecard'!$AC$3:$AC$506,"Entered")/COUNTIFS('Monthly Scorecard'!$D$3:$D$506,$A21,'Monthly Scorecard'!$B$3:$B$506,I$3,'Monthly Scorecard'!$AC$3:$AC$506,"Entered"))</f>
        <v/>
      </c>
      <c r="J21" s="6" t="str">
        <f>IF(COUNTIFS('Monthly Scorecard'!$D$3:$D$506,$A21,'Monthly Scorecard'!$B$3:$B$506,J$3,'Monthly Scorecard'!$AC$3:$AC$506,"Entered")=0,"",SUMIFS('Monthly Scorecard'!$AF$3:$AF$506,'Monthly Scorecard'!$D$3:$D$506,$A21,'Monthly Scorecard'!$B$3:$B$506,J$3,'Monthly Scorecard'!$AC$3:$AC$506,"Entered")/COUNTIFS('Monthly Scorecard'!$D$3:$D$506,$A21,'Monthly Scorecard'!$B$3:$B$506,J$3,'Monthly Scorecard'!$AC$3:$AC$506,"Entered"))</f>
        <v/>
      </c>
      <c r="K21" s="6" t="str">
        <f>IF(COUNTIFS('Monthly Scorecard'!$D$3:$D$506,$A21,'Monthly Scorecard'!$B$3:$B$506,K$3,'Monthly Scorecard'!$AC$3:$AC$506,"Entered")=0,"",SUMIFS('Monthly Scorecard'!$AF$3:$AF$506,'Monthly Scorecard'!$D$3:$D$506,$A21,'Monthly Scorecard'!$B$3:$B$506,K$3,'Monthly Scorecard'!$AC$3:$AC$506,"Entered")/COUNTIFS('Monthly Scorecard'!$D$3:$D$506,$A21,'Monthly Scorecard'!$B$3:$B$506,K$3,'Monthly Scorecard'!$AC$3:$AC$506,"Entered"))</f>
        <v/>
      </c>
      <c r="L21" s="6" t="str">
        <f>IF(COUNTIFS('Monthly Scorecard'!$D$3:$D$506,$A21,'Monthly Scorecard'!$B$3:$B$506,L$3,'Monthly Scorecard'!$AC$3:$AC$506,"Entered")=0,"",SUMIFS('Monthly Scorecard'!$AF$3:$AF$506,'Monthly Scorecard'!$D$3:$D$506,$A21,'Monthly Scorecard'!$B$3:$B$506,L$3,'Monthly Scorecard'!$AC$3:$AC$506,"Entered")/COUNTIFS('Monthly Scorecard'!$D$3:$D$506,$A21,'Monthly Scorecard'!$B$3:$B$506,L$3,'Monthly Scorecard'!$AC$3:$AC$506,"Entered"))</f>
        <v/>
      </c>
      <c r="M21" s="6" t="str">
        <f>IF(COUNTIFS('Monthly Scorecard'!$D$3:$D$506,$A21,'Monthly Scorecard'!$B$3:$B$506,M$3,'Monthly Scorecard'!$AC$3:$AC$506,"Entered")=0,"",SUMIFS('Monthly Scorecard'!$AF$3:$AF$506,'Monthly Scorecard'!$D$3:$D$506,$A21,'Monthly Scorecard'!$B$3:$B$506,M$3,'Monthly Scorecard'!$AC$3:$AC$506,"Entered")/COUNTIFS('Monthly Scorecard'!$D$3:$D$506,$A21,'Monthly Scorecard'!$B$3:$B$506,M$3,'Monthly Scorecard'!$AC$3:$AC$506,"Entered"))</f>
        <v/>
      </c>
      <c r="N21" s="6">
        <f t="shared" si="0"/>
        <v>46.55</v>
      </c>
      <c r="O21" s="8" t="str">
        <f>IF(OR($N21="",$P21=""),"",IFERROR(IF($N21&gt;=VLOOKUP($P21,'Input &amp; Settings'!$F$5:$K$10,3,FALSE),"Outstanding",IF($N21&gt;=VLOOKUP($P21,'Input &amp; Settings'!$F$5:$K$10,4,FALSE),"Exceeds Expectations",IF($N21&gt;=VLOOKUP($P21,'Input &amp; Settings'!$F$5:$K$10,5,FALSE),"Meets Expectations",IF($N21&gt;=VLOOKUP($P21,'Input &amp; Settings'!$F$5:$K$10,6,FALSE),"Needs Improvement","Performance Improvement Required")))),""))</f>
        <v>Performance Improvement Required</v>
      </c>
      <c r="P21" t="str">
        <f>IFERROR(LOOKUP(2,1/(('Monthly Scorecard'!$D$3:$D$506=$A21)*('Monthly Scorecard'!$E$3:$E$506&lt;&gt;"")),'Monthly Scorecard'!$E$3:$E$506),"")</f>
        <v>1st Shift</v>
      </c>
    </row>
    <row r="22" spans="1:16">
      <c r="A22" t="s">
        <v>56</v>
      </c>
      <c r="B22" s="6" t="str">
        <f>IF(COUNTIFS('Monthly Scorecard'!$D$3:$D$506,$A22,'Monthly Scorecard'!$B$3:$B$506,B$3,'Monthly Scorecard'!$AC$3:$AC$506,"Entered")=0,"",SUMIFS('Monthly Scorecard'!$AF$3:$AF$506,'Monthly Scorecard'!$D$3:$D$506,$A22,'Monthly Scorecard'!$B$3:$B$506,B$3,'Monthly Scorecard'!$AC$3:$AC$506,"Entered")/COUNTIFS('Monthly Scorecard'!$D$3:$D$506,$A22,'Monthly Scorecard'!$B$3:$B$506,B$3,'Monthly Scorecard'!$AC$3:$AC$506,"Entered"))</f>
        <v/>
      </c>
      <c r="C22" s="6" t="str">
        <f>IF(COUNTIFS('Monthly Scorecard'!$D$3:$D$506,$A22,'Monthly Scorecard'!$B$3:$B$506,C$3,'Monthly Scorecard'!$AC$3:$AC$506,"Entered")=0,"",SUMIFS('Monthly Scorecard'!$AF$3:$AF$506,'Monthly Scorecard'!$D$3:$D$506,$A22,'Monthly Scorecard'!$B$3:$B$506,C$3,'Monthly Scorecard'!$AC$3:$AC$506,"Entered")/COUNTIFS('Monthly Scorecard'!$D$3:$D$506,$A22,'Monthly Scorecard'!$B$3:$B$506,C$3,'Monthly Scorecard'!$AC$3:$AC$506,"Entered"))</f>
        <v/>
      </c>
      <c r="D22" s="6" t="str">
        <f>IF(COUNTIFS('Monthly Scorecard'!$D$3:$D$506,$A22,'Monthly Scorecard'!$B$3:$B$506,D$3,'Monthly Scorecard'!$AC$3:$AC$506,"Entered")=0,"",SUMIFS('Monthly Scorecard'!$AF$3:$AF$506,'Monthly Scorecard'!$D$3:$D$506,$A22,'Monthly Scorecard'!$B$3:$B$506,D$3,'Monthly Scorecard'!$AC$3:$AC$506,"Entered")/COUNTIFS('Monthly Scorecard'!$D$3:$D$506,$A22,'Monthly Scorecard'!$B$3:$B$506,D$3,'Monthly Scorecard'!$AC$3:$AC$506,"Entered"))</f>
        <v/>
      </c>
      <c r="E22" s="6" t="str">
        <f>IF(COUNTIFS('Monthly Scorecard'!$D$3:$D$506,$A22,'Monthly Scorecard'!$B$3:$B$506,E$3,'Monthly Scorecard'!$AC$3:$AC$506,"Entered")=0,"",SUMIFS('Monthly Scorecard'!$AF$3:$AF$506,'Monthly Scorecard'!$D$3:$D$506,$A22,'Monthly Scorecard'!$B$3:$B$506,E$3,'Monthly Scorecard'!$AC$3:$AC$506,"Entered")/COUNTIFS('Monthly Scorecard'!$D$3:$D$506,$A22,'Monthly Scorecard'!$B$3:$B$506,E$3,'Monthly Scorecard'!$AC$3:$AC$506,"Entered"))</f>
        <v/>
      </c>
      <c r="F22" s="6" t="str">
        <f>IF(COUNTIFS('Monthly Scorecard'!$D$3:$D$506,$A22,'Monthly Scorecard'!$B$3:$B$506,F$3,'Monthly Scorecard'!$AC$3:$AC$506,"Entered")=0,"",SUMIFS('Monthly Scorecard'!$AF$3:$AF$506,'Monthly Scorecard'!$D$3:$D$506,$A22,'Monthly Scorecard'!$B$3:$B$506,F$3,'Monthly Scorecard'!$AC$3:$AC$506,"Entered")/COUNTIFS('Monthly Scorecard'!$D$3:$D$506,$A22,'Monthly Scorecard'!$B$3:$B$506,F$3,'Monthly Scorecard'!$AC$3:$AC$506,"Entered"))</f>
        <v/>
      </c>
      <c r="G22" s="6">
        <f>IF(COUNTIFS('Monthly Scorecard'!$D$3:$D$506,$A22,'Monthly Scorecard'!$B$3:$B$506,G$3,'Monthly Scorecard'!$AC$3:$AC$506,"Entered")=0,"",SUMIFS('Monthly Scorecard'!$AF$3:$AF$506,'Monthly Scorecard'!$D$3:$D$506,$A22,'Monthly Scorecard'!$B$3:$B$506,G$3,'Monthly Scorecard'!$AC$3:$AC$506,"Entered")/COUNTIFS('Monthly Scorecard'!$D$3:$D$506,$A22,'Monthly Scorecard'!$B$3:$B$506,G$3,'Monthly Scorecard'!$AC$3:$AC$506,"Entered"))</f>
        <v>64.2</v>
      </c>
      <c r="H22" s="6">
        <f>IF(COUNTIFS('Monthly Scorecard'!$D$3:$D$506,$A22,'Monthly Scorecard'!$B$3:$B$506,H$3,'Monthly Scorecard'!$AC$3:$AC$506,"Entered")=0,"",SUMIFS('Monthly Scorecard'!$AF$3:$AF$506,'Monthly Scorecard'!$D$3:$D$506,$A22,'Monthly Scorecard'!$B$3:$B$506,H$3,'Monthly Scorecard'!$AC$3:$AC$506,"Entered")/COUNTIFS('Monthly Scorecard'!$D$3:$D$506,$A22,'Monthly Scorecard'!$B$3:$B$506,H$3,'Monthly Scorecard'!$AC$3:$AC$506,"Entered"))</f>
        <v>60.5</v>
      </c>
      <c r="I22" s="6" t="str">
        <f>IF(COUNTIFS('Monthly Scorecard'!$D$3:$D$506,$A22,'Monthly Scorecard'!$B$3:$B$506,I$3,'Monthly Scorecard'!$AC$3:$AC$506,"Entered")=0,"",SUMIFS('Monthly Scorecard'!$AF$3:$AF$506,'Monthly Scorecard'!$D$3:$D$506,$A22,'Monthly Scorecard'!$B$3:$B$506,I$3,'Monthly Scorecard'!$AC$3:$AC$506,"Entered")/COUNTIFS('Monthly Scorecard'!$D$3:$D$506,$A22,'Monthly Scorecard'!$B$3:$B$506,I$3,'Monthly Scorecard'!$AC$3:$AC$506,"Entered"))</f>
        <v/>
      </c>
      <c r="J22" s="6" t="str">
        <f>IF(COUNTIFS('Monthly Scorecard'!$D$3:$D$506,$A22,'Monthly Scorecard'!$B$3:$B$506,J$3,'Monthly Scorecard'!$AC$3:$AC$506,"Entered")=0,"",SUMIFS('Monthly Scorecard'!$AF$3:$AF$506,'Monthly Scorecard'!$D$3:$D$506,$A22,'Monthly Scorecard'!$B$3:$B$506,J$3,'Monthly Scorecard'!$AC$3:$AC$506,"Entered")/COUNTIFS('Monthly Scorecard'!$D$3:$D$506,$A22,'Monthly Scorecard'!$B$3:$B$506,J$3,'Monthly Scorecard'!$AC$3:$AC$506,"Entered"))</f>
        <v/>
      </c>
      <c r="K22" s="6" t="str">
        <f>IF(COUNTIFS('Monthly Scorecard'!$D$3:$D$506,$A22,'Monthly Scorecard'!$B$3:$B$506,K$3,'Monthly Scorecard'!$AC$3:$AC$506,"Entered")=0,"",SUMIFS('Monthly Scorecard'!$AF$3:$AF$506,'Monthly Scorecard'!$D$3:$D$506,$A22,'Monthly Scorecard'!$B$3:$B$506,K$3,'Monthly Scorecard'!$AC$3:$AC$506,"Entered")/COUNTIFS('Monthly Scorecard'!$D$3:$D$506,$A22,'Monthly Scorecard'!$B$3:$B$506,K$3,'Monthly Scorecard'!$AC$3:$AC$506,"Entered"))</f>
        <v/>
      </c>
      <c r="L22" s="6" t="str">
        <f>IF(COUNTIFS('Monthly Scorecard'!$D$3:$D$506,$A22,'Monthly Scorecard'!$B$3:$B$506,L$3,'Monthly Scorecard'!$AC$3:$AC$506,"Entered")=0,"",SUMIFS('Monthly Scorecard'!$AF$3:$AF$506,'Monthly Scorecard'!$D$3:$D$506,$A22,'Monthly Scorecard'!$B$3:$B$506,L$3,'Monthly Scorecard'!$AC$3:$AC$506,"Entered")/COUNTIFS('Monthly Scorecard'!$D$3:$D$506,$A22,'Monthly Scorecard'!$B$3:$B$506,L$3,'Monthly Scorecard'!$AC$3:$AC$506,"Entered"))</f>
        <v/>
      </c>
      <c r="M22" s="6" t="str">
        <f>IF(COUNTIFS('Monthly Scorecard'!$D$3:$D$506,$A22,'Monthly Scorecard'!$B$3:$B$506,M$3,'Monthly Scorecard'!$AC$3:$AC$506,"Entered")=0,"",SUMIFS('Monthly Scorecard'!$AF$3:$AF$506,'Monthly Scorecard'!$D$3:$D$506,$A22,'Monthly Scorecard'!$B$3:$B$506,M$3,'Monthly Scorecard'!$AC$3:$AC$506,"Entered")/COUNTIFS('Monthly Scorecard'!$D$3:$D$506,$A22,'Monthly Scorecard'!$B$3:$B$506,M$3,'Monthly Scorecard'!$AC$3:$AC$506,"Entered"))</f>
        <v/>
      </c>
      <c r="N22" s="6">
        <f t="shared" si="0"/>
        <v>62.35</v>
      </c>
      <c r="O22" s="8" t="str">
        <f>IF(OR($N22="",$P22=""),"",IFERROR(IF($N22&gt;=VLOOKUP($P22,'Input &amp; Settings'!$F$5:$K$10,3,FALSE),"Outstanding",IF($N22&gt;=VLOOKUP($P22,'Input &amp; Settings'!$F$5:$K$10,4,FALSE),"Exceeds Expectations",IF($N22&gt;=VLOOKUP($P22,'Input &amp; Settings'!$F$5:$K$10,5,FALSE),"Meets Expectations",IF($N22&gt;=VLOOKUP($P22,'Input &amp; Settings'!$F$5:$K$10,6,FALSE),"Needs Improvement","Performance Improvement Required")))),""))</f>
        <v>Exceeds Expectations</v>
      </c>
      <c r="P22" t="str">
        <f>IFERROR(LOOKUP(2,1/(('Monthly Scorecard'!$D$3:$D$506=$A22)*('Monthly Scorecard'!$E$3:$E$506&lt;&gt;"")),'Monthly Scorecard'!$E$3:$E$506),"")</f>
        <v>3rd Shift Weekend</v>
      </c>
    </row>
    <row r="23" spans="1:16">
      <c r="A23" t="s">
        <v>57</v>
      </c>
      <c r="B23" s="6" t="str">
        <f>IF(COUNTIFS('Monthly Scorecard'!$D$3:$D$506,$A23,'Monthly Scorecard'!$B$3:$B$506,B$3,'Monthly Scorecard'!$AC$3:$AC$506,"Entered")=0,"",SUMIFS('Monthly Scorecard'!$AF$3:$AF$506,'Monthly Scorecard'!$D$3:$D$506,$A23,'Monthly Scorecard'!$B$3:$B$506,B$3,'Monthly Scorecard'!$AC$3:$AC$506,"Entered")/COUNTIFS('Monthly Scorecard'!$D$3:$D$506,$A23,'Monthly Scorecard'!$B$3:$B$506,B$3,'Monthly Scorecard'!$AC$3:$AC$506,"Entered"))</f>
        <v/>
      </c>
      <c r="C23" s="6" t="str">
        <f>IF(COUNTIFS('Monthly Scorecard'!$D$3:$D$506,$A23,'Monthly Scorecard'!$B$3:$B$506,C$3,'Monthly Scorecard'!$AC$3:$AC$506,"Entered")=0,"",SUMIFS('Monthly Scorecard'!$AF$3:$AF$506,'Monthly Scorecard'!$D$3:$D$506,$A23,'Monthly Scorecard'!$B$3:$B$506,C$3,'Monthly Scorecard'!$AC$3:$AC$506,"Entered")/COUNTIFS('Monthly Scorecard'!$D$3:$D$506,$A23,'Monthly Scorecard'!$B$3:$B$506,C$3,'Monthly Scorecard'!$AC$3:$AC$506,"Entered"))</f>
        <v/>
      </c>
      <c r="D23" s="6" t="str">
        <f>IF(COUNTIFS('Monthly Scorecard'!$D$3:$D$506,$A23,'Monthly Scorecard'!$B$3:$B$506,D$3,'Monthly Scorecard'!$AC$3:$AC$506,"Entered")=0,"",SUMIFS('Monthly Scorecard'!$AF$3:$AF$506,'Monthly Scorecard'!$D$3:$D$506,$A23,'Monthly Scorecard'!$B$3:$B$506,D$3,'Monthly Scorecard'!$AC$3:$AC$506,"Entered")/COUNTIFS('Monthly Scorecard'!$D$3:$D$506,$A23,'Monthly Scorecard'!$B$3:$B$506,D$3,'Monthly Scorecard'!$AC$3:$AC$506,"Entered"))</f>
        <v/>
      </c>
      <c r="E23" s="6" t="str">
        <f>IF(COUNTIFS('Monthly Scorecard'!$D$3:$D$506,$A23,'Monthly Scorecard'!$B$3:$B$506,E$3,'Monthly Scorecard'!$AC$3:$AC$506,"Entered")=0,"",SUMIFS('Monthly Scorecard'!$AF$3:$AF$506,'Monthly Scorecard'!$D$3:$D$506,$A23,'Monthly Scorecard'!$B$3:$B$506,E$3,'Monthly Scorecard'!$AC$3:$AC$506,"Entered")/COUNTIFS('Monthly Scorecard'!$D$3:$D$506,$A23,'Monthly Scorecard'!$B$3:$B$506,E$3,'Monthly Scorecard'!$AC$3:$AC$506,"Entered"))</f>
        <v/>
      </c>
      <c r="F23" s="6" t="str">
        <f>IF(COUNTIFS('Monthly Scorecard'!$D$3:$D$506,$A23,'Monthly Scorecard'!$B$3:$B$506,F$3,'Monthly Scorecard'!$AC$3:$AC$506,"Entered")=0,"",SUMIFS('Monthly Scorecard'!$AF$3:$AF$506,'Monthly Scorecard'!$D$3:$D$506,$A23,'Monthly Scorecard'!$B$3:$B$506,F$3,'Monthly Scorecard'!$AC$3:$AC$506,"Entered")/COUNTIFS('Monthly Scorecard'!$D$3:$D$506,$A23,'Monthly Scorecard'!$B$3:$B$506,F$3,'Monthly Scorecard'!$AC$3:$AC$506,"Entered"))</f>
        <v/>
      </c>
      <c r="G23" s="6">
        <f>IF(COUNTIFS('Monthly Scorecard'!$D$3:$D$506,$A23,'Monthly Scorecard'!$B$3:$B$506,G$3,'Monthly Scorecard'!$AC$3:$AC$506,"Entered")=0,"",SUMIFS('Monthly Scorecard'!$AF$3:$AF$506,'Monthly Scorecard'!$D$3:$D$506,$A23,'Monthly Scorecard'!$B$3:$B$506,G$3,'Monthly Scorecard'!$AC$3:$AC$506,"Entered")/COUNTIFS('Monthly Scorecard'!$D$3:$D$506,$A23,'Monthly Scorecard'!$B$3:$B$506,G$3,'Monthly Scorecard'!$AC$3:$AC$506,"Entered"))</f>
        <v>74.900000000000006</v>
      </c>
      <c r="H23" s="6">
        <f>IF(COUNTIFS('Monthly Scorecard'!$D$3:$D$506,$A23,'Monthly Scorecard'!$B$3:$B$506,H$3,'Monthly Scorecard'!$AC$3:$AC$506,"Entered")=0,"",SUMIFS('Monthly Scorecard'!$AF$3:$AF$506,'Monthly Scorecard'!$D$3:$D$506,$A23,'Monthly Scorecard'!$B$3:$B$506,H$3,'Monthly Scorecard'!$AC$3:$AC$506,"Entered")/COUNTIFS('Monthly Scorecard'!$D$3:$D$506,$A23,'Monthly Scorecard'!$B$3:$B$506,H$3,'Monthly Scorecard'!$AC$3:$AC$506,"Entered"))</f>
        <v>77.2</v>
      </c>
      <c r="I23" s="6" t="str">
        <f>IF(COUNTIFS('Monthly Scorecard'!$D$3:$D$506,$A23,'Monthly Scorecard'!$B$3:$B$506,I$3,'Monthly Scorecard'!$AC$3:$AC$506,"Entered")=0,"",SUMIFS('Monthly Scorecard'!$AF$3:$AF$506,'Monthly Scorecard'!$D$3:$D$506,$A23,'Monthly Scorecard'!$B$3:$B$506,I$3,'Monthly Scorecard'!$AC$3:$AC$506,"Entered")/COUNTIFS('Monthly Scorecard'!$D$3:$D$506,$A23,'Monthly Scorecard'!$B$3:$B$506,I$3,'Monthly Scorecard'!$AC$3:$AC$506,"Entered"))</f>
        <v/>
      </c>
      <c r="J23" s="6" t="str">
        <f>IF(COUNTIFS('Monthly Scorecard'!$D$3:$D$506,$A23,'Monthly Scorecard'!$B$3:$B$506,J$3,'Monthly Scorecard'!$AC$3:$AC$506,"Entered")=0,"",SUMIFS('Monthly Scorecard'!$AF$3:$AF$506,'Monthly Scorecard'!$D$3:$D$506,$A23,'Monthly Scorecard'!$B$3:$B$506,J$3,'Monthly Scorecard'!$AC$3:$AC$506,"Entered")/COUNTIFS('Monthly Scorecard'!$D$3:$D$506,$A23,'Monthly Scorecard'!$B$3:$B$506,J$3,'Monthly Scorecard'!$AC$3:$AC$506,"Entered"))</f>
        <v/>
      </c>
      <c r="K23" s="6" t="str">
        <f>IF(COUNTIFS('Monthly Scorecard'!$D$3:$D$506,$A23,'Monthly Scorecard'!$B$3:$B$506,K$3,'Monthly Scorecard'!$AC$3:$AC$506,"Entered")=0,"",SUMIFS('Monthly Scorecard'!$AF$3:$AF$506,'Monthly Scorecard'!$D$3:$D$506,$A23,'Monthly Scorecard'!$B$3:$B$506,K$3,'Monthly Scorecard'!$AC$3:$AC$506,"Entered")/COUNTIFS('Monthly Scorecard'!$D$3:$D$506,$A23,'Monthly Scorecard'!$B$3:$B$506,K$3,'Monthly Scorecard'!$AC$3:$AC$506,"Entered"))</f>
        <v/>
      </c>
      <c r="L23" s="6" t="str">
        <f>IF(COUNTIFS('Monthly Scorecard'!$D$3:$D$506,$A23,'Monthly Scorecard'!$B$3:$B$506,L$3,'Monthly Scorecard'!$AC$3:$AC$506,"Entered")=0,"",SUMIFS('Monthly Scorecard'!$AF$3:$AF$506,'Monthly Scorecard'!$D$3:$D$506,$A23,'Monthly Scorecard'!$B$3:$B$506,L$3,'Monthly Scorecard'!$AC$3:$AC$506,"Entered")/COUNTIFS('Monthly Scorecard'!$D$3:$D$506,$A23,'Monthly Scorecard'!$B$3:$B$506,L$3,'Monthly Scorecard'!$AC$3:$AC$506,"Entered"))</f>
        <v/>
      </c>
      <c r="M23" s="6" t="str">
        <f>IF(COUNTIFS('Monthly Scorecard'!$D$3:$D$506,$A23,'Monthly Scorecard'!$B$3:$B$506,M$3,'Monthly Scorecard'!$AC$3:$AC$506,"Entered")=0,"",SUMIFS('Monthly Scorecard'!$AF$3:$AF$506,'Monthly Scorecard'!$D$3:$D$506,$A23,'Monthly Scorecard'!$B$3:$B$506,M$3,'Monthly Scorecard'!$AC$3:$AC$506,"Entered")/COUNTIFS('Monthly Scorecard'!$D$3:$D$506,$A23,'Monthly Scorecard'!$B$3:$B$506,M$3,'Monthly Scorecard'!$AC$3:$AC$506,"Entered"))</f>
        <v/>
      </c>
      <c r="N23" s="6">
        <f t="shared" si="0"/>
        <v>76.050000000000011</v>
      </c>
      <c r="O23" s="8" t="str">
        <f>IF(OR($N23="",$P23=""),"",IFERROR(IF($N23&gt;=VLOOKUP($P23,'Input &amp; Settings'!$F$5:$K$10,3,FALSE),"Outstanding",IF($N23&gt;=VLOOKUP($P23,'Input &amp; Settings'!$F$5:$K$10,4,FALSE),"Exceeds Expectations",IF($N23&gt;=VLOOKUP($P23,'Input &amp; Settings'!$F$5:$K$10,5,FALSE),"Meets Expectations",IF($N23&gt;=VLOOKUP($P23,'Input &amp; Settings'!$F$5:$K$10,6,FALSE),"Needs Improvement","Performance Improvement Required")))),""))</f>
        <v>Exceeds Expectations</v>
      </c>
      <c r="P23" t="str">
        <f>IFERROR(LOOKUP(2,1/(('Monthly Scorecard'!$D$3:$D$506=$A23)*('Monthly Scorecard'!$E$3:$E$506&lt;&gt;"")),'Monthly Scorecard'!$E$3:$E$506),"")</f>
        <v>1st Shift</v>
      </c>
    </row>
    <row r="24" spans="1:16">
      <c r="A24" t="s">
        <v>58</v>
      </c>
      <c r="B24" s="6" t="str">
        <f>IF(COUNTIFS('Monthly Scorecard'!$D$3:$D$506,$A24,'Monthly Scorecard'!$B$3:$B$506,B$3,'Monthly Scorecard'!$AC$3:$AC$506,"Entered")=0,"",SUMIFS('Monthly Scorecard'!$AF$3:$AF$506,'Monthly Scorecard'!$D$3:$D$506,$A24,'Monthly Scorecard'!$B$3:$B$506,B$3,'Monthly Scorecard'!$AC$3:$AC$506,"Entered")/COUNTIFS('Monthly Scorecard'!$D$3:$D$506,$A24,'Monthly Scorecard'!$B$3:$B$506,B$3,'Monthly Scorecard'!$AC$3:$AC$506,"Entered"))</f>
        <v/>
      </c>
      <c r="C24" s="6" t="str">
        <f>IF(COUNTIFS('Monthly Scorecard'!$D$3:$D$506,$A24,'Monthly Scorecard'!$B$3:$B$506,C$3,'Monthly Scorecard'!$AC$3:$AC$506,"Entered")=0,"",SUMIFS('Monthly Scorecard'!$AF$3:$AF$506,'Monthly Scorecard'!$D$3:$D$506,$A24,'Monthly Scorecard'!$B$3:$B$506,C$3,'Monthly Scorecard'!$AC$3:$AC$506,"Entered")/COUNTIFS('Monthly Scorecard'!$D$3:$D$506,$A24,'Monthly Scorecard'!$B$3:$B$506,C$3,'Monthly Scorecard'!$AC$3:$AC$506,"Entered"))</f>
        <v/>
      </c>
      <c r="D24" s="6" t="str">
        <f>IF(COUNTIFS('Monthly Scorecard'!$D$3:$D$506,$A24,'Monthly Scorecard'!$B$3:$B$506,D$3,'Monthly Scorecard'!$AC$3:$AC$506,"Entered")=0,"",SUMIFS('Monthly Scorecard'!$AF$3:$AF$506,'Monthly Scorecard'!$D$3:$D$506,$A24,'Monthly Scorecard'!$B$3:$B$506,D$3,'Monthly Scorecard'!$AC$3:$AC$506,"Entered")/COUNTIFS('Monthly Scorecard'!$D$3:$D$506,$A24,'Monthly Scorecard'!$B$3:$B$506,D$3,'Monthly Scorecard'!$AC$3:$AC$506,"Entered"))</f>
        <v/>
      </c>
      <c r="E24" s="6" t="str">
        <f>IF(COUNTIFS('Monthly Scorecard'!$D$3:$D$506,$A24,'Monthly Scorecard'!$B$3:$B$506,E$3,'Monthly Scorecard'!$AC$3:$AC$506,"Entered")=0,"",SUMIFS('Monthly Scorecard'!$AF$3:$AF$506,'Monthly Scorecard'!$D$3:$D$506,$A24,'Monthly Scorecard'!$B$3:$B$506,E$3,'Monthly Scorecard'!$AC$3:$AC$506,"Entered")/COUNTIFS('Monthly Scorecard'!$D$3:$D$506,$A24,'Monthly Scorecard'!$B$3:$B$506,E$3,'Monthly Scorecard'!$AC$3:$AC$506,"Entered"))</f>
        <v/>
      </c>
      <c r="F24" s="6" t="str">
        <f>IF(COUNTIFS('Monthly Scorecard'!$D$3:$D$506,$A24,'Monthly Scorecard'!$B$3:$B$506,F$3,'Monthly Scorecard'!$AC$3:$AC$506,"Entered")=0,"",SUMIFS('Monthly Scorecard'!$AF$3:$AF$506,'Monthly Scorecard'!$D$3:$D$506,$A24,'Monthly Scorecard'!$B$3:$B$506,F$3,'Monthly Scorecard'!$AC$3:$AC$506,"Entered")/COUNTIFS('Monthly Scorecard'!$D$3:$D$506,$A24,'Monthly Scorecard'!$B$3:$B$506,F$3,'Monthly Scorecard'!$AC$3:$AC$506,"Entered"))</f>
        <v/>
      </c>
      <c r="G24" s="6">
        <f>IF(COUNTIFS('Monthly Scorecard'!$D$3:$D$506,$A24,'Monthly Scorecard'!$B$3:$B$506,G$3,'Monthly Scorecard'!$AC$3:$AC$506,"Entered")=0,"",SUMIFS('Monthly Scorecard'!$AF$3:$AF$506,'Monthly Scorecard'!$D$3:$D$506,$A24,'Monthly Scorecard'!$B$3:$B$506,G$3,'Monthly Scorecard'!$AC$3:$AC$506,"Entered")/COUNTIFS('Monthly Scorecard'!$D$3:$D$506,$A24,'Monthly Scorecard'!$B$3:$B$506,G$3,'Monthly Scorecard'!$AC$3:$AC$506,"Entered"))</f>
        <v>71</v>
      </c>
      <c r="H24" s="6">
        <f>IF(COUNTIFS('Monthly Scorecard'!$D$3:$D$506,$A24,'Monthly Scorecard'!$B$3:$B$506,H$3,'Monthly Scorecard'!$AC$3:$AC$506,"Entered")=0,"",SUMIFS('Monthly Scorecard'!$AF$3:$AF$506,'Monthly Scorecard'!$D$3:$D$506,$A24,'Monthly Scorecard'!$B$3:$B$506,H$3,'Monthly Scorecard'!$AC$3:$AC$506,"Entered")/COUNTIFS('Monthly Scorecard'!$D$3:$D$506,$A24,'Monthly Scorecard'!$B$3:$B$506,H$3,'Monthly Scorecard'!$AC$3:$AC$506,"Entered"))</f>
        <v>63.3</v>
      </c>
      <c r="I24" s="6" t="str">
        <f>IF(COUNTIFS('Monthly Scorecard'!$D$3:$D$506,$A24,'Monthly Scorecard'!$B$3:$B$506,I$3,'Monthly Scorecard'!$AC$3:$AC$506,"Entered")=0,"",SUMIFS('Monthly Scorecard'!$AF$3:$AF$506,'Monthly Scorecard'!$D$3:$D$506,$A24,'Monthly Scorecard'!$B$3:$B$506,I$3,'Monthly Scorecard'!$AC$3:$AC$506,"Entered")/COUNTIFS('Monthly Scorecard'!$D$3:$D$506,$A24,'Monthly Scorecard'!$B$3:$B$506,I$3,'Monthly Scorecard'!$AC$3:$AC$506,"Entered"))</f>
        <v/>
      </c>
      <c r="J24" s="6" t="str">
        <f>IF(COUNTIFS('Monthly Scorecard'!$D$3:$D$506,$A24,'Monthly Scorecard'!$B$3:$B$506,J$3,'Monthly Scorecard'!$AC$3:$AC$506,"Entered")=0,"",SUMIFS('Monthly Scorecard'!$AF$3:$AF$506,'Monthly Scorecard'!$D$3:$D$506,$A24,'Monthly Scorecard'!$B$3:$B$506,J$3,'Monthly Scorecard'!$AC$3:$AC$506,"Entered")/COUNTIFS('Monthly Scorecard'!$D$3:$D$506,$A24,'Monthly Scorecard'!$B$3:$B$506,J$3,'Monthly Scorecard'!$AC$3:$AC$506,"Entered"))</f>
        <v/>
      </c>
      <c r="K24" s="6" t="str">
        <f>IF(COUNTIFS('Monthly Scorecard'!$D$3:$D$506,$A24,'Monthly Scorecard'!$B$3:$B$506,K$3,'Monthly Scorecard'!$AC$3:$AC$506,"Entered")=0,"",SUMIFS('Monthly Scorecard'!$AF$3:$AF$506,'Monthly Scorecard'!$D$3:$D$506,$A24,'Monthly Scorecard'!$B$3:$B$506,K$3,'Monthly Scorecard'!$AC$3:$AC$506,"Entered")/COUNTIFS('Monthly Scorecard'!$D$3:$D$506,$A24,'Monthly Scorecard'!$B$3:$B$506,K$3,'Monthly Scorecard'!$AC$3:$AC$506,"Entered"))</f>
        <v/>
      </c>
      <c r="L24" s="6" t="str">
        <f>IF(COUNTIFS('Monthly Scorecard'!$D$3:$D$506,$A24,'Monthly Scorecard'!$B$3:$B$506,L$3,'Monthly Scorecard'!$AC$3:$AC$506,"Entered")=0,"",SUMIFS('Monthly Scorecard'!$AF$3:$AF$506,'Monthly Scorecard'!$D$3:$D$506,$A24,'Monthly Scorecard'!$B$3:$B$506,L$3,'Monthly Scorecard'!$AC$3:$AC$506,"Entered")/COUNTIFS('Monthly Scorecard'!$D$3:$D$506,$A24,'Monthly Scorecard'!$B$3:$B$506,L$3,'Monthly Scorecard'!$AC$3:$AC$506,"Entered"))</f>
        <v/>
      </c>
      <c r="M24" s="6" t="str">
        <f>IF(COUNTIFS('Monthly Scorecard'!$D$3:$D$506,$A24,'Monthly Scorecard'!$B$3:$B$506,M$3,'Monthly Scorecard'!$AC$3:$AC$506,"Entered")=0,"",SUMIFS('Monthly Scorecard'!$AF$3:$AF$506,'Monthly Scorecard'!$D$3:$D$506,$A24,'Monthly Scorecard'!$B$3:$B$506,M$3,'Monthly Scorecard'!$AC$3:$AC$506,"Entered")/COUNTIFS('Monthly Scorecard'!$D$3:$D$506,$A24,'Monthly Scorecard'!$B$3:$B$506,M$3,'Monthly Scorecard'!$AC$3:$AC$506,"Entered"))</f>
        <v/>
      </c>
      <c r="N24" s="6">
        <f t="shared" si="0"/>
        <v>67.150000000000006</v>
      </c>
      <c r="O24" s="8" t="str">
        <f>IF(OR($N24="",$P24=""),"",IFERROR(IF($N24&gt;=VLOOKUP($P24,'Input &amp; Settings'!$F$5:$K$10,3,FALSE),"Outstanding",IF($N24&gt;=VLOOKUP($P24,'Input &amp; Settings'!$F$5:$K$10,4,FALSE),"Exceeds Expectations",IF($N24&gt;=VLOOKUP($P24,'Input &amp; Settings'!$F$5:$K$10,5,FALSE),"Meets Expectations",IF($N24&gt;=VLOOKUP($P24,'Input &amp; Settings'!$F$5:$K$10,6,FALSE),"Needs Improvement","Performance Improvement Required")))),""))</f>
        <v>Exceeds Expectations</v>
      </c>
      <c r="P24" t="str">
        <f>IFERROR(LOOKUP(2,1/(('Monthly Scorecard'!$D$3:$D$506=$A24)*('Monthly Scorecard'!$E$3:$E$506&lt;&gt;"")),'Monthly Scorecard'!$E$3:$E$506),"")</f>
        <v>1st Shift Weekend</v>
      </c>
    </row>
    <row r="25" spans="1:16">
      <c r="A25" t="s">
        <v>59</v>
      </c>
      <c r="B25" s="6" t="str">
        <f>IF(COUNTIFS('Monthly Scorecard'!$D$3:$D$506,$A25,'Monthly Scorecard'!$B$3:$B$506,B$3,'Monthly Scorecard'!$AC$3:$AC$506,"Entered")=0,"",SUMIFS('Monthly Scorecard'!$AF$3:$AF$506,'Monthly Scorecard'!$D$3:$D$506,$A25,'Monthly Scorecard'!$B$3:$B$506,B$3,'Monthly Scorecard'!$AC$3:$AC$506,"Entered")/COUNTIFS('Monthly Scorecard'!$D$3:$D$506,$A25,'Monthly Scorecard'!$B$3:$B$506,B$3,'Monthly Scorecard'!$AC$3:$AC$506,"Entered"))</f>
        <v/>
      </c>
      <c r="C25" s="6" t="str">
        <f>IF(COUNTIFS('Monthly Scorecard'!$D$3:$D$506,$A25,'Monthly Scorecard'!$B$3:$B$506,C$3,'Monthly Scorecard'!$AC$3:$AC$506,"Entered")=0,"",SUMIFS('Monthly Scorecard'!$AF$3:$AF$506,'Monthly Scorecard'!$D$3:$D$506,$A25,'Monthly Scorecard'!$B$3:$B$506,C$3,'Monthly Scorecard'!$AC$3:$AC$506,"Entered")/COUNTIFS('Monthly Scorecard'!$D$3:$D$506,$A25,'Monthly Scorecard'!$B$3:$B$506,C$3,'Monthly Scorecard'!$AC$3:$AC$506,"Entered"))</f>
        <v/>
      </c>
      <c r="D25" s="6" t="str">
        <f>IF(COUNTIFS('Monthly Scorecard'!$D$3:$D$506,$A25,'Monthly Scorecard'!$B$3:$B$506,D$3,'Monthly Scorecard'!$AC$3:$AC$506,"Entered")=0,"",SUMIFS('Monthly Scorecard'!$AF$3:$AF$506,'Monthly Scorecard'!$D$3:$D$506,$A25,'Monthly Scorecard'!$B$3:$B$506,D$3,'Monthly Scorecard'!$AC$3:$AC$506,"Entered")/COUNTIFS('Monthly Scorecard'!$D$3:$D$506,$A25,'Monthly Scorecard'!$B$3:$B$506,D$3,'Monthly Scorecard'!$AC$3:$AC$506,"Entered"))</f>
        <v/>
      </c>
      <c r="E25" s="6" t="str">
        <f>IF(COUNTIFS('Monthly Scorecard'!$D$3:$D$506,$A25,'Monthly Scorecard'!$B$3:$B$506,E$3,'Monthly Scorecard'!$AC$3:$AC$506,"Entered")=0,"",SUMIFS('Monthly Scorecard'!$AF$3:$AF$506,'Monthly Scorecard'!$D$3:$D$506,$A25,'Monthly Scorecard'!$B$3:$B$506,E$3,'Monthly Scorecard'!$AC$3:$AC$506,"Entered")/COUNTIFS('Monthly Scorecard'!$D$3:$D$506,$A25,'Monthly Scorecard'!$B$3:$B$506,E$3,'Monthly Scorecard'!$AC$3:$AC$506,"Entered"))</f>
        <v/>
      </c>
      <c r="F25" s="6" t="str">
        <f>IF(COUNTIFS('Monthly Scorecard'!$D$3:$D$506,$A25,'Monthly Scorecard'!$B$3:$B$506,F$3,'Monthly Scorecard'!$AC$3:$AC$506,"Entered")=0,"",SUMIFS('Monthly Scorecard'!$AF$3:$AF$506,'Monthly Scorecard'!$D$3:$D$506,$A25,'Monthly Scorecard'!$B$3:$B$506,F$3,'Monthly Scorecard'!$AC$3:$AC$506,"Entered")/COUNTIFS('Monthly Scorecard'!$D$3:$D$506,$A25,'Monthly Scorecard'!$B$3:$B$506,F$3,'Monthly Scorecard'!$AC$3:$AC$506,"Entered"))</f>
        <v/>
      </c>
      <c r="G25" s="6">
        <f>IF(COUNTIFS('Monthly Scorecard'!$D$3:$D$506,$A25,'Monthly Scorecard'!$B$3:$B$506,G$3,'Monthly Scorecard'!$AC$3:$AC$506,"Entered")=0,"",SUMIFS('Monthly Scorecard'!$AF$3:$AF$506,'Monthly Scorecard'!$D$3:$D$506,$A25,'Monthly Scorecard'!$B$3:$B$506,G$3,'Monthly Scorecard'!$AC$3:$AC$506,"Entered")/COUNTIFS('Monthly Scorecard'!$D$3:$D$506,$A25,'Monthly Scorecard'!$B$3:$B$506,G$3,'Monthly Scorecard'!$AC$3:$AC$506,"Entered"))</f>
        <v>78.099999999999994</v>
      </c>
      <c r="H25" s="6">
        <f>IF(COUNTIFS('Monthly Scorecard'!$D$3:$D$506,$A25,'Monthly Scorecard'!$B$3:$B$506,H$3,'Monthly Scorecard'!$AC$3:$AC$506,"Entered")=0,"",SUMIFS('Monthly Scorecard'!$AF$3:$AF$506,'Monthly Scorecard'!$D$3:$D$506,$A25,'Monthly Scorecard'!$B$3:$B$506,H$3,'Monthly Scorecard'!$AC$3:$AC$506,"Entered")/COUNTIFS('Monthly Scorecard'!$D$3:$D$506,$A25,'Monthly Scorecard'!$B$3:$B$506,H$3,'Monthly Scorecard'!$AC$3:$AC$506,"Entered"))</f>
        <v>86.2</v>
      </c>
      <c r="I25" s="6" t="str">
        <f>IF(COUNTIFS('Monthly Scorecard'!$D$3:$D$506,$A25,'Monthly Scorecard'!$B$3:$B$506,I$3,'Monthly Scorecard'!$AC$3:$AC$506,"Entered")=0,"",SUMIFS('Monthly Scorecard'!$AF$3:$AF$506,'Monthly Scorecard'!$D$3:$D$506,$A25,'Monthly Scorecard'!$B$3:$B$506,I$3,'Monthly Scorecard'!$AC$3:$AC$506,"Entered")/COUNTIFS('Monthly Scorecard'!$D$3:$D$506,$A25,'Monthly Scorecard'!$B$3:$B$506,I$3,'Monthly Scorecard'!$AC$3:$AC$506,"Entered"))</f>
        <v/>
      </c>
      <c r="J25" s="6" t="str">
        <f>IF(COUNTIFS('Monthly Scorecard'!$D$3:$D$506,$A25,'Monthly Scorecard'!$B$3:$B$506,J$3,'Monthly Scorecard'!$AC$3:$AC$506,"Entered")=0,"",SUMIFS('Monthly Scorecard'!$AF$3:$AF$506,'Monthly Scorecard'!$D$3:$D$506,$A25,'Monthly Scorecard'!$B$3:$B$506,J$3,'Monthly Scorecard'!$AC$3:$AC$506,"Entered")/COUNTIFS('Monthly Scorecard'!$D$3:$D$506,$A25,'Monthly Scorecard'!$B$3:$B$506,J$3,'Monthly Scorecard'!$AC$3:$AC$506,"Entered"))</f>
        <v/>
      </c>
      <c r="K25" s="6" t="str">
        <f>IF(COUNTIFS('Monthly Scorecard'!$D$3:$D$506,$A25,'Monthly Scorecard'!$B$3:$B$506,K$3,'Monthly Scorecard'!$AC$3:$AC$506,"Entered")=0,"",SUMIFS('Monthly Scorecard'!$AF$3:$AF$506,'Monthly Scorecard'!$D$3:$D$506,$A25,'Monthly Scorecard'!$B$3:$B$506,K$3,'Monthly Scorecard'!$AC$3:$AC$506,"Entered")/COUNTIFS('Monthly Scorecard'!$D$3:$D$506,$A25,'Monthly Scorecard'!$B$3:$B$506,K$3,'Monthly Scorecard'!$AC$3:$AC$506,"Entered"))</f>
        <v/>
      </c>
      <c r="L25" s="6" t="str">
        <f>IF(COUNTIFS('Monthly Scorecard'!$D$3:$D$506,$A25,'Monthly Scorecard'!$B$3:$B$506,L$3,'Monthly Scorecard'!$AC$3:$AC$506,"Entered")=0,"",SUMIFS('Monthly Scorecard'!$AF$3:$AF$506,'Monthly Scorecard'!$D$3:$D$506,$A25,'Monthly Scorecard'!$B$3:$B$506,L$3,'Monthly Scorecard'!$AC$3:$AC$506,"Entered")/COUNTIFS('Monthly Scorecard'!$D$3:$D$506,$A25,'Monthly Scorecard'!$B$3:$B$506,L$3,'Monthly Scorecard'!$AC$3:$AC$506,"Entered"))</f>
        <v/>
      </c>
      <c r="M25" s="6" t="str">
        <f>IF(COUNTIFS('Monthly Scorecard'!$D$3:$D$506,$A25,'Monthly Scorecard'!$B$3:$B$506,M$3,'Monthly Scorecard'!$AC$3:$AC$506,"Entered")=0,"",SUMIFS('Monthly Scorecard'!$AF$3:$AF$506,'Monthly Scorecard'!$D$3:$D$506,$A25,'Monthly Scorecard'!$B$3:$B$506,M$3,'Monthly Scorecard'!$AC$3:$AC$506,"Entered")/COUNTIFS('Monthly Scorecard'!$D$3:$D$506,$A25,'Monthly Scorecard'!$B$3:$B$506,M$3,'Monthly Scorecard'!$AC$3:$AC$506,"Entered"))</f>
        <v/>
      </c>
      <c r="N25" s="6">
        <f t="shared" si="0"/>
        <v>82.15</v>
      </c>
      <c r="O25" s="8" t="str">
        <f>IF(OR($N25="",$P25=""),"",IFERROR(IF($N25&gt;=VLOOKUP($P25,'Input &amp; Settings'!$F$5:$K$10,3,FALSE),"Outstanding",IF($N25&gt;=VLOOKUP($P25,'Input &amp; Settings'!$F$5:$K$10,4,FALSE),"Exceeds Expectations",IF($N25&gt;=VLOOKUP($P25,'Input &amp; Settings'!$F$5:$K$10,5,FALSE),"Meets Expectations",IF($N25&gt;=VLOOKUP($P25,'Input &amp; Settings'!$F$5:$K$10,6,FALSE),"Needs Improvement","Performance Improvement Required")))),""))</f>
        <v>Outstanding</v>
      </c>
      <c r="P25" t="str">
        <f>IFERROR(LOOKUP(2,1/(('Monthly Scorecard'!$D$3:$D$506=$A25)*('Monthly Scorecard'!$E$3:$E$506&lt;&gt;"")),'Monthly Scorecard'!$E$3:$E$506),"")</f>
        <v>2nd Shift</v>
      </c>
    </row>
    <row r="26" spans="1:16">
      <c r="A26" t="s">
        <v>60</v>
      </c>
      <c r="B26" s="6" t="str">
        <f>IF(COUNTIFS('Monthly Scorecard'!$D$3:$D$506,$A26,'Monthly Scorecard'!$B$3:$B$506,B$3,'Monthly Scorecard'!$AC$3:$AC$506,"Entered")=0,"",SUMIFS('Monthly Scorecard'!$AF$3:$AF$506,'Monthly Scorecard'!$D$3:$D$506,$A26,'Monthly Scorecard'!$B$3:$B$506,B$3,'Monthly Scorecard'!$AC$3:$AC$506,"Entered")/COUNTIFS('Monthly Scorecard'!$D$3:$D$506,$A26,'Monthly Scorecard'!$B$3:$B$506,B$3,'Monthly Scorecard'!$AC$3:$AC$506,"Entered"))</f>
        <v/>
      </c>
      <c r="C26" s="6" t="str">
        <f>IF(COUNTIFS('Monthly Scorecard'!$D$3:$D$506,$A26,'Monthly Scorecard'!$B$3:$B$506,C$3,'Monthly Scorecard'!$AC$3:$AC$506,"Entered")=0,"",SUMIFS('Monthly Scorecard'!$AF$3:$AF$506,'Monthly Scorecard'!$D$3:$D$506,$A26,'Monthly Scorecard'!$B$3:$B$506,C$3,'Monthly Scorecard'!$AC$3:$AC$506,"Entered")/COUNTIFS('Monthly Scorecard'!$D$3:$D$506,$A26,'Monthly Scorecard'!$B$3:$B$506,C$3,'Monthly Scorecard'!$AC$3:$AC$506,"Entered"))</f>
        <v/>
      </c>
      <c r="D26" s="6" t="str">
        <f>IF(COUNTIFS('Monthly Scorecard'!$D$3:$D$506,$A26,'Monthly Scorecard'!$B$3:$B$506,D$3,'Monthly Scorecard'!$AC$3:$AC$506,"Entered")=0,"",SUMIFS('Monthly Scorecard'!$AF$3:$AF$506,'Monthly Scorecard'!$D$3:$D$506,$A26,'Monthly Scorecard'!$B$3:$B$506,D$3,'Monthly Scorecard'!$AC$3:$AC$506,"Entered")/COUNTIFS('Monthly Scorecard'!$D$3:$D$506,$A26,'Monthly Scorecard'!$B$3:$B$506,D$3,'Monthly Scorecard'!$AC$3:$AC$506,"Entered"))</f>
        <v/>
      </c>
      <c r="E26" s="6" t="str">
        <f>IF(COUNTIFS('Monthly Scorecard'!$D$3:$D$506,$A26,'Monthly Scorecard'!$B$3:$B$506,E$3,'Monthly Scorecard'!$AC$3:$AC$506,"Entered")=0,"",SUMIFS('Monthly Scorecard'!$AF$3:$AF$506,'Monthly Scorecard'!$D$3:$D$506,$A26,'Monthly Scorecard'!$B$3:$B$506,E$3,'Monthly Scorecard'!$AC$3:$AC$506,"Entered")/COUNTIFS('Monthly Scorecard'!$D$3:$D$506,$A26,'Monthly Scorecard'!$B$3:$B$506,E$3,'Monthly Scorecard'!$AC$3:$AC$506,"Entered"))</f>
        <v/>
      </c>
      <c r="F26" s="6" t="str">
        <f>IF(COUNTIFS('Monthly Scorecard'!$D$3:$D$506,$A26,'Monthly Scorecard'!$B$3:$B$506,F$3,'Monthly Scorecard'!$AC$3:$AC$506,"Entered")=0,"",SUMIFS('Monthly Scorecard'!$AF$3:$AF$506,'Monthly Scorecard'!$D$3:$D$506,$A26,'Monthly Scorecard'!$B$3:$B$506,F$3,'Monthly Scorecard'!$AC$3:$AC$506,"Entered")/COUNTIFS('Monthly Scorecard'!$D$3:$D$506,$A26,'Monthly Scorecard'!$B$3:$B$506,F$3,'Monthly Scorecard'!$AC$3:$AC$506,"Entered"))</f>
        <v/>
      </c>
      <c r="G26" s="6">
        <f>IF(COUNTIFS('Monthly Scorecard'!$D$3:$D$506,$A26,'Monthly Scorecard'!$B$3:$B$506,G$3,'Monthly Scorecard'!$AC$3:$AC$506,"Entered")=0,"",SUMIFS('Monthly Scorecard'!$AF$3:$AF$506,'Monthly Scorecard'!$D$3:$D$506,$A26,'Monthly Scorecard'!$B$3:$B$506,G$3,'Monthly Scorecard'!$AC$3:$AC$506,"Entered")/COUNTIFS('Monthly Scorecard'!$D$3:$D$506,$A26,'Monthly Scorecard'!$B$3:$B$506,G$3,'Monthly Scorecard'!$AC$3:$AC$506,"Entered"))</f>
        <v>81.599999999999994</v>
      </c>
      <c r="H26" s="6">
        <f>IF(COUNTIFS('Monthly Scorecard'!$D$3:$D$506,$A26,'Monthly Scorecard'!$B$3:$B$506,H$3,'Monthly Scorecard'!$AC$3:$AC$506,"Entered")=0,"",SUMIFS('Monthly Scorecard'!$AF$3:$AF$506,'Monthly Scorecard'!$D$3:$D$506,$A26,'Monthly Scorecard'!$B$3:$B$506,H$3,'Monthly Scorecard'!$AC$3:$AC$506,"Entered")/COUNTIFS('Monthly Scorecard'!$D$3:$D$506,$A26,'Monthly Scorecard'!$B$3:$B$506,H$3,'Monthly Scorecard'!$AC$3:$AC$506,"Entered"))</f>
        <v>87.3</v>
      </c>
      <c r="I26" s="6" t="str">
        <f>IF(COUNTIFS('Monthly Scorecard'!$D$3:$D$506,$A26,'Monthly Scorecard'!$B$3:$B$506,I$3,'Monthly Scorecard'!$AC$3:$AC$506,"Entered")=0,"",SUMIFS('Monthly Scorecard'!$AF$3:$AF$506,'Monthly Scorecard'!$D$3:$D$506,$A26,'Monthly Scorecard'!$B$3:$B$506,I$3,'Monthly Scorecard'!$AC$3:$AC$506,"Entered")/COUNTIFS('Monthly Scorecard'!$D$3:$D$506,$A26,'Monthly Scorecard'!$B$3:$B$506,I$3,'Monthly Scorecard'!$AC$3:$AC$506,"Entered"))</f>
        <v/>
      </c>
      <c r="J26" s="6" t="str">
        <f>IF(COUNTIFS('Monthly Scorecard'!$D$3:$D$506,$A26,'Monthly Scorecard'!$B$3:$B$506,J$3,'Monthly Scorecard'!$AC$3:$AC$506,"Entered")=0,"",SUMIFS('Monthly Scorecard'!$AF$3:$AF$506,'Monthly Scorecard'!$D$3:$D$506,$A26,'Monthly Scorecard'!$B$3:$B$506,J$3,'Monthly Scorecard'!$AC$3:$AC$506,"Entered")/COUNTIFS('Monthly Scorecard'!$D$3:$D$506,$A26,'Monthly Scorecard'!$B$3:$B$506,J$3,'Monthly Scorecard'!$AC$3:$AC$506,"Entered"))</f>
        <v/>
      </c>
      <c r="K26" s="6" t="str">
        <f>IF(COUNTIFS('Monthly Scorecard'!$D$3:$D$506,$A26,'Monthly Scorecard'!$B$3:$B$506,K$3,'Monthly Scorecard'!$AC$3:$AC$506,"Entered")=0,"",SUMIFS('Monthly Scorecard'!$AF$3:$AF$506,'Monthly Scorecard'!$D$3:$D$506,$A26,'Monthly Scorecard'!$B$3:$B$506,K$3,'Monthly Scorecard'!$AC$3:$AC$506,"Entered")/COUNTIFS('Monthly Scorecard'!$D$3:$D$506,$A26,'Monthly Scorecard'!$B$3:$B$506,K$3,'Monthly Scorecard'!$AC$3:$AC$506,"Entered"))</f>
        <v/>
      </c>
      <c r="L26" s="6" t="str">
        <f>IF(COUNTIFS('Monthly Scorecard'!$D$3:$D$506,$A26,'Monthly Scorecard'!$B$3:$B$506,L$3,'Monthly Scorecard'!$AC$3:$AC$506,"Entered")=0,"",SUMIFS('Monthly Scorecard'!$AF$3:$AF$506,'Monthly Scorecard'!$D$3:$D$506,$A26,'Monthly Scorecard'!$B$3:$B$506,L$3,'Monthly Scorecard'!$AC$3:$AC$506,"Entered")/COUNTIFS('Monthly Scorecard'!$D$3:$D$506,$A26,'Monthly Scorecard'!$B$3:$B$506,L$3,'Monthly Scorecard'!$AC$3:$AC$506,"Entered"))</f>
        <v/>
      </c>
      <c r="M26" s="6" t="str">
        <f>IF(COUNTIFS('Monthly Scorecard'!$D$3:$D$506,$A26,'Monthly Scorecard'!$B$3:$B$506,M$3,'Monthly Scorecard'!$AC$3:$AC$506,"Entered")=0,"",SUMIFS('Monthly Scorecard'!$AF$3:$AF$506,'Monthly Scorecard'!$D$3:$D$506,$A26,'Monthly Scorecard'!$B$3:$B$506,M$3,'Monthly Scorecard'!$AC$3:$AC$506,"Entered")/COUNTIFS('Monthly Scorecard'!$D$3:$D$506,$A26,'Monthly Scorecard'!$B$3:$B$506,M$3,'Monthly Scorecard'!$AC$3:$AC$506,"Entered"))</f>
        <v/>
      </c>
      <c r="N26" s="6">
        <f t="shared" si="0"/>
        <v>84.449999999999989</v>
      </c>
      <c r="O26" s="8" t="str">
        <f>IF(OR($N26="",$P26=""),"",IFERROR(IF($N26&gt;=VLOOKUP($P26,'Input &amp; Settings'!$F$5:$K$10,3,FALSE),"Outstanding",IF($N26&gt;=VLOOKUP($P26,'Input &amp; Settings'!$F$5:$K$10,4,FALSE),"Exceeds Expectations",IF($N26&gt;=VLOOKUP($P26,'Input &amp; Settings'!$F$5:$K$10,5,FALSE),"Meets Expectations",IF($N26&gt;=VLOOKUP($P26,'Input &amp; Settings'!$F$5:$K$10,6,FALSE),"Needs Improvement","Performance Improvement Required")))),""))</f>
        <v>Outstanding</v>
      </c>
      <c r="P26" t="str">
        <f>IFERROR(LOOKUP(2,1/(('Monthly Scorecard'!$D$3:$D$506=$A26)*('Monthly Scorecard'!$E$3:$E$506&lt;&gt;"")),'Monthly Scorecard'!$E$3:$E$506),"")</f>
        <v>1st Shift</v>
      </c>
    </row>
    <row r="27" spans="1:16">
      <c r="A27" t="s">
        <v>61</v>
      </c>
      <c r="B27" s="6" t="str">
        <f>IF(COUNTIFS('Monthly Scorecard'!$D$3:$D$506,$A27,'Monthly Scorecard'!$B$3:$B$506,B$3,'Monthly Scorecard'!$AC$3:$AC$506,"Entered")=0,"",SUMIFS('Monthly Scorecard'!$AF$3:$AF$506,'Monthly Scorecard'!$D$3:$D$506,$A27,'Monthly Scorecard'!$B$3:$B$506,B$3,'Monthly Scorecard'!$AC$3:$AC$506,"Entered")/COUNTIFS('Monthly Scorecard'!$D$3:$D$506,$A27,'Monthly Scorecard'!$B$3:$B$506,B$3,'Monthly Scorecard'!$AC$3:$AC$506,"Entered"))</f>
        <v/>
      </c>
      <c r="C27" s="6" t="str">
        <f>IF(COUNTIFS('Monthly Scorecard'!$D$3:$D$506,$A27,'Monthly Scorecard'!$B$3:$B$506,C$3,'Monthly Scorecard'!$AC$3:$AC$506,"Entered")=0,"",SUMIFS('Monthly Scorecard'!$AF$3:$AF$506,'Monthly Scorecard'!$D$3:$D$506,$A27,'Monthly Scorecard'!$B$3:$B$506,C$3,'Monthly Scorecard'!$AC$3:$AC$506,"Entered")/COUNTIFS('Monthly Scorecard'!$D$3:$D$506,$A27,'Monthly Scorecard'!$B$3:$B$506,C$3,'Monthly Scorecard'!$AC$3:$AC$506,"Entered"))</f>
        <v/>
      </c>
      <c r="D27" s="6" t="str">
        <f>IF(COUNTIFS('Monthly Scorecard'!$D$3:$D$506,$A27,'Monthly Scorecard'!$B$3:$B$506,D$3,'Monthly Scorecard'!$AC$3:$AC$506,"Entered")=0,"",SUMIFS('Monthly Scorecard'!$AF$3:$AF$506,'Monthly Scorecard'!$D$3:$D$506,$A27,'Monthly Scorecard'!$B$3:$B$506,D$3,'Monthly Scorecard'!$AC$3:$AC$506,"Entered")/COUNTIFS('Monthly Scorecard'!$D$3:$D$506,$A27,'Monthly Scorecard'!$B$3:$B$506,D$3,'Monthly Scorecard'!$AC$3:$AC$506,"Entered"))</f>
        <v/>
      </c>
      <c r="E27" s="6" t="str">
        <f>IF(COUNTIFS('Monthly Scorecard'!$D$3:$D$506,$A27,'Monthly Scorecard'!$B$3:$B$506,E$3,'Monthly Scorecard'!$AC$3:$AC$506,"Entered")=0,"",SUMIFS('Monthly Scorecard'!$AF$3:$AF$506,'Monthly Scorecard'!$D$3:$D$506,$A27,'Monthly Scorecard'!$B$3:$B$506,E$3,'Monthly Scorecard'!$AC$3:$AC$506,"Entered")/COUNTIFS('Monthly Scorecard'!$D$3:$D$506,$A27,'Monthly Scorecard'!$B$3:$B$506,E$3,'Monthly Scorecard'!$AC$3:$AC$506,"Entered"))</f>
        <v/>
      </c>
      <c r="F27" s="6" t="str">
        <f>IF(COUNTIFS('Monthly Scorecard'!$D$3:$D$506,$A27,'Monthly Scorecard'!$B$3:$B$506,F$3,'Monthly Scorecard'!$AC$3:$AC$506,"Entered")=0,"",SUMIFS('Monthly Scorecard'!$AF$3:$AF$506,'Monthly Scorecard'!$D$3:$D$506,$A27,'Monthly Scorecard'!$B$3:$B$506,F$3,'Monthly Scorecard'!$AC$3:$AC$506,"Entered")/COUNTIFS('Monthly Scorecard'!$D$3:$D$506,$A27,'Monthly Scorecard'!$B$3:$B$506,F$3,'Monthly Scorecard'!$AC$3:$AC$506,"Entered"))</f>
        <v/>
      </c>
      <c r="G27" s="6">
        <f>IF(COUNTIFS('Monthly Scorecard'!$D$3:$D$506,$A27,'Monthly Scorecard'!$B$3:$B$506,G$3,'Monthly Scorecard'!$AC$3:$AC$506,"Entered")=0,"",SUMIFS('Monthly Scorecard'!$AF$3:$AF$506,'Monthly Scorecard'!$D$3:$D$506,$A27,'Monthly Scorecard'!$B$3:$B$506,G$3,'Monthly Scorecard'!$AC$3:$AC$506,"Entered")/COUNTIFS('Monthly Scorecard'!$D$3:$D$506,$A27,'Monthly Scorecard'!$B$3:$B$506,G$3,'Monthly Scorecard'!$AC$3:$AC$506,"Entered"))</f>
        <v>71.2</v>
      </c>
      <c r="H27" s="6">
        <f>IF(COUNTIFS('Monthly Scorecard'!$D$3:$D$506,$A27,'Monthly Scorecard'!$B$3:$B$506,H$3,'Monthly Scorecard'!$AC$3:$AC$506,"Entered")=0,"",SUMIFS('Monthly Scorecard'!$AF$3:$AF$506,'Monthly Scorecard'!$D$3:$D$506,$A27,'Monthly Scorecard'!$B$3:$B$506,H$3,'Monthly Scorecard'!$AC$3:$AC$506,"Entered")/COUNTIFS('Monthly Scorecard'!$D$3:$D$506,$A27,'Monthly Scorecard'!$B$3:$B$506,H$3,'Monthly Scorecard'!$AC$3:$AC$506,"Entered"))</f>
        <v>77.099999999999994</v>
      </c>
      <c r="I27" s="6" t="str">
        <f>IF(COUNTIFS('Monthly Scorecard'!$D$3:$D$506,$A27,'Monthly Scorecard'!$B$3:$B$506,I$3,'Monthly Scorecard'!$AC$3:$AC$506,"Entered")=0,"",SUMIFS('Monthly Scorecard'!$AF$3:$AF$506,'Monthly Scorecard'!$D$3:$D$506,$A27,'Monthly Scorecard'!$B$3:$B$506,I$3,'Monthly Scorecard'!$AC$3:$AC$506,"Entered")/COUNTIFS('Monthly Scorecard'!$D$3:$D$506,$A27,'Monthly Scorecard'!$B$3:$B$506,I$3,'Monthly Scorecard'!$AC$3:$AC$506,"Entered"))</f>
        <v/>
      </c>
      <c r="J27" s="6" t="str">
        <f>IF(COUNTIFS('Monthly Scorecard'!$D$3:$D$506,$A27,'Monthly Scorecard'!$B$3:$B$506,J$3,'Monthly Scorecard'!$AC$3:$AC$506,"Entered")=0,"",SUMIFS('Monthly Scorecard'!$AF$3:$AF$506,'Monthly Scorecard'!$D$3:$D$506,$A27,'Monthly Scorecard'!$B$3:$B$506,J$3,'Monthly Scorecard'!$AC$3:$AC$506,"Entered")/COUNTIFS('Monthly Scorecard'!$D$3:$D$506,$A27,'Monthly Scorecard'!$B$3:$B$506,J$3,'Monthly Scorecard'!$AC$3:$AC$506,"Entered"))</f>
        <v/>
      </c>
      <c r="K27" s="6" t="str">
        <f>IF(COUNTIFS('Monthly Scorecard'!$D$3:$D$506,$A27,'Monthly Scorecard'!$B$3:$B$506,K$3,'Monthly Scorecard'!$AC$3:$AC$506,"Entered")=0,"",SUMIFS('Monthly Scorecard'!$AF$3:$AF$506,'Monthly Scorecard'!$D$3:$D$506,$A27,'Monthly Scorecard'!$B$3:$B$506,K$3,'Monthly Scorecard'!$AC$3:$AC$506,"Entered")/COUNTIFS('Monthly Scorecard'!$D$3:$D$506,$A27,'Monthly Scorecard'!$B$3:$B$506,K$3,'Monthly Scorecard'!$AC$3:$AC$506,"Entered"))</f>
        <v/>
      </c>
      <c r="L27" s="6" t="str">
        <f>IF(COUNTIFS('Monthly Scorecard'!$D$3:$D$506,$A27,'Monthly Scorecard'!$B$3:$B$506,L$3,'Monthly Scorecard'!$AC$3:$AC$506,"Entered")=0,"",SUMIFS('Monthly Scorecard'!$AF$3:$AF$506,'Monthly Scorecard'!$D$3:$D$506,$A27,'Monthly Scorecard'!$B$3:$B$506,L$3,'Monthly Scorecard'!$AC$3:$AC$506,"Entered")/COUNTIFS('Monthly Scorecard'!$D$3:$D$506,$A27,'Monthly Scorecard'!$B$3:$B$506,L$3,'Monthly Scorecard'!$AC$3:$AC$506,"Entered"))</f>
        <v/>
      </c>
      <c r="M27" s="6" t="str">
        <f>IF(COUNTIFS('Monthly Scorecard'!$D$3:$D$506,$A27,'Monthly Scorecard'!$B$3:$B$506,M$3,'Monthly Scorecard'!$AC$3:$AC$506,"Entered")=0,"",SUMIFS('Monthly Scorecard'!$AF$3:$AF$506,'Monthly Scorecard'!$D$3:$D$506,$A27,'Monthly Scorecard'!$B$3:$B$506,M$3,'Monthly Scorecard'!$AC$3:$AC$506,"Entered")/COUNTIFS('Monthly Scorecard'!$D$3:$D$506,$A27,'Monthly Scorecard'!$B$3:$B$506,M$3,'Monthly Scorecard'!$AC$3:$AC$506,"Entered"))</f>
        <v/>
      </c>
      <c r="N27" s="6">
        <f t="shared" si="0"/>
        <v>74.150000000000006</v>
      </c>
      <c r="O27" s="8" t="str">
        <f>IF(OR($N27="",$P27=""),"",IFERROR(IF($N27&gt;=VLOOKUP($P27,'Input &amp; Settings'!$F$5:$K$10,3,FALSE),"Outstanding",IF($N27&gt;=VLOOKUP($P27,'Input &amp; Settings'!$F$5:$K$10,4,FALSE),"Exceeds Expectations",IF($N27&gt;=VLOOKUP($P27,'Input &amp; Settings'!$F$5:$K$10,5,FALSE),"Meets Expectations",IF($N27&gt;=VLOOKUP($P27,'Input &amp; Settings'!$F$5:$K$10,6,FALSE),"Needs Improvement","Performance Improvement Required")))),""))</f>
        <v>Exceeds Expectations</v>
      </c>
      <c r="P27" t="str">
        <f>IFERROR(LOOKUP(2,1/(('Monthly Scorecard'!$D$3:$D$506=$A27)*('Monthly Scorecard'!$E$3:$E$506&lt;&gt;"")),'Monthly Scorecard'!$E$3:$E$506),"")</f>
        <v>1st Shift</v>
      </c>
    </row>
    <row r="28" spans="1:16">
      <c r="A28" t="s">
        <v>62</v>
      </c>
      <c r="B28" s="6" t="str">
        <f>IF(COUNTIFS('Monthly Scorecard'!$D$3:$D$506,$A28,'Monthly Scorecard'!$B$3:$B$506,B$3,'Monthly Scorecard'!$AC$3:$AC$506,"Entered")=0,"",SUMIFS('Monthly Scorecard'!$AF$3:$AF$506,'Monthly Scorecard'!$D$3:$D$506,$A28,'Monthly Scorecard'!$B$3:$B$506,B$3,'Monthly Scorecard'!$AC$3:$AC$506,"Entered")/COUNTIFS('Monthly Scorecard'!$D$3:$D$506,$A28,'Monthly Scorecard'!$B$3:$B$506,B$3,'Monthly Scorecard'!$AC$3:$AC$506,"Entered"))</f>
        <v/>
      </c>
      <c r="C28" s="6" t="str">
        <f>IF(COUNTIFS('Monthly Scorecard'!$D$3:$D$506,$A28,'Monthly Scorecard'!$B$3:$B$506,C$3,'Monthly Scorecard'!$AC$3:$AC$506,"Entered")=0,"",SUMIFS('Monthly Scorecard'!$AF$3:$AF$506,'Monthly Scorecard'!$D$3:$D$506,$A28,'Monthly Scorecard'!$B$3:$B$506,C$3,'Monthly Scorecard'!$AC$3:$AC$506,"Entered")/COUNTIFS('Monthly Scorecard'!$D$3:$D$506,$A28,'Monthly Scorecard'!$B$3:$B$506,C$3,'Monthly Scorecard'!$AC$3:$AC$506,"Entered"))</f>
        <v/>
      </c>
      <c r="D28" s="6" t="str">
        <f>IF(COUNTIFS('Monthly Scorecard'!$D$3:$D$506,$A28,'Monthly Scorecard'!$B$3:$B$506,D$3,'Monthly Scorecard'!$AC$3:$AC$506,"Entered")=0,"",SUMIFS('Monthly Scorecard'!$AF$3:$AF$506,'Monthly Scorecard'!$D$3:$D$506,$A28,'Monthly Scorecard'!$B$3:$B$506,D$3,'Monthly Scorecard'!$AC$3:$AC$506,"Entered")/COUNTIFS('Monthly Scorecard'!$D$3:$D$506,$A28,'Monthly Scorecard'!$B$3:$B$506,D$3,'Monthly Scorecard'!$AC$3:$AC$506,"Entered"))</f>
        <v/>
      </c>
      <c r="E28" s="6" t="str">
        <f>IF(COUNTIFS('Monthly Scorecard'!$D$3:$D$506,$A28,'Monthly Scorecard'!$B$3:$B$506,E$3,'Monthly Scorecard'!$AC$3:$AC$506,"Entered")=0,"",SUMIFS('Monthly Scorecard'!$AF$3:$AF$506,'Monthly Scorecard'!$D$3:$D$506,$A28,'Monthly Scorecard'!$B$3:$B$506,E$3,'Monthly Scorecard'!$AC$3:$AC$506,"Entered")/COUNTIFS('Monthly Scorecard'!$D$3:$D$506,$A28,'Monthly Scorecard'!$B$3:$B$506,E$3,'Monthly Scorecard'!$AC$3:$AC$506,"Entered"))</f>
        <v/>
      </c>
      <c r="F28" s="6" t="str">
        <f>IF(COUNTIFS('Monthly Scorecard'!$D$3:$D$506,$A28,'Monthly Scorecard'!$B$3:$B$506,F$3,'Monthly Scorecard'!$AC$3:$AC$506,"Entered")=0,"",SUMIFS('Monthly Scorecard'!$AF$3:$AF$506,'Monthly Scorecard'!$D$3:$D$506,$A28,'Monthly Scorecard'!$B$3:$B$506,F$3,'Monthly Scorecard'!$AC$3:$AC$506,"Entered")/COUNTIFS('Monthly Scorecard'!$D$3:$D$506,$A28,'Monthly Scorecard'!$B$3:$B$506,F$3,'Monthly Scorecard'!$AC$3:$AC$506,"Entered"))</f>
        <v/>
      </c>
      <c r="G28" s="6">
        <f>IF(COUNTIFS('Monthly Scorecard'!$D$3:$D$506,$A28,'Monthly Scorecard'!$B$3:$B$506,G$3,'Monthly Scorecard'!$AC$3:$AC$506,"Entered")=0,"",SUMIFS('Monthly Scorecard'!$AF$3:$AF$506,'Monthly Scorecard'!$D$3:$D$506,$A28,'Monthly Scorecard'!$B$3:$B$506,G$3,'Monthly Scorecard'!$AC$3:$AC$506,"Entered")/COUNTIFS('Monthly Scorecard'!$D$3:$D$506,$A28,'Monthly Scorecard'!$B$3:$B$506,G$3,'Monthly Scorecard'!$AC$3:$AC$506,"Entered"))</f>
        <v>78.599999999999994</v>
      </c>
      <c r="H28" s="6">
        <f>IF(COUNTIFS('Monthly Scorecard'!$D$3:$D$506,$A28,'Monthly Scorecard'!$B$3:$B$506,H$3,'Monthly Scorecard'!$AC$3:$AC$506,"Entered")=0,"",SUMIFS('Monthly Scorecard'!$AF$3:$AF$506,'Monthly Scorecard'!$D$3:$D$506,$A28,'Monthly Scorecard'!$B$3:$B$506,H$3,'Monthly Scorecard'!$AC$3:$AC$506,"Entered")/COUNTIFS('Monthly Scorecard'!$D$3:$D$506,$A28,'Monthly Scorecard'!$B$3:$B$506,H$3,'Monthly Scorecard'!$AC$3:$AC$506,"Entered"))</f>
        <v>75</v>
      </c>
      <c r="I28" s="6" t="str">
        <f>IF(COUNTIFS('Monthly Scorecard'!$D$3:$D$506,$A28,'Monthly Scorecard'!$B$3:$B$506,I$3,'Monthly Scorecard'!$AC$3:$AC$506,"Entered")=0,"",SUMIFS('Monthly Scorecard'!$AF$3:$AF$506,'Monthly Scorecard'!$D$3:$D$506,$A28,'Monthly Scorecard'!$B$3:$B$506,I$3,'Monthly Scorecard'!$AC$3:$AC$506,"Entered")/COUNTIFS('Monthly Scorecard'!$D$3:$D$506,$A28,'Monthly Scorecard'!$B$3:$B$506,I$3,'Monthly Scorecard'!$AC$3:$AC$506,"Entered"))</f>
        <v/>
      </c>
      <c r="J28" s="6" t="str">
        <f>IF(COUNTIFS('Monthly Scorecard'!$D$3:$D$506,$A28,'Monthly Scorecard'!$B$3:$B$506,J$3,'Monthly Scorecard'!$AC$3:$AC$506,"Entered")=0,"",SUMIFS('Monthly Scorecard'!$AF$3:$AF$506,'Monthly Scorecard'!$D$3:$D$506,$A28,'Monthly Scorecard'!$B$3:$B$506,J$3,'Monthly Scorecard'!$AC$3:$AC$506,"Entered")/COUNTIFS('Monthly Scorecard'!$D$3:$D$506,$A28,'Monthly Scorecard'!$B$3:$B$506,J$3,'Monthly Scorecard'!$AC$3:$AC$506,"Entered"))</f>
        <v/>
      </c>
      <c r="K28" s="6" t="str">
        <f>IF(COUNTIFS('Monthly Scorecard'!$D$3:$D$506,$A28,'Monthly Scorecard'!$B$3:$B$506,K$3,'Monthly Scorecard'!$AC$3:$AC$506,"Entered")=0,"",SUMIFS('Monthly Scorecard'!$AF$3:$AF$506,'Monthly Scorecard'!$D$3:$D$506,$A28,'Monthly Scorecard'!$B$3:$B$506,K$3,'Monthly Scorecard'!$AC$3:$AC$506,"Entered")/COUNTIFS('Monthly Scorecard'!$D$3:$D$506,$A28,'Monthly Scorecard'!$B$3:$B$506,K$3,'Monthly Scorecard'!$AC$3:$AC$506,"Entered"))</f>
        <v/>
      </c>
      <c r="L28" s="6" t="str">
        <f>IF(COUNTIFS('Monthly Scorecard'!$D$3:$D$506,$A28,'Monthly Scorecard'!$B$3:$B$506,L$3,'Monthly Scorecard'!$AC$3:$AC$506,"Entered")=0,"",SUMIFS('Monthly Scorecard'!$AF$3:$AF$506,'Monthly Scorecard'!$D$3:$D$506,$A28,'Monthly Scorecard'!$B$3:$B$506,L$3,'Monthly Scorecard'!$AC$3:$AC$506,"Entered")/COUNTIFS('Monthly Scorecard'!$D$3:$D$506,$A28,'Monthly Scorecard'!$B$3:$B$506,L$3,'Monthly Scorecard'!$AC$3:$AC$506,"Entered"))</f>
        <v/>
      </c>
      <c r="M28" s="6" t="str">
        <f>IF(COUNTIFS('Monthly Scorecard'!$D$3:$D$506,$A28,'Monthly Scorecard'!$B$3:$B$506,M$3,'Monthly Scorecard'!$AC$3:$AC$506,"Entered")=0,"",SUMIFS('Monthly Scorecard'!$AF$3:$AF$506,'Monthly Scorecard'!$D$3:$D$506,$A28,'Monthly Scorecard'!$B$3:$B$506,M$3,'Monthly Scorecard'!$AC$3:$AC$506,"Entered")/COUNTIFS('Monthly Scorecard'!$D$3:$D$506,$A28,'Monthly Scorecard'!$B$3:$B$506,M$3,'Monthly Scorecard'!$AC$3:$AC$506,"Entered"))</f>
        <v/>
      </c>
      <c r="N28" s="6">
        <f t="shared" si="0"/>
        <v>76.8</v>
      </c>
      <c r="O28" s="8" t="str">
        <f>IF(OR($N28="",$P28=""),"",IFERROR(IF($N28&gt;=VLOOKUP($P28,'Input &amp; Settings'!$F$5:$K$10,3,FALSE),"Outstanding",IF($N28&gt;=VLOOKUP($P28,'Input &amp; Settings'!$F$5:$K$10,4,FALSE),"Exceeds Expectations",IF($N28&gt;=VLOOKUP($P28,'Input &amp; Settings'!$F$5:$K$10,5,FALSE),"Meets Expectations",IF($N28&gt;=VLOOKUP($P28,'Input &amp; Settings'!$F$5:$K$10,6,FALSE),"Needs Improvement","Performance Improvement Required")))),""))</f>
        <v>Outstanding</v>
      </c>
      <c r="P28" t="str">
        <f>IFERROR(LOOKUP(2,1/(('Monthly Scorecard'!$D$3:$D$506=$A28)*('Monthly Scorecard'!$E$3:$E$506&lt;&gt;"")),'Monthly Scorecard'!$E$3:$E$506),"")</f>
        <v>2nd Shift</v>
      </c>
    </row>
    <row r="29" spans="1:16">
      <c r="A29" t="s">
        <v>63</v>
      </c>
      <c r="B29" s="6" t="str">
        <f>IF(COUNTIFS('Monthly Scorecard'!$D$3:$D$506,$A29,'Monthly Scorecard'!$B$3:$B$506,B$3,'Monthly Scorecard'!$AC$3:$AC$506,"Entered")=0,"",SUMIFS('Monthly Scorecard'!$AF$3:$AF$506,'Monthly Scorecard'!$D$3:$D$506,$A29,'Monthly Scorecard'!$B$3:$B$506,B$3,'Monthly Scorecard'!$AC$3:$AC$506,"Entered")/COUNTIFS('Monthly Scorecard'!$D$3:$D$506,$A29,'Monthly Scorecard'!$B$3:$B$506,B$3,'Monthly Scorecard'!$AC$3:$AC$506,"Entered"))</f>
        <v/>
      </c>
      <c r="C29" s="6" t="str">
        <f>IF(COUNTIFS('Monthly Scorecard'!$D$3:$D$506,$A29,'Monthly Scorecard'!$B$3:$B$506,C$3,'Monthly Scorecard'!$AC$3:$AC$506,"Entered")=0,"",SUMIFS('Monthly Scorecard'!$AF$3:$AF$506,'Monthly Scorecard'!$D$3:$D$506,$A29,'Monthly Scorecard'!$B$3:$B$506,C$3,'Monthly Scorecard'!$AC$3:$AC$506,"Entered")/COUNTIFS('Monthly Scorecard'!$D$3:$D$506,$A29,'Monthly Scorecard'!$B$3:$B$506,C$3,'Monthly Scorecard'!$AC$3:$AC$506,"Entered"))</f>
        <v/>
      </c>
      <c r="D29" s="6" t="str">
        <f>IF(COUNTIFS('Monthly Scorecard'!$D$3:$D$506,$A29,'Monthly Scorecard'!$B$3:$B$506,D$3,'Monthly Scorecard'!$AC$3:$AC$506,"Entered")=0,"",SUMIFS('Monthly Scorecard'!$AF$3:$AF$506,'Monthly Scorecard'!$D$3:$D$506,$A29,'Monthly Scorecard'!$B$3:$B$506,D$3,'Monthly Scorecard'!$AC$3:$AC$506,"Entered")/COUNTIFS('Monthly Scorecard'!$D$3:$D$506,$A29,'Monthly Scorecard'!$B$3:$B$506,D$3,'Monthly Scorecard'!$AC$3:$AC$506,"Entered"))</f>
        <v/>
      </c>
      <c r="E29" s="6" t="str">
        <f>IF(COUNTIFS('Monthly Scorecard'!$D$3:$D$506,$A29,'Monthly Scorecard'!$B$3:$B$506,E$3,'Monthly Scorecard'!$AC$3:$AC$506,"Entered")=0,"",SUMIFS('Monthly Scorecard'!$AF$3:$AF$506,'Monthly Scorecard'!$D$3:$D$506,$A29,'Monthly Scorecard'!$B$3:$B$506,E$3,'Monthly Scorecard'!$AC$3:$AC$506,"Entered")/COUNTIFS('Monthly Scorecard'!$D$3:$D$506,$A29,'Monthly Scorecard'!$B$3:$B$506,E$3,'Monthly Scorecard'!$AC$3:$AC$506,"Entered"))</f>
        <v/>
      </c>
      <c r="F29" s="6" t="str">
        <f>IF(COUNTIFS('Monthly Scorecard'!$D$3:$D$506,$A29,'Monthly Scorecard'!$B$3:$B$506,F$3,'Monthly Scorecard'!$AC$3:$AC$506,"Entered")=0,"",SUMIFS('Monthly Scorecard'!$AF$3:$AF$506,'Monthly Scorecard'!$D$3:$D$506,$A29,'Monthly Scorecard'!$B$3:$B$506,F$3,'Monthly Scorecard'!$AC$3:$AC$506,"Entered")/COUNTIFS('Monthly Scorecard'!$D$3:$D$506,$A29,'Monthly Scorecard'!$B$3:$B$506,F$3,'Monthly Scorecard'!$AC$3:$AC$506,"Entered"))</f>
        <v/>
      </c>
      <c r="G29" s="6">
        <f>IF(COUNTIFS('Monthly Scorecard'!$D$3:$D$506,$A29,'Monthly Scorecard'!$B$3:$B$506,G$3,'Monthly Scorecard'!$AC$3:$AC$506,"Entered")=0,"",SUMIFS('Monthly Scorecard'!$AF$3:$AF$506,'Monthly Scorecard'!$D$3:$D$506,$A29,'Monthly Scorecard'!$B$3:$B$506,G$3,'Monthly Scorecard'!$AC$3:$AC$506,"Entered")/COUNTIFS('Monthly Scorecard'!$D$3:$D$506,$A29,'Monthly Scorecard'!$B$3:$B$506,G$3,'Monthly Scorecard'!$AC$3:$AC$506,"Entered"))</f>
        <v>58.8</v>
      </c>
      <c r="H29" s="6">
        <f>IF(COUNTIFS('Monthly Scorecard'!$D$3:$D$506,$A29,'Monthly Scorecard'!$B$3:$B$506,H$3,'Monthly Scorecard'!$AC$3:$AC$506,"Entered")=0,"",SUMIFS('Monthly Scorecard'!$AF$3:$AF$506,'Monthly Scorecard'!$D$3:$D$506,$A29,'Monthly Scorecard'!$B$3:$B$506,H$3,'Monthly Scorecard'!$AC$3:$AC$506,"Entered")/COUNTIFS('Monthly Scorecard'!$D$3:$D$506,$A29,'Monthly Scorecard'!$B$3:$B$506,H$3,'Monthly Scorecard'!$AC$3:$AC$506,"Entered"))</f>
        <v>64.099999999999994</v>
      </c>
      <c r="I29" s="6" t="str">
        <f>IF(COUNTIFS('Monthly Scorecard'!$D$3:$D$506,$A29,'Monthly Scorecard'!$B$3:$B$506,I$3,'Monthly Scorecard'!$AC$3:$AC$506,"Entered")=0,"",SUMIFS('Monthly Scorecard'!$AF$3:$AF$506,'Monthly Scorecard'!$D$3:$D$506,$A29,'Monthly Scorecard'!$B$3:$B$506,I$3,'Monthly Scorecard'!$AC$3:$AC$506,"Entered")/COUNTIFS('Monthly Scorecard'!$D$3:$D$506,$A29,'Monthly Scorecard'!$B$3:$B$506,I$3,'Monthly Scorecard'!$AC$3:$AC$506,"Entered"))</f>
        <v/>
      </c>
      <c r="J29" s="6" t="str">
        <f>IF(COUNTIFS('Monthly Scorecard'!$D$3:$D$506,$A29,'Monthly Scorecard'!$B$3:$B$506,J$3,'Monthly Scorecard'!$AC$3:$AC$506,"Entered")=0,"",SUMIFS('Monthly Scorecard'!$AF$3:$AF$506,'Monthly Scorecard'!$D$3:$D$506,$A29,'Monthly Scorecard'!$B$3:$B$506,J$3,'Monthly Scorecard'!$AC$3:$AC$506,"Entered")/COUNTIFS('Monthly Scorecard'!$D$3:$D$506,$A29,'Monthly Scorecard'!$B$3:$B$506,J$3,'Monthly Scorecard'!$AC$3:$AC$506,"Entered"))</f>
        <v/>
      </c>
      <c r="K29" s="6" t="str">
        <f>IF(COUNTIFS('Monthly Scorecard'!$D$3:$D$506,$A29,'Monthly Scorecard'!$B$3:$B$506,K$3,'Monthly Scorecard'!$AC$3:$AC$506,"Entered")=0,"",SUMIFS('Monthly Scorecard'!$AF$3:$AF$506,'Monthly Scorecard'!$D$3:$D$506,$A29,'Monthly Scorecard'!$B$3:$B$506,K$3,'Monthly Scorecard'!$AC$3:$AC$506,"Entered")/COUNTIFS('Monthly Scorecard'!$D$3:$D$506,$A29,'Monthly Scorecard'!$B$3:$B$506,K$3,'Monthly Scorecard'!$AC$3:$AC$506,"Entered"))</f>
        <v/>
      </c>
      <c r="L29" s="6" t="str">
        <f>IF(COUNTIFS('Monthly Scorecard'!$D$3:$D$506,$A29,'Monthly Scorecard'!$B$3:$B$506,L$3,'Monthly Scorecard'!$AC$3:$AC$506,"Entered")=0,"",SUMIFS('Monthly Scorecard'!$AF$3:$AF$506,'Monthly Scorecard'!$D$3:$D$506,$A29,'Monthly Scorecard'!$B$3:$B$506,L$3,'Monthly Scorecard'!$AC$3:$AC$506,"Entered")/COUNTIFS('Monthly Scorecard'!$D$3:$D$506,$A29,'Monthly Scorecard'!$B$3:$B$506,L$3,'Monthly Scorecard'!$AC$3:$AC$506,"Entered"))</f>
        <v/>
      </c>
      <c r="M29" s="6" t="str">
        <f>IF(COUNTIFS('Monthly Scorecard'!$D$3:$D$506,$A29,'Monthly Scorecard'!$B$3:$B$506,M$3,'Monthly Scorecard'!$AC$3:$AC$506,"Entered")=0,"",SUMIFS('Monthly Scorecard'!$AF$3:$AF$506,'Monthly Scorecard'!$D$3:$D$506,$A29,'Monthly Scorecard'!$B$3:$B$506,M$3,'Monthly Scorecard'!$AC$3:$AC$506,"Entered")/COUNTIFS('Monthly Scorecard'!$D$3:$D$506,$A29,'Monthly Scorecard'!$B$3:$B$506,M$3,'Monthly Scorecard'!$AC$3:$AC$506,"Entered"))</f>
        <v/>
      </c>
      <c r="N29" s="6">
        <f t="shared" si="0"/>
        <v>61.449999999999996</v>
      </c>
      <c r="O29" s="8" t="str">
        <f>IF(OR($N29="",$P29=""),"",IFERROR(IF($N29&gt;=VLOOKUP($P29,'Input &amp; Settings'!$F$5:$K$10,3,FALSE),"Outstanding",IF($N29&gt;=VLOOKUP($P29,'Input &amp; Settings'!$F$5:$K$10,4,FALSE),"Exceeds Expectations",IF($N29&gt;=VLOOKUP($P29,'Input &amp; Settings'!$F$5:$K$10,5,FALSE),"Meets Expectations",IF($N29&gt;=VLOOKUP($P29,'Input &amp; Settings'!$F$5:$K$10,6,FALSE),"Needs Improvement","Performance Improvement Required")))),""))</f>
        <v>Meets Expectations</v>
      </c>
      <c r="P29" t="str">
        <f>IFERROR(LOOKUP(2,1/(('Monthly Scorecard'!$D$3:$D$506=$A29)*('Monthly Scorecard'!$E$3:$E$506&lt;&gt;"")),'Monthly Scorecard'!$E$3:$E$506),"")</f>
        <v>2nd Shift</v>
      </c>
    </row>
    <row r="30" spans="1:16">
      <c r="A30" t="s">
        <v>64</v>
      </c>
      <c r="B30" s="6" t="str">
        <f>IF(COUNTIFS('Monthly Scorecard'!$D$3:$D$506,$A30,'Monthly Scorecard'!$B$3:$B$506,B$3,'Monthly Scorecard'!$AC$3:$AC$506,"Entered")=0,"",SUMIFS('Monthly Scorecard'!$AF$3:$AF$506,'Monthly Scorecard'!$D$3:$D$506,$A30,'Monthly Scorecard'!$B$3:$B$506,B$3,'Monthly Scorecard'!$AC$3:$AC$506,"Entered")/COUNTIFS('Monthly Scorecard'!$D$3:$D$506,$A30,'Monthly Scorecard'!$B$3:$B$506,B$3,'Monthly Scorecard'!$AC$3:$AC$506,"Entered"))</f>
        <v/>
      </c>
      <c r="C30" s="6" t="str">
        <f>IF(COUNTIFS('Monthly Scorecard'!$D$3:$D$506,$A30,'Monthly Scorecard'!$B$3:$B$506,C$3,'Monthly Scorecard'!$AC$3:$AC$506,"Entered")=0,"",SUMIFS('Monthly Scorecard'!$AF$3:$AF$506,'Monthly Scorecard'!$D$3:$D$506,$A30,'Monthly Scorecard'!$B$3:$B$506,C$3,'Monthly Scorecard'!$AC$3:$AC$506,"Entered")/COUNTIFS('Monthly Scorecard'!$D$3:$D$506,$A30,'Monthly Scorecard'!$B$3:$B$506,C$3,'Monthly Scorecard'!$AC$3:$AC$506,"Entered"))</f>
        <v/>
      </c>
      <c r="D30" s="6" t="str">
        <f>IF(COUNTIFS('Monthly Scorecard'!$D$3:$D$506,$A30,'Monthly Scorecard'!$B$3:$B$506,D$3,'Monthly Scorecard'!$AC$3:$AC$506,"Entered")=0,"",SUMIFS('Monthly Scorecard'!$AF$3:$AF$506,'Monthly Scorecard'!$D$3:$D$506,$A30,'Monthly Scorecard'!$B$3:$B$506,D$3,'Monthly Scorecard'!$AC$3:$AC$506,"Entered")/COUNTIFS('Monthly Scorecard'!$D$3:$D$506,$A30,'Monthly Scorecard'!$B$3:$B$506,D$3,'Monthly Scorecard'!$AC$3:$AC$506,"Entered"))</f>
        <v/>
      </c>
      <c r="E30" s="6" t="str">
        <f>IF(COUNTIFS('Monthly Scorecard'!$D$3:$D$506,$A30,'Monthly Scorecard'!$B$3:$B$506,E$3,'Monthly Scorecard'!$AC$3:$AC$506,"Entered")=0,"",SUMIFS('Monthly Scorecard'!$AF$3:$AF$506,'Monthly Scorecard'!$D$3:$D$506,$A30,'Monthly Scorecard'!$B$3:$B$506,E$3,'Monthly Scorecard'!$AC$3:$AC$506,"Entered")/COUNTIFS('Monthly Scorecard'!$D$3:$D$506,$A30,'Monthly Scorecard'!$B$3:$B$506,E$3,'Monthly Scorecard'!$AC$3:$AC$506,"Entered"))</f>
        <v/>
      </c>
      <c r="F30" s="6" t="str">
        <f>IF(COUNTIFS('Monthly Scorecard'!$D$3:$D$506,$A30,'Monthly Scorecard'!$B$3:$B$506,F$3,'Monthly Scorecard'!$AC$3:$AC$506,"Entered")=0,"",SUMIFS('Monthly Scorecard'!$AF$3:$AF$506,'Monthly Scorecard'!$D$3:$D$506,$A30,'Monthly Scorecard'!$B$3:$B$506,F$3,'Monthly Scorecard'!$AC$3:$AC$506,"Entered")/COUNTIFS('Monthly Scorecard'!$D$3:$D$506,$A30,'Monthly Scorecard'!$B$3:$B$506,F$3,'Monthly Scorecard'!$AC$3:$AC$506,"Entered"))</f>
        <v/>
      </c>
      <c r="G30" s="6">
        <f>IF(COUNTIFS('Monthly Scorecard'!$D$3:$D$506,$A30,'Monthly Scorecard'!$B$3:$B$506,G$3,'Monthly Scorecard'!$AC$3:$AC$506,"Entered")=0,"",SUMIFS('Monthly Scorecard'!$AF$3:$AF$506,'Monthly Scorecard'!$D$3:$D$506,$A30,'Monthly Scorecard'!$B$3:$B$506,G$3,'Monthly Scorecard'!$AC$3:$AC$506,"Entered")/COUNTIFS('Monthly Scorecard'!$D$3:$D$506,$A30,'Monthly Scorecard'!$B$3:$B$506,G$3,'Monthly Scorecard'!$AC$3:$AC$506,"Entered"))</f>
        <v>71</v>
      </c>
      <c r="H30" s="6">
        <f>IF(COUNTIFS('Monthly Scorecard'!$D$3:$D$506,$A30,'Monthly Scorecard'!$B$3:$B$506,H$3,'Monthly Scorecard'!$AC$3:$AC$506,"Entered")=0,"",SUMIFS('Monthly Scorecard'!$AF$3:$AF$506,'Monthly Scorecard'!$D$3:$D$506,$A30,'Monthly Scorecard'!$B$3:$B$506,H$3,'Monthly Scorecard'!$AC$3:$AC$506,"Entered")/COUNTIFS('Monthly Scorecard'!$D$3:$D$506,$A30,'Monthly Scorecard'!$B$3:$B$506,H$3,'Monthly Scorecard'!$AC$3:$AC$506,"Entered"))</f>
        <v>67.2</v>
      </c>
      <c r="I30" s="6" t="str">
        <f>IF(COUNTIFS('Monthly Scorecard'!$D$3:$D$506,$A30,'Monthly Scorecard'!$B$3:$B$506,I$3,'Monthly Scorecard'!$AC$3:$AC$506,"Entered")=0,"",SUMIFS('Monthly Scorecard'!$AF$3:$AF$506,'Monthly Scorecard'!$D$3:$D$506,$A30,'Monthly Scorecard'!$B$3:$B$506,I$3,'Monthly Scorecard'!$AC$3:$AC$506,"Entered")/COUNTIFS('Monthly Scorecard'!$D$3:$D$506,$A30,'Monthly Scorecard'!$B$3:$B$506,I$3,'Monthly Scorecard'!$AC$3:$AC$506,"Entered"))</f>
        <v/>
      </c>
      <c r="J30" s="6" t="str">
        <f>IF(COUNTIFS('Monthly Scorecard'!$D$3:$D$506,$A30,'Monthly Scorecard'!$B$3:$B$506,J$3,'Monthly Scorecard'!$AC$3:$AC$506,"Entered")=0,"",SUMIFS('Monthly Scorecard'!$AF$3:$AF$506,'Monthly Scorecard'!$D$3:$D$506,$A30,'Monthly Scorecard'!$B$3:$B$506,J$3,'Monthly Scorecard'!$AC$3:$AC$506,"Entered")/COUNTIFS('Monthly Scorecard'!$D$3:$D$506,$A30,'Monthly Scorecard'!$B$3:$B$506,J$3,'Monthly Scorecard'!$AC$3:$AC$506,"Entered"))</f>
        <v/>
      </c>
      <c r="K30" s="6" t="str">
        <f>IF(COUNTIFS('Monthly Scorecard'!$D$3:$D$506,$A30,'Monthly Scorecard'!$B$3:$B$506,K$3,'Monthly Scorecard'!$AC$3:$AC$506,"Entered")=0,"",SUMIFS('Monthly Scorecard'!$AF$3:$AF$506,'Monthly Scorecard'!$D$3:$D$506,$A30,'Monthly Scorecard'!$B$3:$B$506,K$3,'Monthly Scorecard'!$AC$3:$AC$506,"Entered")/COUNTIFS('Monthly Scorecard'!$D$3:$D$506,$A30,'Monthly Scorecard'!$B$3:$B$506,K$3,'Monthly Scorecard'!$AC$3:$AC$506,"Entered"))</f>
        <v/>
      </c>
      <c r="L30" s="6" t="str">
        <f>IF(COUNTIFS('Monthly Scorecard'!$D$3:$D$506,$A30,'Monthly Scorecard'!$B$3:$B$506,L$3,'Monthly Scorecard'!$AC$3:$AC$506,"Entered")=0,"",SUMIFS('Monthly Scorecard'!$AF$3:$AF$506,'Monthly Scorecard'!$D$3:$D$506,$A30,'Monthly Scorecard'!$B$3:$B$506,L$3,'Monthly Scorecard'!$AC$3:$AC$506,"Entered")/COUNTIFS('Monthly Scorecard'!$D$3:$D$506,$A30,'Monthly Scorecard'!$B$3:$B$506,L$3,'Monthly Scorecard'!$AC$3:$AC$506,"Entered"))</f>
        <v/>
      </c>
      <c r="M30" s="6" t="str">
        <f>IF(COUNTIFS('Monthly Scorecard'!$D$3:$D$506,$A30,'Monthly Scorecard'!$B$3:$B$506,M$3,'Monthly Scorecard'!$AC$3:$AC$506,"Entered")=0,"",SUMIFS('Monthly Scorecard'!$AF$3:$AF$506,'Monthly Scorecard'!$D$3:$D$506,$A30,'Monthly Scorecard'!$B$3:$B$506,M$3,'Monthly Scorecard'!$AC$3:$AC$506,"Entered")/COUNTIFS('Monthly Scorecard'!$D$3:$D$506,$A30,'Monthly Scorecard'!$B$3:$B$506,M$3,'Monthly Scorecard'!$AC$3:$AC$506,"Entered"))</f>
        <v/>
      </c>
      <c r="N30" s="6">
        <f t="shared" si="0"/>
        <v>69.099999999999994</v>
      </c>
      <c r="O30" s="8" t="str">
        <f>IF(OR($N30="",$P30=""),"",IFERROR(IF($N30&gt;=VLOOKUP($P30,'Input &amp; Settings'!$F$5:$K$10,3,FALSE),"Outstanding",IF($N30&gt;=VLOOKUP($P30,'Input &amp; Settings'!$F$5:$K$10,4,FALSE),"Exceeds Expectations",IF($N30&gt;=VLOOKUP($P30,'Input &amp; Settings'!$F$5:$K$10,5,FALSE),"Meets Expectations",IF($N30&gt;=VLOOKUP($P30,'Input &amp; Settings'!$F$5:$K$10,6,FALSE),"Needs Improvement","Performance Improvement Required")))),""))</f>
        <v>Exceeds Expectations</v>
      </c>
      <c r="P30" t="str">
        <f>IFERROR(LOOKUP(2,1/(('Monthly Scorecard'!$D$3:$D$506=$A30)*('Monthly Scorecard'!$E$3:$E$506&lt;&gt;"")),'Monthly Scorecard'!$E$3:$E$506),"")</f>
        <v>3rd Shift</v>
      </c>
    </row>
    <row r="31" spans="1:16">
      <c r="A31" t="s">
        <v>65</v>
      </c>
      <c r="B31" s="6" t="str">
        <f>IF(COUNTIFS('Monthly Scorecard'!$D$3:$D$506,$A31,'Monthly Scorecard'!$B$3:$B$506,B$3,'Monthly Scorecard'!$AC$3:$AC$506,"Entered")=0,"",SUMIFS('Monthly Scorecard'!$AF$3:$AF$506,'Monthly Scorecard'!$D$3:$D$506,$A31,'Monthly Scorecard'!$B$3:$B$506,B$3,'Monthly Scorecard'!$AC$3:$AC$506,"Entered")/COUNTIFS('Monthly Scorecard'!$D$3:$D$506,$A31,'Monthly Scorecard'!$B$3:$B$506,B$3,'Monthly Scorecard'!$AC$3:$AC$506,"Entered"))</f>
        <v/>
      </c>
      <c r="C31" s="6" t="str">
        <f>IF(COUNTIFS('Monthly Scorecard'!$D$3:$D$506,$A31,'Monthly Scorecard'!$B$3:$B$506,C$3,'Monthly Scorecard'!$AC$3:$AC$506,"Entered")=0,"",SUMIFS('Monthly Scorecard'!$AF$3:$AF$506,'Monthly Scorecard'!$D$3:$D$506,$A31,'Monthly Scorecard'!$B$3:$B$506,C$3,'Monthly Scorecard'!$AC$3:$AC$506,"Entered")/COUNTIFS('Monthly Scorecard'!$D$3:$D$506,$A31,'Monthly Scorecard'!$B$3:$B$506,C$3,'Monthly Scorecard'!$AC$3:$AC$506,"Entered"))</f>
        <v/>
      </c>
      <c r="D31" s="6" t="str">
        <f>IF(COUNTIFS('Monthly Scorecard'!$D$3:$D$506,$A31,'Monthly Scorecard'!$B$3:$B$506,D$3,'Monthly Scorecard'!$AC$3:$AC$506,"Entered")=0,"",SUMIFS('Monthly Scorecard'!$AF$3:$AF$506,'Monthly Scorecard'!$D$3:$D$506,$A31,'Monthly Scorecard'!$B$3:$B$506,D$3,'Monthly Scorecard'!$AC$3:$AC$506,"Entered")/COUNTIFS('Monthly Scorecard'!$D$3:$D$506,$A31,'Monthly Scorecard'!$B$3:$B$506,D$3,'Monthly Scorecard'!$AC$3:$AC$506,"Entered"))</f>
        <v/>
      </c>
      <c r="E31" s="6" t="str">
        <f>IF(COUNTIFS('Monthly Scorecard'!$D$3:$D$506,$A31,'Monthly Scorecard'!$B$3:$B$506,E$3,'Monthly Scorecard'!$AC$3:$AC$506,"Entered")=0,"",SUMIFS('Monthly Scorecard'!$AF$3:$AF$506,'Monthly Scorecard'!$D$3:$D$506,$A31,'Monthly Scorecard'!$B$3:$B$506,E$3,'Monthly Scorecard'!$AC$3:$AC$506,"Entered")/COUNTIFS('Monthly Scorecard'!$D$3:$D$506,$A31,'Monthly Scorecard'!$B$3:$B$506,E$3,'Monthly Scorecard'!$AC$3:$AC$506,"Entered"))</f>
        <v/>
      </c>
      <c r="F31" s="6" t="str">
        <f>IF(COUNTIFS('Monthly Scorecard'!$D$3:$D$506,$A31,'Monthly Scorecard'!$B$3:$B$506,F$3,'Monthly Scorecard'!$AC$3:$AC$506,"Entered")=0,"",SUMIFS('Monthly Scorecard'!$AF$3:$AF$506,'Monthly Scorecard'!$D$3:$D$506,$A31,'Monthly Scorecard'!$B$3:$B$506,F$3,'Monthly Scorecard'!$AC$3:$AC$506,"Entered")/COUNTIFS('Monthly Scorecard'!$D$3:$D$506,$A31,'Monthly Scorecard'!$B$3:$B$506,F$3,'Monthly Scorecard'!$AC$3:$AC$506,"Entered"))</f>
        <v/>
      </c>
      <c r="G31" s="6">
        <f>IF(COUNTIFS('Monthly Scorecard'!$D$3:$D$506,$A31,'Monthly Scorecard'!$B$3:$B$506,G$3,'Monthly Scorecard'!$AC$3:$AC$506,"Entered")=0,"",SUMIFS('Monthly Scorecard'!$AF$3:$AF$506,'Monthly Scorecard'!$D$3:$D$506,$A31,'Monthly Scorecard'!$B$3:$B$506,G$3,'Monthly Scorecard'!$AC$3:$AC$506,"Entered")/COUNTIFS('Monthly Scorecard'!$D$3:$D$506,$A31,'Monthly Scorecard'!$B$3:$B$506,G$3,'Monthly Scorecard'!$AC$3:$AC$506,"Entered"))</f>
        <v>84.1</v>
      </c>
      <c r="H31" s="6">
        <f>IF(COUNTIFS('Monthly Scorecard'!$D$3:$D$506,$A31,'Monthly Scorecard'!$B$3:$B$506,H$3,'Monthly Scorecard'!$AC$3:$AC$506,"Entered")=0,"",SUMIFS('Monthly Scorecard'!$AF$3:$AF$506,'Monthly Scorecard'!$D$3:$D$506,$A31,'Monthly Scorecard'!$B$3:$B$506,H$3,'Monthly Scorecard'!$AC$3:$AC$506,"Entered")/COUNTIFS('Monthly Scorecard'!$D$3:$D$506,$A31,'Monthly Scorecard'!$B$3:$B$506,H$3,'Monthly Scorecard'!$AC$3:$AC$506,"Entered"))</f>
        <v>75.7</v>
      </c>
      <c r="I31" s="6" t="str">
        <f>IF(COUNTIFS('Monthly Scorecard'!$D$3:$D$506,$A31,'Monthly Scorecard'!$B$3:$B$506,I$3,'Monthly Scorecard'!$AC$3:$AC$506,"Entered")=0,"",SUMIFS('Monthly Scorecard'!$AF$3:$AF$506,'Monthly Scorecard'!$D$3:$D$506,$A31,'Monthly Scorecard'!$B$3:$B$506,I$3,'Monthly Scorecard'!$AC$3:$AC$506,"Entered")/COUNTIFS('Monthly Scorecard'!$D$3:$D$506,$A31,'Monthly Scorecard'!$B$3:$B$506,I$3,'Monthly Scorecard'!$AC$3:$AC$506,"Entered"))</f>
        <v/>
      </c>
      <c r="J31" s="6" t="str">
        <f>IF(COUNTIFS('Monthly Scorecard'!$D$3:$D$506,$A31,'Monthly Scorecard'!$B$3:$B$506,J$3,'Monthly Scorecard'!$AC$3:$AC$506,"Entered")=0,"",SUMIFS('Monthly Scorecard'!$AF$3:$AF$506,'Monthly Scorecard'!$D$3:$D$506,$A31,'Monthly Scorecard'!$B$3:$B$506,J$3,'Monthly Scorecard'!$AC$3:$AC$506,"Entered")/COUNTIFS('Monthly Scorecard'!$D$3:$D$506,$A31,'Monthly Scorecard'!$B$3:$B$506,J$3,'Monthly Scorecard'!$AC$3:$AC$506,"Entered"))</f>
        <v/>
      </c>
      <c r="K31" s="6" t="str">
        <f>IF(COUNTIFS('Monthly Scorecard'!$D$3:$D$506,$A31,'Monthly Scorecard'!$B$3:$B$506,K$3,'Monthly Scorecard'!$AC$3:$AC$506,"Entered")=0,"",SUMIFS('Monthly Scorecard'!$AF$3:$AF$506,'Monthly Scorecard'!$D$3:$D$506,$A31,'Monthly Scorecard'!$B$3:$B$506,K$3,'Monthly Scorecard'!$AC$3:$AC$506,"Entered")/COUNTIFS('Monthly Scorecard'!$D$3:$D$506,$A31,'Monthly Scorecard'!$B$3:$B$506,K$3,'Monthly Scorecard'!$AC$3:$AC$506,"Entered"))</f>
        <v/>
      </c>
      <c r="L31" s="6" t="str">
        <f>IF(COUNTIFS('Monthly Scorecard'!$D$3:$D$506,$A31,'Monthly Scorecard'!$B$3:$B$506,L$3,'Monthly Scorecard'!$AC$3:$AC$506,"Entered")=0,"",SUMIFS('Monthly Scorecard'!$AF$3:$AF$506,'Monthly Scorecard'!$D$3:$D$506,$A31,'Monthly Scorecard'!$B$3:$B$506,L$3,'Monthly Scorecard'!$AC$3:$AC$506,"Entered")/COUNTIFS('Monthly Scorecard'!$D$3:$D$506,$A31,'Monthly Scorecard'!$B$3:$B$506,L$3,'Monthly Scorecard'!$AC$3:$AC$506,"Entered"))</f>
        <v/>
      </c>
      <c r="M31" s="6" t="str">
        <f>IF(COUNTIFS('Monthly Scorecard'!$D$3:$D$506,$A31,'Monthly Scorecard'!$B$3:$B$506,M$3,'Monthly Scorecard'!$AC$3:$AC$506,"Entered")=0,"",SUMIFS('Monthly Scorecard'!$AF$3:$AF$506,'Monthly Scorecard'!$D$3:$D$506,$A31,'Monthly Scorecard'!$B$3:$B$506,M$3,'Monthly Scorecard'!$AC$3:$AC$506,"Entered")/COUNTIFS('Monthly Scorecard'!$D$3:$D$506,$A31,'Monthly Scorecard'!$B$3:$B$506,M$3,'Monthly Scorecard'!$AC$3:$AC$506,"Entered"))</f>
        <v/>
      </c>
      <c r="N31" s="6">
        <f t="shared" si="0"/>
        <v>79.900000000000006</v>
      </c>
      <c r="O31" s="8" t="str">
        <f>IF(OR($N31="",$P31=""),"",IFERROR(IF($N31&gt;=VLOOKUP($P31,'Input &amp; Settings'!$F$5:$K$10,3,FALSE),"Outstanding",IF($N31&gt;=VLOOKUP($P31,'Input &amp; Settings'!$F$5:$K$10,4,FALSE),"Exceeds Expectations",IF($N31&gt;=VLOOKUP($P31,'Input &amp; Settings'!$F$5:$K$10,5,FALSE),"Meets Expectations",IF($N31&gt;=VLOOKUP($P31,'Input &amp; Settings'!$F$5:$K$10,6,FALSE),"Needs Improvement","Performance Improvement Required")))),""))</f>
        <v>Exceeds Expectations</v>
      </c>
      <c r="P31" t="str">
        <f>IFERROR(LOOKUP(2,1/(('Monthly Scorecard'!$D$3:$D$506=$A31)*('Monthly Scorecard'!$E$3:$E$506&lt;&gt;"")),'Monthly Scorecard'!$E$3:$E$506),"")</f>
        <v>1st Shift</v>
      </c>
    </row>
    <row r="32" spans="1:16">
      <c r="A32" t="s">
        <v>66</v>
      </c>
      <c r="B32" s="6" t="str">
        <f>IF(COUNTIFS('Monthly Scorecard'!$D$3:$D$506,$A32,'Monthly Scorecard'!$B$3:$B$506,B$3,'Monthly Scorecard'!$AC$3:$AC$506,"Entered")=0,"",SUMIFS('Monthly Scorecard'!$AF$3:$AF$506,'Monthly Scorecard'!$D$3:$D$506,$A32,'Monthly Scorecard'!$B$3:$B$506,B$3,'Monthly Scorecard'!$AC$3:$AC$506,"Entered")/COUNTIFS('Monthly Scorecard'!$D$3:$D$506,$A32,'Monthly Scorecard'!$B$3:$B$506,B$3,'Monthly Scorecard'!$AC$3:$AC$506,"Entered"))</f>
        <v/>
      </c>
      <c r="C32" s="6" t="str">
        <f>IF(COUNTIFS('Monthly Scorecard'!$D$3:$D$506,$A32,'Monthly Scorecard'!$B$3:$B$506,C$3,'Monthly Scorecard'!$AC$3:$AC$506,"Entered")=0,"",SUMIFS('Monthly Scorecard'!$AF$3:$AF$506,'Monthly Scorecard'!$D$3:$D$506,$A32,'Monthly Scorecard'!$B$3:$B$506,C$3,'Monthly Scorecard'!$AC$3:$AC$506,"Entered")/COUNTIFS('Monthly Scorecard'!$D$3:$D$506,$A32,'Monthly Scorecard'!$B$3:$B$506,C$3,'Monthly Scorecard'!$AC$3:$AC$506,"Entered"))</f>
        <v/>
      </c>
      <c r="D32" s="6" t="str">
        <f>IF(COUNTIFS('Monthly Scorecard'!$D$3:$D$506,$A32,'Monthly Scorecard'!$B$3:$B$506,D$3,'Monthly Scorecard'!$AC$3:$AC$506,"Entered")=0,"",SUMIFS('Monthly Scorecard'!$AF$3:$AF$506,'Monthly Scorecard'!$D$3:$D$506,$A32,'Monthly Scorecard'!$B$3:$B$506,D$3,'Monthly Scorecard'!$AC$3:$AC$506,"Entered")/COUNTIFS('Monthly Scorecard'!$D$3:$D$506,$A32,'Monthly Scorecard'!$B$3:$B$506,D$3,'Monthly Scorecard'!$AC$3:$AC$506,"Entered"))</f>
        <v/>
      </c>
      <c r="E32" s="6" t="str">
        <f>IF(COUNTIFS('Monthly Scorecard'!$D$3:$D$506,$A32,'Monthly Scorecard'!$B$3:$B$506,E$3,'Monthly Scorecard'!$AC$3:$AC$506,"Entered")=0,"",SUMIFS('Monthly Scorecard'!$AF$3:$AF$506,'Monthly Scorecard'!$D$3:$D$506,$A32,'Monthly Scorecard'!$B$3:$B$506,E$3,'Monthly Scorecard'!$AC$3:$AC$506,"Entered")/COUNTIFS('Monthly Scorecard'!$D$3:$D$506,$A32,'Monthly Scorecard'!$B$3:$B$506,E$3,'Monthly Scorecard'!$AC$3:$AC$506,"Entered"))</f>
        <v/>
      </c>
      <c r="F32" s="6" t="str">
        <f>IF(COUNTIFS('Monthly Scorecard'!$D$3:$D$506,$A32,'Monthly Scorecard'!$B$3:$B$506,F$3,'Monthly Scorecard'!$AC$3:$AC$506,"Entered")=0,"",SUMIFS('Monthly Scorecard'!$AF$3:$AF$506,'Monthly Scorecard'!$D$3:$D$506,$A32,'Monthly Scorecard'!$B$3:$B$506,F$3,'Monthly Scorecard'!$AC$3:$AC$506,"Entered")/COUNTIFS('Monthly Scorecard'!$D$3:$D$506,$A32,'Monthly Scorecard'!$B$3:$B$506,F$3,'Monthly Scorecard'!$AC$3:$AC$506,"Entered"))</f>
        <v/>
      </c>
      <c r="G32" s="6">
        <f>IF(COUNTIFS('Monthly Scorecard'!$D$3:$D$506,$A32,'Monthly Scorecard'!$B$3:$B$506,G$3,'Monthly Scorecard'!$AC$3:$AC$506,"Entered")=0,"",SUMIFS('Monthly Scorecard'!$AF$3:$AF$506,'Monthly Scorecard'!$D$3:$D$506,$A32,'Monthly Scorecard'!$B$3:$B$506,G$3,'Monthly Scorecard'!$AC$3:$AC$506,"Entered")/COUNTIFS('Monthly Scorecard'!$D$3:$D$506,$A32,'Monthly Scorecard'!$B$3:$B$506,G$3,'Monthly Scorecard'!$AC$3:$AC$506,"Entered"))</f>
        <v>61.6</v>
      </c>
      <c r="H32" s="6">
        <f>IF(COUNTIFS('Monthly Scorecard'!$D$3:$D$506,$A32,'Monthly Scorecard'!$B$3:$B$506,H$3,'Monthly Scorecard'!$AC$3:$AC$506,"Entered")=0,"",SUMIFS('Monthly Scorecard'!$AF$3:$AF$506,'Monthly Scorecard'!$D$3:$D$506,$A32,'Monthly Scorecard'!$B$3:$B$506,H$3,'Monthly Scorecard'!$AC$3:$AC$506,"Entered")/COUNTIFS('Monthly Scorecard'!$D$3:$D$506,$A32,'Monthly Scorecard'!$B$3:$B$506,H$3,'Monthly Scorecard'!$AC$3:$AC$506,"Entered"))</f>
        <v>76.3</v>
      </c>
      <c r="I32" s="6" t="str">
        <f>IF(COUNTIFS('Monthly Scorecard'!$D$3:$D$506,$A32,'Monthly Scorecard'!$B$3:$B$506,I$3,'Monthly Scorecard'!$AC$3:$AC$506,"Entered")=0,"",SUMIFS('Monthly Scorecard'!$AF$3:$AF$506,'Monthly Scorecard'!$D$3:$D$506,$A32,'Monthly Scorecard'!$B$3:$B$506,I$3,'Monthly Scorecard'!$AC$3:$AC$506,"Entered")/COUNTIFS('Monthly Scorecard'!$D$3:$D$506,$A32,'Monthly Scorecard'!$B$3:$B$506,I$3,'Monthly Scorecard'!$AC$3:$AC$506,"Entered"))</f>
        <v/>
      </c>
      <c r="J32" s="6" t="str">
        <f>IF(COUNTIFS('Monthly Scorecard'!$D$3:$D$506,$A32,'Monthly Scorecard'!$B$3:$B$506,J$3,'Monthly Scorecard'!$AC$3:$AC$506,"Entered")=0,"",SUMIFS('Monthly Scorecard'!$AF$3:$AF$506,'Monthly Scorecard'!$D$3:$D$506,$A32,'Monthly Scorecard'!$B$3:$B$506,J$3,'Monthly Scorecard'!$AC$3:$AC$506,"Entered")/COUNTIFS('Monthly Scorecard'!$D$3:$D$506,$A32,'Monthly Scorecard'!$B$3:$B$506,J$3,'Monthly Scorecard'!$AC$3:$AC$506,"Entered"))</f>
        <v/>
      </c>
      <c r="K32" s="6" t="str">
        <f>IF(COUNTIFS('Monthly Scorecard'!$D$3:$D$506,$A32,'Monthly Scorecard'!$B$3:$B$506,K$3,'Monthly Scorecard'!$AC$3:$AC$506,"Entered")=0,"",SUMIFS('Monthly Scorecard'!$AF$3:$AF$506,'Monthly Scorecard'!$D$3:$D$506,$A32,'Monthly Scorecard'!$B$3:$B$506,K$3,'Monthly Scorecard'!$AC$3:$AC$506,"Entered")/COUNTIFS('Monthly Scorecard'!$D$3:$D$506,$A32,'Monthly Scorecard'!$B$3:$B$506,K$3,'Monthly Scorecard'!$AC$3:$AC$506,"Entered"))</f>
        <v/>
      </c>
      <c r="L32" s="6" t="str">
        <f>IF(COUNTIFS('Monthly Scorecard'!$D$3:$D$506,$A32,'Monthly Scorecard'!$B$3:$B$506,L$3,'Monthly Scorecard'!$AC$3:$AC$506,"Entered")=0,"",SUMIFS('Monthly Scorecard'!$AF$3:$AF$506,'Monthly Scorecard'!$D$3:$D$506,$A32,'Monthly Scorecard'!$B$3:$B$506,L$3,'Monthly Scorecard'!$AC$3:$AC$506,"Entered")/COUNTIFS('Monthly Scorecard'!$D$3:$D$506,$A32,'Monthly Scorecard'!$B$3:$B$506,L$3,'Monthly Scorecard'!$AC$3:$AC$506,"Entered"))</f>
        <v/>
      </c>
      <c r="M32" s="6" t="str">
        <f>IF(COUNTIFS('Monthly Scorecard'!$D$3:$D$506,$A32,'Monthly Scorecard'!$B$3:$B$506,M$3,'Monthly Scorecard'!$AC$3:$AC$506,"Entered")=0,"",SUMIFS('Monthly Scorecard'!$AF$3:$AF$506,'Monthly Scorecard'!$D$3:$D$506,$A32,'Monthly Scorecard'!$B$3:$B$506,M$3,'Monthly Scorecard'!$AC$3:$AC$506,"Entered")/COUNTIFS('Monthly Scorecard'!$D$3:$D$506,$A32,'Monthly Scorecard'!$B$3:$B$506,M$3,'Monthly Scorecard'!$AC$3:$AC$506,"Entered"))</f>
        <v/>
      </c>
      <c r="N32" s="6">
        <f t="shared" si="0"/>
        <v>68.95</v>
      </c>
      <c r="O32" s="8" t="str">
        <f>IF(OR($N32="",$P32=""),"",IFERROR(IF($N32&gt;=VLOOKUP($P32,'Input &amp; Settings'!$F$5:$K$10,3,FALSE),"Outstanding",IF($N32&gt;=VLOOKUP($P32,'Input &amp; Settings'!$F$5:$K$10,4,FALSE),"Exceeds Expectations",IF($N32&gt;=VLOOKUP($P32,'Input &amp; Settings'!$F$5:$K$10,5,FALSE),"Meets Expectations",IF($N32&gt;=VLOOKUP($P32,'Input &amp; Settings'!$F$5:$K$10,6,FALSE),"Needs Improvement","Performance Improvement Required")))),""))</f>
        <v>Exceeds Expectations</v>
      </c>
      <c r="P32" t="str">
        <f>IFERROR(LOOKUP(2,1/(('Monthly Scorecard'!$D$3:$D$506=$A32)*('Monthly Scorecard'!$E$3:$E$506&lt;&gt;"")),'Monthly Scorecard'!$E$3:$E$506),"")</f>
        <v>2nd Shift</v>
      </c>
    </row>
    <row r="33" spans="1:16">
      <c r="A33" t="s">
        <v>67</v>
      </c>
      <c r="B33" s="6" t="str">
        <f>IF(COUNTIFS('Monthly Scorecard'!$D$3:$D$506,$A33,'Monthly Scorecard'!$B$3:$B$506,B$3,'Monthly Scorecard'!$AC$3:$AC$506,"Entered")=0,"",SUMIFS('Monthly Scorecard'!$AF$3:$AF$506,'Monthly Scorecard'!$D$3:$D$506,$A33,'Monthly Scorecard'!$B$3:$B$506,B$3,'Monthly Scorecard'!$AC$3:$AC$506,"Entered")/COUNTIFS('Monthly Scorecard'!$D$3:$D$506,$A33,'Monthly Scorecard'!$B$3:$B$506,B$3,'Monthly Scorecard'!$AC$3:$AC$506,"Entered"))</f>
        <v/>
      </c>
      <c r="C33" s="6" t="str">
        <f>IF(COUNTIFS('Monthly Scorecard'!$D$3:$D$506,$A33,'Monthly Scorecard'!$B$3:$B$506,C$3,'Monthly Scorecard'!$AC$3:$AC$506,"Entered")=0,"",SUMIFS('Monthly Scorecard'!$AF$3:$AF$506,'Monthly Scorecard'!$D$3:$D$506,$A33,'Monthly Scorecard'!$B$3:$B$506,C$3,'Monthly Scorecard'!$AC$3:$AC$506,"Entered")/COUNTIFS('Monthly Scorecard'!$D$3:$D$506,$A33,'Monthly Scorecard'!$B$3:$B$506,C$3,'Monthly Scorecard'!$AC$3:$AC$506,"Entered"))</f>
        <v/>
      </c>
      <c r="D33" s="6" t="str">
        <f>IF(COUNTIFS('Monthly Scorecard'!$D$3:$D$506,$A33,'Monthly Scorecard'!$B$3:$B$506,D$3,'Monthly Scorecard'!$AC$3:$AC$506,"Entered")=0,"",SUMIFS('Monthly Scorecard'!$AF$3:$AF$506,'Monthly Scorecard'!$D$3:$D$506,$A33,'Monthly Scorecard'!$B$3:$B$506,D$3,'Monthly Scorecard'!$AC$3:$AC$506,"Entered")/COUNTIFS('Monthly Scorecard'!$D$3:$D$506,$A33,'Monthly Scorecard'!$B$3:$B$506,D$3,'Monthly Scorecard'!$AC$3:$AC$506,"Entered"))</f>
        <v/>
      </c>
      <c r="E33" s="6" t="str">
        <f>IF(COUNTIFS('Monthly Scorecard'!$D$3:$D$506,$A33,'Monthly Scorecard'!$B$3:$B$506,E$3,'Monthly Scorecard'!$AC$3:$AC$506,"Entered")=0,"",SUMIFS('Monthly Scorecard'!$AF$3:$AF$506,'Monthly Scorecard'!$D$3:$D$506,$A33,'Monthly Scorecard'!$B$3:$B$506,E$3,'Monthly Scorecard'!$AC$3:$AC$506,"Entered")/COUNTIFS('Monthly Scorecard'!$D$3:$D$506,$A33,'Monthly Scorecard'!$B$3:$B$506,E$3,'Monthly Scorecard'!$AC$3:$AC$506,"Entered"))</f>
        <v/>
      </c>
      <c r="F33" s="6" t="str">
        <f>IF(COUNTIFS('Monthly Scorecard'!$D$3:$D$506,$A33,'Monthly Scorecard'!$B$3:$B$506,F$3,'Monthly Scorecard'!$AC$3:$AC$506,"Entered")=0,"",SUMIFS('Monthly Scorecard'!$AF$3:$AF$506,'Monthly Scorecard'!$D$3:$D$506,$A33,'Monthly Scorecard'!$B$3:$B$506,F$3,'Monthly Scorecard'!$AC$3:$AC$506,"Entered")/COUNTIFS('Monthly Scorecard'!$D$3:$D$506,$A33,'Monthly Scorecard'!$B$3:$B$506,F$3,'Monthly Scorecard'!$AC$3:$AC$506,"Entered"))</f>
        <v/>
      </c>
      <c r="G33" s="6" t="str">
        <f>IF(COUNTIFS('Monthly Scorecard'!$D$3:$D$506,$A33,'Monthly Scorecard'!$B$3:$B$506,G$3,'Monthly Scorecard'!$AC$3:$AC$506,"Entered")=0,"",SUMIFS('Monthly Scorecard'!$AF$3:$AF$506,'Monthly Scorecard'!$D$3:$D$506,$A33,'Monthly Scorecard'!$B$3:$B$506,G$3,'Monthly Scorecard'!$AC$3:$AC$506,"Entered")/COUNTIFS('Monthly Scorecard'!$D$3:$D$506,$A33,'Monthly Scorecard'!$B$3:$B$506,G$3,'Monthly Scorecard'!$AC$3:$AC$506,"Entered"))</f>
        <v/>
      </c>
      <c r="H33" s="6">
        <f>IF(COUNTIFS('Monthly Scorecard'!$D$3:$D$506,$A33,'Monthly Scorecard'!$B$3:$B$506,H$3,'Monthly Scorecard'!$AC$3:$AC$506,"Entered")=0,"",SUMIFS('Monthly Scorecard'!$AF$3:$AF$506,'Monthly Scorecard'!$D$3:$D$506,$A33,'Monthly Scorecard'!$B$3:$B$506,H$3,'Monthly Scorecard'!$AC$3:$AC$506,"Entered")/COUNTIFS('Monthly Scorecard'!$D$3:$D$506,$A33,'Monthly Scorecard'!$B$3:$B$506,H$3,'Monthly Scorecard'!$AC$3:$AC$506,"Entered"))</f>
        <v>63.3</v>
      </c>
      <c r="I33" s="6" t="str">
        <f>IF(COUNTIFS('Monthly Scorecard'!$D$3:$D$506,$A33,'Monthly Scorecard'!$B$3:$B$506,I$3,'Monthly Scorecard'!$AC$3:$AC$506,"Entered")=0,"",SUMIFS('Monthly Scorecard'!$AF$3:$AF$506,'Monthly Scorecard'!$D$3:$D$506,$A33,'Monthly Scorecard'!$B$3:$B$506,I$3,'Monthly Scorecard'!$AC$3:$AC$506,"Entered")/COUNTIFS('Monthly Scorecard'!$D$3:$D$506,$A33,'Monthly Scorecard'!$B$3:$B$506,I$3,'Monthly Scorecard'!$AC$3:$AC$506,"Entered"))</f>
        <v/>
      </c>
      <c r="J33" s="6" t="str">
        <f>IF(COUNTIFS('Monthly Scorecard'!$D$3:$D$506,$A33,'Monthly Scorecard'!$B$3:$B$506,J$3,'Monthly Scorecard'!$AC$3:$AC$506,"Entered")=0,"",SUMIFS('Monthly Scorecard'!$AF$3:$AF$506,'Monthly Scorecard'!$D$3:$D$506,$A33,'Monthly Scorecard'!$B$3:$B$506,J$3,'Monthly Scorecard'!$AC$3:$AC$506,"Entered")/COUNTIFS('Monthly Scorecard'!$D$3:$D$506,$A33,'Monthly Scorecard'!$B$3:$B$506,J$3,'Monthly Scorecard'!$AC$3:$AC$506,"Entered"))</f>
        <v/>
      </c>
      <c r="K33" s="6" t="str">
        <f>IF(COUNTIFS('Monthly Scorecard'!$D$3:$D$506,$A33,'Monthly Scorecard'!$B$3:$B$506,K$3,'Monthly Scorecard'!$AC$3:$AC$506,"Entered")=0,"",SUMIFS('Monthly Scorecard'!$AF$3:$AF$506,'Monthly Scorecard'!$D$3:$D$506,$A33,'Monthly Scorecard'!$B$3:$B$506,K$3,'Monthly Scorecard'!$AC$3:$AC$506,"Entered")/COUNTIFS('Monthly Scorecard'!$D$3:$D$506,$A33,'Monthly Scorecard'!$B$3:$B$506,K$3,'Monthly Scorecard'!$AC$3:$AC$506,"Entered"))</f>
        <v/>
      </c>
      <c r="L33" s="6" t="str">
        <f>IF(COUNTIFS('Monthly Scorecard'!$D$3:$D$506,$A33,'Monthly Scorecard'!$B$3:$B$506,L$3,'Monthly Scorecard'!$AC$3:$AC$506,"Entered")=0,"",SUMIFS('Monthly Scorecard'!$AF$3:$AF$506,'Monthly Scorecard'!$D$3:$D$506,$A33,'Monthly Scorecard'!$B$3:$B$506,L$3,'Monthly Scorecard'!$AC$3:$AC$506,"Entered")/COUNTIFS('Monthly Scorecard'!$D$3:$D$506,$A33,'Monthly Scorecard'!$B$3:$B$506,L$3,'Monthly Scorecard'!$AC$3:$AC$506,"Entered"))</f>
        <v/>
      </c>
      <c r="M33" s="6" t="str">
        <f>IF(COUNTIFS('Monthly Scorecard'!$D$3:$D$506,$A33,'Monthly Scorecard'!$B$3:$B$506,M$3,'Monthly Scorecard'!$AC$3:$AC$506,"Entered")=0,"",SUMIFS('Monthly Scorecard'!$AF$3:$AF$506,'Monthly Scorecard'!$D$3:$D$506,$A33,'Monthly Scorecard'!$B$3:$B$506,M$3,'Monthly Scorecard'!$AC$3:$AC$506,"Entered")/COUNTIFS('Monthly Scorecard'!$D$3:$D$506,$A33,'Monthly Scorecard'!$B$3:$B$506,M$3,'Monthly Scorecard'!$AC$3:$AC$506,"Entered"))</f>
        <v/>
      </c>
      <c r="N33" s="6">
        <f t="shared" si="0"/>
        <v>63.3</v>
      </c>
      <c r="O33" s="8" t="str">
        <f>IF(OR($N33="",$P33=""),"",IFERROR(IF($N33&gt;=VLOOKUP($P33,'Input &amp; Settings'!$F$5:$K$10,3,FALSE),"Outstanding",IF($N33&gt;=VLOOKUP($P33,'Input &amp; Settings'!$F$5:$K$10,4,FALSE),"Exceeds Expectations",IF($N33&gt;=VLOOKUP($P33,'Input &amp; Settings'!$F$5:$K$10,5,FALSE),"Meets Expectations",IF($N33&gt;=VLOOKUP($P33,'Input &amp; Settings'!$F$5:$K$10,6,FALSE),"Needs Improvement","Performance Improvement Required")))),""))</f>
        <v>Meets Expectations</v>
      </c>
      <c r="P33" t="str">
        <f>IFERROR(LOOKUP(2,1/(('Monthly Scorecard'!$D$3:$D$506=$A33)*('Monthly Scorecard'!$E$3:$E$506&lt;&gt;"")),'Monthly Scorecard'!$E$3:$E$506),"")</f>
        <v>3rd Shift</v>
      </c>
    </row>
    <row r="34" spans="1:16">
      <c r="A34" t="s">
        <v>68</v>
      </c>
      <c r="B34" s="6" t="str">
        <f>IF(COUNTIFS('Monthly Scorecard'!$D$3:$D$506,$A34,'Monthly Scorecard'!$B$3:$B$506,B$3,'Monthly Scorecard'!$AC$3:$AC$506,"Entered")=0,"",SUMIFS('Monthly Scorecard'!$AF$3:$AF$506,'Monthly Scorecard'!$D$3:$D$506,$A34,'Monthly Scorecard'!$B$3:$B$506,B$3,'Monthly Scorecard'!$AC$3:$AC$506,"Entered")/COUNTIFS('Monthly Scorecard'!$D$3:$D$506,$A34,'Monthly Scorecard'!$B$3:$B$506,B$3,'Monthly Scorecard'!$AC$3:$AC$506,"Entered"))</f>
        <v/>
      </c>
      <c r="C34" s="6" t="str">
        <f>IF(COUNTIFS('Monthly Scorecard'!$D$3:$D$506,$A34,'Monthly Scorecard'!$B$3:$B$506,C$3,'Monthly Scorecard'!$AC$3:$AC$506,"Entered")=0,"",SUMIFS('Monthly Scorecard'!$AF$3:$AF$506,'Monthly Scorecard'!$D$3:$D$506,$A34,'Monthly Scorecard'!$B$3:$B$506,C$3,'Monthly Scorecard'!$AC$3:$AC$506,"Entered")/COUNTIFS('Monthly Scorecard'!$D$3:$D$506,$A34,'Monthly Scorecard'!$B$3:$B$506,C$3,'Monthly Scorecard'!$AC$3:$AC$506,"Entered"))</f>
        <v/>
      </c>
      <c r="D34" s="6" t="str">
        <f>IF(COUNTIFS('Monthly Scorecard'!$D$3:$D$506,$A34,'Monthly Scorecard'!$B$3:$B$506,D$3,'Monthly Scorecard'!$AC$3:$AC$506,"Entered")=0,"",SUMIFS('Monthly Scorecard'!$AF$3:$AF$506,'Monthly Scorecard'!$D$3:$D$506,$A34,'Monthly Scorecard'!$B$3:$B$506,D$3,'Monthly Scorecard'!$AC$3:$AC$506,"Entered")/COUNTIFS('Monthly Scorecard'!$D$3:$D$506,$A34,'Monthly Scorecard'!$B$3:$B$506,D$3,'Monthly Scorecard'!$AC$3:$AC$506,"Entered"))</f>
        <v/>
      </c>
      <c r="E34" s="6" t="str">
        <f>IF(COUNTIFS('Monthly Scorecard'!$D$3:$D$506,$A34,'Monthly Scorecard'!$B$3:$B$506,E$3,'Monthly Scorecard'!$AC$3:$AC$506,"Entered")=0,"",SUMIFS('Monthly Scorecard'!$AF$3:$AF$506,'Monthly Scorecard'!$D$3:$D$506,$A34,'Monthly Scorecard'!$B$3:$B$506,E$3,'Monthly Scorecard'!$AC$3:$AC$506,"Entered")/COUNTIFS('Monthly Scorecard'!$D$3:$D$506,$A34,'Monthly Scorecard'!$B$3:$B$506,E$3,'Monthly Scorecard'!$AC$3:$AC$506,"Entered"))</f>
        <v/>
      </c>
      <c r="F34" s="6" t="str">
        <f>IF(COUNTIFS('Monthly Scorecard'!$D$3:$D$506,$A34,'Monthly Scorecard'!$B$3:$B$506,F$3,'Monthly Scorecard'!$AC$3:$AC$506,"Entered")=0,"",SUMIFS('Monthly Scorecard'!$AF$3:$AF$506,'Monthly Scorecard'!$D$3:$D$506,$A34,'Monthly Scorecard'!$B$3:$B$506,F$3,'Monthly Scorecard'!$AC$3:$AC$506,"Entered")/COUNTIFS('Monthly Scorecard'!$D$3:$D$506,$A34,'Monthly Scorecard'!$B$3:$B$506,F$3,'Monthly Scorecard'!$AC$3:$AC$506,"Entered"))</f>
        <v/>
      </c>
      <c r="G34" s="6" t="str">
        <f>IF(COUNTIFS('Monthly Scorecard'!$D$3:$D$506,$A34,'Monthly Scorecard'!$B$3:$B$506,G$3,'Monthly Scorecard'!$AC$3:$AC$506,"Entered")=0,"",SUMIFS('Monthly Scorecard'!$AF$3:$AF$506,'Monthly Scorecard'!$D$3:$D$506,$A34,'Monthly Scorecard'!$B$3:$B$506,G$3,'Monthly Scorecard'!$AC$3:$AC$506,"Entered")/COUNTIFS('Monthly Scorecard'!$D$3:$D$506,$A34,'Monthly Scorecard'!$B$3:$B$506,G$3,'Monthly Scorecard'!$AC$3:$AC$506,"Entered"))</f>
        <v/>
      </c>
      <c r="H34" s="6" t="str">
        <f>IF(COUNTIFS('Monthly Scorecard'!$D$3:$D$506,$A34,'Monthly Scorecard'!$B$3:$B$506,H$3,'Monthly Scorecard'!$AC$3:$AC$506,"Entered")=0,"",SUMIFS('Monthly Scorecard'!$AF$3:$AF$506,'Monthly Scorecard'!$D$3:$D$506,$A34,'Monthly Scorecard'!$B$3:$B$506,H$3,'Monthly Scorecard'!$AC$3:$AC$506,"Entered")/COUNTIFS('Monthly Scorecard'!$D$3:$D$506,$A34,'Monthly Scorecard'!$B$3:$B$506,H$3,'Monthly Scorecard'!$AC$3:$AC$506,"Entered"))</f>
        <v/>
      </c>
      <c r="I34" s="6" t="str">
        <f>IF(COUNTIFS('Monthly Scorecard'!$D$3:$D$506,$A34,'Monthly Scorecard'!$B$3:$B$506,I$3,'Monthly Scorecard'!$AC$3:$AC$506,"Entered")=0,"",SUMIFS('Monthly Scorecard'!$AF$3:$AF$506,'Monthly Scorecard'!$D$3:$D$506,$A34,'Monthly Scorecard'!$B$3:$B$506,I$3,'Monthly Scorecard'!$AC$3:$AC$506,"Entered")/COUNTIFS('Monthly Scorecard'!$D$3:$D$506,$A34,'Monthly Scorecard'!$B$3:$B$506,I$3,'Monthly Scorecard'!$AC$3:$AC$506,"Entered"))</f>
        <v/>
      </c>
      <c r="J34" s="6" t="str">
        <f>IF(COUNTIFS('Monthly Scorecard'!$D$3:$D$506,$A34,'Monthly Scorecard'!$B$3:$B$506,J$3,'Monthly Scorecard'!$AC$3:$AC$506,"Entered")=0,"",SUMIFS('Monthly Scorecard'!$AF$3:$AF$506,'Monthly Scorecard'!$D$3:$D$506,$A34,'Monthly Scorecard'!$B$3:$B$506,J$3,'Monthly Scorecard'!$AC$3:$AC$506,"Entered")/COUNTIFS('Monthly Scorecard'!$D$3:$D$506,$A34,'Monthly Scorecard'!$B$3:$B$506,J$3,'Monthly Scorecard'!$AC$3:$AC$506,"Entered"))</f>
        <v/>
      </c>
      <c r="K34" s="6" t="str">
        <f>IF(COUNTIFS('Monthly Scorecard'!$D$3:$D$506,$A34,'Monthly Scorecard'!$B$3:$B$506,K$3,'Monthly Scorecard'!$AC$3:$AC$506,"Entered")=0,"",SUMIFS('Monthly Scorecard'!$AF$3:$AF$506,'Monthly Scorecard'!$D$3:$D$506,$A34,'Monthly Scorecard'!$B$3:$B$506,K$3,'Monthly Scorecard'!$AC$3:$AC$506,"Entered")/COUNTIFS('Monthly Scorecard'!$D$3:$D$506,$A34,'Monthly Scorecard'!$B$3:$B$506,K$3,'Monthly Scorecard'!$AC$3:$AC$506,"Entered"))</f>
        <v/>
      </c>
      <c r="L34" s="6" t="str">
        <f>IF(COUNTIFS('Monthly Scorecard'!$D$3:$D$506,$A34,'Monthly Scorecard'!$B$3:$B$506,L$3,'Monthly Scorecard'!$AC$3:$AC$506,"Entered")=0,"",SUMIFS('Monthly Scorecard'!$AF$3:$AF$506,'Monthly Scorecard'!$D$3:$D$506,$A34,'Monthly Scorecard'!$B$3:$B$506,L$3,'Monthly Scorecard'!$AC$3:$AC$506,"Entered")/COUNTIFS('Monthly Scorecard'!$D$3:$D$506,$A34,'Monthly Scorecard'!$B$3:$B$506,L$3,'Monthly Scorecard'!$AC$3:$AC$506,"Entered"))</f>
        <v/>
      </c>
      <c r="M34" s="6" t="str">
        <f>IF(COUNTIFS('Monthly Scorecard'!$D$3:$D$506,$A34,'Monthly Scorecard'!$B$3:$B$506,M$3,'Monthly Scorecard'!$AC$3:$AC$506,"Entered")=0,"",SUMIFS('Monthly Scorecard'!$AF$3:$AF$506,'Monthly Scorecard'!$D$3:$D$506,$A34,'Monthly Scorecard'!$B$3:$B$506,M$3,'Monthly Scorecard'!$AC$3:$AC$506,"Entered")/COUNTIFS('Monthly Scorecard'!$D$3:$D$506,$A34,'Monthly Scorecard'!$B$3:$B$506,M$3,'Monthly Scorecard'!$AC$3:$AC$506,"Entered"))</f>
        <v/>
      </c>
      <c r="N34" s="6" t="str">
        <f t="shared" si="0"/>
        <v/>
      </c>
      <c r="O34" s="8" t="str">
        <f>IF(OR($N34="",$P34=""),"",IFERROR(IF($N34&gt;=VLOOKUP($P34,'Input &amp; Settings'!$F$5:$K$10,3,FALSE),"Outstanding",IF($N34&gt;=VLOOKUP($P34,'Input &amp; Settings'!$F$5:$K$10,4,FALSE),"Exceeds Expectations",IF($N34&gt;=VLOOKUP($P34,'Input &amp; Settings'!$F$5:$K$10,5,FALSE),"Meets Expectations",IF($N34&gt;=VLOOKUP($P34,'Input &amp; Settings'!$F$5:$K$10,6,FALSE),"Needs Improvement","Performance Improvement Required")))),""))</f>
        <v/>
      </c>
      <c r="P34" t="str">
        <f>IFERROR(LOOKUP(2,1/(('Monthly Scorecard'!$D$3:$D$506=$A34)*('Monthly Scorecard'!$E$3:$E$506&lt;&gt;"")),'Monthly Scorecard'!$E$3:$E$506),"")</f>
        <v>1st Shift Weekend</v>
      </c>
    </row>
    <row r="35" spans="1:16">
      <c r="A35" t="s">
        <v>69</v>
      </c>
      <c r="B35" s="6" t="str">
        <f>IF(COUNTIFS('Monthly Scorecard'!$D$3:$D$506,$A35,'Monthly Scorecard'!$B$3:$B$506,B$3,'Monthly Scorecard'!$AC$3:$AC$506,"Entered")=0,"",SUMIFS('Monthly Scorecard'!$AF$3:$AF$506,'Monthly Scorecard'!$D$3:$D$506,$A35,'Monthly Scorecard'!$B$3:$B$506,B$3,'Monthly Scorecard'!$AC$3:$AC$506,"Entered")/COUNTIFS('Monthly Scorecard'!$D$3:$D$506,$A35,'Monthly Scorecard'!$B$3:$B$506,B$3,'Monthly Scorecard'!$AC$3:$AC$506,"Entered"))</f>
        <v/>
      </c>
      <c r="C35" s="6" t="str">
        <f>IF(COUNTIFS('Monthly Scorecard'!$D$3:$D$506,$A35,'Monthly Scorecard'!$B$3:$B$506,C$3,'Monthly Scorecard'!$AC$3:$AC$506,"Entered")=0,"",SUMIFS('Monthly Scorecard'!$AF$3:$AF$506,'Monthly Scorecard'!$D$3:$D$506,$A35,'Monthly Scorecard'!$B$3:$B$506,C$3,'Monthly Scorecard'!$AC$3:$AC$506,"Entered")/COUNTIFS('Monthly Scorecard'!$D$3:$D$506,$A35,'Monthly Scorecard'!$B$3:$B$506,C$3,'Monthly Scorecard'!$AC$3:$AC$506,"Entered"))</f>
        <v/>
      </c>
      <c r="D35" s="6" t="str">
        <f>IF(COUNTIFS('Monthly Scorecard'!$D$3:$D$506,$A35,'Monthly Scorecard'!$B$3:$B$506,D$3,'Monthly Scorecard'!$AC$3:$AC$506,"Entered")=0,"",SUMIFS('Monthly Scorecard'!$AF$3:$AF$506,'Monthly Scorecard'!$D$3:$D$506,$A35,'Monthly Scorecard'!$B$3:$B$506,D$3,'Monthly Scorecard'!$AC$3:$AC$506,"Entered")/COUNTIFS('Monthly Scorecard'!$D$3:$D$506,$A35,'Monthly Scorecard'!$B$3:$B$506,D$3,'Monthly Scorecard'!$AC$3:$AC$506,"Entered"))</f>
        <v/>
      </c>
      <c r="E35" s="6" t="str">
        <f>IF(COUNTIFS('Monthly Scorecard'!$D$3:$D$506,$A35,'Monthly Scorecard'!$B$3:$B$506,E$3,'Monthly Scorecard'!$AC$3:$AC$506,"Entered")=0,"",SUMIFS('Monthly Scorecard'!$AF$3:$AF$506,'Monthly Scorecard'!$D$3:$D$506,$A35,'Monthly Scorecard'!$B$3:$B$506,E$3,'Monthly Scorecard'!$AC$3:$AC$506,"Entered")/COUNTIFS('Monthly Scorecard'!$D$3:$D$506,$A35,'Monthly Scorecard'!$B$3:$B$506,E$3,'Monthly Scorecard'!$AC$3:$AC$506,"Entered"))</f>
        <v/>
      </c>
      <c r="F35" s="6" t="str">
        <f>IF(COUNTIFS('Monthly Scorecard'!$D$3:$D$506,$A35,'Monthly Scorecard'!$B$3:$B$506,F$3,'Monthly Scorecard'!$AC$3:$AC$506,"Entered")=0,"",SUMIFS('Monthly Scorecard'!$AF$3:$AF$506,'Monthly Scorecard'!$D$3:$D$506,$A35,'Monthly Scorecard'!$B$3:$B$506,F$3,'Monthly Scorecard'!$AC$3:$AC$506,"Entered")/COUNTIFS('Monthly Scorecard'!$D$3:$D$506,$A35,'Monthly Scorecard'!$B$3:$B$506,F$3,'Monthly Scorecard'!$AC$3:$AC$506,"Entered"))</f>
        <v/>
      </c>
      <c r="G35" s="6">
        <f>IF(COUNTIFS('Monthly Scorecard'!$D$3:$D$506,$A35,'Monthly Scorecard'!$B$3:$B$506,G$3,'Monthly Scorecard'!$AC$3:$AC$506,"Entered")=0,"",SUMIFS('Monthly Scorecard'!$AF$3:$AF$506,'Monthly Scorecard'!$D$3:$D$506,$A35,'Monthly Scorecard'!$B$3:$B$506,G$3,'Monthly Scorecard'!$AC$3:$AC$506,"Entered")/COUNTIFS('Monthly Scorecard'!$D$3:$D$506,$A35,'Monthly Scorecard'!$B$3:$B$506,G$3,'Monthly Scorecard'!$AC$3:$AC$506,"Entered"))</f>
        <v>70.3</v>
      </c>
      <c r="H35" s="6">
        <f>IF(COUNTIFS('Monthly Scorecard'!$D$3:$D$506,$A35,'Monthly Scorecard'!$B$3:$B$506,H$3,'Monthly Scorecard'!$AC$3:$AC$506,"Entered")=0,"",SUMIFS('Monthly Scorecard'!$AF$3:$AF$506,'Monthly Scorecard'!$D$3:$D$506,$A35,'Monthly Scorecard'!$B$3:$B$506,H$3,'Monthly Scorecard'!$AC$3:$AC$506,"Entered")/COUNTIFS('Monthly Scorecard'!$D$3:$D$506,$A35,'Monthly Scorecard'!$B$3:$B$506,H$3,'Monthly Scorecard'!$AC$3:$AC$506,"Entered"))</f>
        <v>72.3</v>
      </c>
      <c r="I35" s="6" t="str">
        <f>IF(COUNTIFS('Monthly Scorecard'!$D$3:$D$506,$A35,'Monthly Scorecard'!$B$3:$B$506,I$3,'Monthly Scorecard'!$AC$3:$AC$506,"Entered")=0,"",SUMIFS('Monthly Scorecard'!$AF$3:$AF$506,'Monthly Scorecard'!$D$3:$D$506,$A35,'Monthly Scorecard'!$B$3:$B$506,I$3,'Monthly Scorecard'!$AC$3:$AC$506,"Entered")/COUNTIFS('Monthly Scorecard'!$D$3:$D$506,$A35,'Monthly Scorecard'!$B$3:$B$506,I$3,'Monthly Scorecard'!$AC$3:$AC$506,"Entered"))</f>
        <v/>
      </c>
      <c r="J35" s="6" t="str">
        <f>IF(COUNTIFS('Monthly Scorecard'!$D$3:$D$506,$A35,'Monthly Scorecard'!$B$3:$B$506,J$3,'Monthly Scorecard'!$AC$3:$AC$506,"Entered")=0,"",SUMIFS('Monthly Scorecard'!$AF$3:$AF$506,'Monthly Scorecard'!$D$3:$D$506,$A35,'Monthly Scorecard'!$B$3:$B$506,J$3,'Monthly Scorecard'!$AC$3:$AC$506,"Entered")/COUNTIFS('Monthly Scorecard'!$D$3:$D$506,$A35,'Monthly Scorecard'!$B$3:$B$506,J$3,'Monthly Scorecard'!$AC$3:$AC$506,"Entered"))</f>
        <v/>
      </c>
      <c r="K35" s="6" t="str">
        <f>IF(COUNTIFS('Monthly Scorecard'!$D$3:$D$506,$A35,'Monthly Scorecard'!$B$3:$B$506,K$3,'Monthly Scorecard'!$AC$3:$AC$506,"Entered")=0,"",SUMIFS('Monthly Scorecard'!$AF$3:$AF$506,'Monthly Scorecard'!$D$3:$D$506,$A35,'Monthly Scorecard'!$B$3:$B$506,K$3,'Monthly Scorecard'!$AC$3:$AC$506,"Entered")/COUNTIFS('Monthly Scorecard'!$D$3:$D$506,$A35,'Monthly Scorecard'!$B$3:$B$506,K$3,'Monthly Scorecard'!$AC$3:$AC$506,"Entered"))</f>
        <v/>
      </c>
      <c r="L35" s="6" t="str">
        <f>IF(COUNTIFS('Monthly Scorecard'!$D$3:$D$506,$A35,'Monthly Scorecard'!$B$3:$B$506,L$3,'Monthly Scorecard'!$AC$3:$AC$506,"Entered")=0,"",SUMIFS('Monthly Scorecard'!$AF$3:$AF$506,'Monthly Scorecard'!$D$3:$D$506,$A35,'Monthly Scorecard'!$B$3:$B$506,L$3,'Monthly Scorecard'!$AC$3:$AC$506,"Entered")/COUNTIFS('Monthly Scorecard'!$D$3:$D$506,$A35,'Monthly Scorecard'!$B$3:$B$506,L$3,'Monthly Scorecard'!$AC$3:$AC$506,"Entered"))</f>
        <v/>
      </c>
      <c r="M35" s="6" t="str">
        <f>IF(COUNTIFS('Monthly Scorecard'!$D$3:$D$506,$A35,'Monthly Scorecard'!$B$3:$B$506,M$3,'Monthly Scorecard'!$AC$3:$AC$506,"Entered")=0,"",SUMIFS('Monthly Scorecard'!$AF$3:$AF$506,'Monthly Scorecard'!$D$3:$D$506,$A35,'Monthly Scorecard'!$B$3:$B$506,M$3,'Monthly Scorecard'!$AC$3:$AC$506,"Entered")/COUNTIFS('Monthly Scorecard'!$D$3:$D$506,$A35,'Monthly Scorecard'!$B$3:$B$506,M$3,'Monthly Scorecard'!$AC$3:$AC$506,"Entered"))</f>
        <v/>
      </c>
      <c r="N35" s="6">
        <f t="shared" si="0"/>
        <v>71.3</v>
      </c>
      <c r="O35" s="8" t="str">
        <f>IF(OR($N35="",$P35=""),"",IFERROR(IF($N35&gt;=VLOOKUP($P35,'Input &amp; Settings'!$F$5:$K$10,3,FALSE),"Outstanding",IF($N35&gt;=VLOOKUP($P35,'Input &amp; Settings'!$F$5:$K$10,4,FALSE),"Exceeds Expectations",IF($N35&gt;=VLOOKUP($P35,'Input &amp; Settings'!$F$5:$K$10,5,FALSE),"Meets Expectations",IF($N35&gt;=VLOOKUP($P35,'Input &amp; Settings'!$F$5:$K$10,6,FALSE),"Needs Improvement","Performance Improvement Required")))),""))</f>
        <v>Exceeds Expectations</v>
      </c>
      <c r="P35" t="str">
        <f>IFERROR(LOOKUP(2,1/(('Monthly Scorecard'!$D$3:$D$506=$A35)*('Monthly Scorecard'!$E$3:$E$506&lt;&gt;"")),'Monthly Scorecard'!$E$3:$E$506),"")</f>
        <v>1st Shift</v>
      </c>
    </row>
    <row r="36" spans="1:16">
      <c r="A36" t="s">
        <v>70</v>
      </c>
      <c r="B36" s="6" t="str">
        <f>IF(COUNTIFS('Monthly Scorecard'!$D$3:$D$506,$A36,'Monthly Scorecard'!$B$3:$B$506,B$3,'Monthly Scorecard'!$AC$3:$AC$506,"Entered")=0,"",SUMIFS('Monthly Scorecard'!$AF$3:$AF$506,'Monthly Scorecard'!$D$3:$D$506,$A36,'Monthly Scorecard'!$B$3:$B$506,B$3,'Monthly Scorecard'!$AC$3:$AC$506,"Entered")/COUNTIFS('Monthly Scorecard'!$D$3:$D$506,$A36,'Monthly Scorecard'!$B$3:$B$506,B$3,'Monthly Scorecard'!$AC$3:$AC$506,"Entered"))</f>
        <v/>
      </c>
      <c r="C36" s="6" t="str">
        <f>IF(COUNTIFS('Monthly Scorecard'!$D$3:$D$506,$A36,'Monthly Scorecard'!$B$3:$B$506,C$3,'Monthly Scorecard'!$AC$3:$AC$506,"Entered")=0,"",SUMIFS('Monthly Scorecard'!$AF$3:$AF$506,'Monthly Scorecard'!$D$3:$D$506,$A36,'Monthly Scorecard'!$B$3:$B$506,C$3,'Monthly Scorecard'!$AC$3:$AC$506,"Entered")/COUNTIFS('Monthly Scorecard'!$D$3:$D$506,$A36,'Monthly Scorecard'!$B$3:$B$506,C$3,'Monthly Scorecard'!$AC$3:$AC$506,"Entered"))</f>
        <v/>
      </c>
      <c r="D36" s="6" t="str">
        <f>IF(COUNTIFS('Monthly Scorecard'!$D$3:$D$506,$A36,'Monthly Scorecard'!$B$3:$B$506,D$3,'Monthly Scorecard'!$AC$3:$AC$506,"Entered")=0,"",SUMIFS('Monthly Scorecard'!$AF$3:$AF$506,'Monthly Scorecard'!$D$3:$D$506,$A36,'Monthly Scorecard'!$B$3:$B$506,D$3,'Monthly Scorecard'!$AC$3:$AC$506,"Entered")/COUNTIFS('Monthly Scorecard'!$D$3:$D$506,$A36,'Monthly Scorecard'!$B$3:$B$506,D$3,'Monthly Scorecard'!$AC$3:$AC$506,"Entered"))</f>
        <v/>
      </c>
      <c r="E36" s="6" t="str">
        <f>IF(COUNTIFS('Monthly Scorecard'!$D$3:$D$506,$A36,'Monthly Scorecard'!$B$3:$B$506,E$3,'Monthly Scorecard'!$AC$3:$AC$506,"Entered")=0,"",SUMIFS('Monthly Scorecard'!$AF$3:$AF$506,'Monthly Scorecard'!$D$3:$D$506,$A36,'Monthly Scorecard'!$B$3:$B$506,E$3,'Monthly Scorecard'!$AC$3:$AC$506,"Entered")/COUNTIFS('Monthly Scorecard'!$D$3:$D$506,$A36,'Monthly Scorecard'!$B$3:$B$506,E$3,'Monthly Scorecard'!$AC$3:$AC$506,"Entered"))</f>
        <v/>
      </c>
      <c r="F36" s="6" t="str">
        <f>IF(COUNTIFS('Monthly Scorecard'!$D$3:$D$506,$A36,'Monthly Scorecard'!$B$3:$B$506,F$3,'Monthly Scorecard'!$AC$3:$AC$506,"Entered")=0,"",SUMIFS('Monthly Scorecard'!$AF$3:$AF$506,'Monthly Scorecard'!$D$3:$D$506,$A36,'Monthly Scorecard'!$B$3:$B$506,F$3,'Monthly Scorecard'!$AC$3:$AC$506,"Entered")/COUNTIFS('Monthly Scorecard'!$D$3:$D$506,$A36,'Monthly Scorecard'!$B$3:$B$506,F$3,'Monthly Scorecard'!$AC$3:$AC$506,"Entered"))</f>
        <v/>
      </c>
      <c r="G36" s="6">
        <f>IF(COUNTIFS('Monthly Scorecard'!$D$3:$D$506,$A36,'Monthly Scorecard'!$B$3:$B$506,G$3,'Monthly Scorecard'!$AC$3:$AC$506,"Entered")=0,"",SUMIFS('Monthly Scorecard'!$AF$3:$AF$506,'Monthly Scorecard'!$D$3:$D$506,$A36,'Monthly Scorecard'!$B$3:$B$506,G$3,'Monthly Scorecard'!$AC$3:$AC$506,"Entered")/COUNTIFS('Monthly Scorecard'!$D$3:$D$506,$A36,'Monthly Scorecard'!$B$3:$B$506,G$3,'Monthly Scorecard'!$AC$3:$AC$506,"Entered"))</f>
        <v>68</v>
      </c>
      <c r="H36" s="6">
        <f>IF(COUNTIFS('Monthly Scorecard'!$D$3:$D$506,$A36,'Monthly Scorecard'!$B$3:$B$506,H$3,'Monthly Scorecard'!$AC$3:$AC$506,"Entered")=0,"",SUMIFS('Monthly Scorecard'!$AF$3:$AF$506,'Monthly Scorecard'!$D$3:$D$506,$A36,'Monthly Scorecard'!$B$3:$B$506,H$3,'Monthly Scorecard'!$AC$3:$AC$506,"Entered")/COUNTIFS('Monthly Scorecard'!$D$3:$D$506,$A36,'Monthly Scorecard'!$B$3:$B$506,H$3,'Monthly Scorecard'!$AC$3:$AC$506,"Entered"))</f>
        <v>70.400000000000006</v>
      </c>
      <c r="I36" s="6" t="str">
        <f>IF(COUNTIFS('Monthly Scorecard'!$D$3:$D$506,$A36,'Monthly Scorecard'!$B$3:$B$506,I$3,'Monthly Scorecard'!$AC$3:$AC$506,"Entered")=0,"",SUMIFS('Monthly Scorecard'!$AF$3:$AF$506,'Monthly Scorecard'!$D$3:$D$506,$A36,'Monthly Scorecard'!$B$3:$B$506,I$3,'Monthly Scorecard'!$AC$3:$AC$506,"Entered")/COUNTIFS('Monthly Scorecard'!$D$3:$D$506,$A36,'Monthly Scorecard'!$B$3:$B$506,I$3,'Monthly Scorecard'!$AC$3:$AC$506,"Entered"))</f>
        <v/>
      </c>
      <c r="J36" s="6" t="str">
        <f>IF(COUNTIFS('Monthly Scorecard'!$D$3:$D$506,$A36,'Monthly Scorecard'!$B$3:$B$506,J$3,'Monthly Scorecard'!$AC$3:$AC$506,"Entered")=0,"",SUMIFS('Monthly Scorecard'!$AF$3:$AF$506,'Monthly Scorecard'!$D$3:$D$506,$A36,'Monthly Scorecard'!$B$3:$B$506,J$3,'Monthly Scorecard'!$AC$3:$AC$506,"Entered")/COUNTIFS('Monthly Scorecard'!$D$3:$D$506,$A36,'Monthly Scorecard'!$B$3:$B$506,J$3,'Monthly Scorecard'!$AC$3:$AC$506,"Entered"))</f>
        <v/>
      </c>
      <c r="K36" s="6" t="str">
        <f>IF(COUNTIFS('Monthly Scorecard'!$D$3:$D$506,$A36,'Monthly Scorecard'!$B$3:$B$506,K$3,'Monthly Scorecard'!$AC$3:$AC$506,"Entered")=0,"",SUMIFS('Monthly Scorecard'!$AF$3:$AF$506,'Monthly Scorecard'!$D$3:$D$506,$A36,'Monthly Scorecard'!$B$3:$B$506,K$3,'Monthly Scorecard'!$AC$3:$AC$506,"Entered")/COUNTIFS('Monthly Scorecard'!$D$3:$D$506,$A36,'Monthly Scorecard'!$B$3:$B$506,K$3,'Monthly Scorecard'!$AC$3:$AC$506,"Entered"))</f>
        <v/>
      </c>
      <c r="L36" s="6" t="str">
        <f>IF(COUNTIFS('Monthly Scorecard'!$D$3:$D$506,$A36,'Monthly Scorecard'!$B$3:$B$506,L$3,'Monthly Scorecard'!$AC$3:$AC$506,"Entered")=0,"",SUMIFS('Monthly Scorecard'!$AF$3:$AF$506,'Monthly Scorecard'!$D$3:$D$506,$A36,'Monthly Scorecard'!$B$3:$B$506,L$3,'Monthly Scorecard'!$AC$3:$AC$506,"Entered")/COUNTIFS('Monthly Scorecard'!$D$3:$D$506,$A36,'Monthly Scorecard'!$B$3:$B$506,L$3,'Monthly Scorecard'!$AC$3:$AC$506,"Entered"))</f>
        <v/>
      </c>
      <c r="M36" s="6" t="str">
        <f>IF(COUNTIFS('Monthly Scorecard'!$D$3:$D$506,$A36,'Monthly Scorecard'!$B$3:$B$506,M$3,'Monthly Scorecard'!$AC$3:$AC$506,"Entered")=0,"",SUMIFS('Monthly Scorecard'!$AF$3:$AF$506,'Monthly Scorecard'!$D$3:$D$506,$A36,'Monthly Scorecard'!$B$3:$B$506,M$3,'Monthly Scorecard'!$AC$3:$AC$506,"Entered")/COUNTIFS('Monthly Scorecard'!$D$3:$D$506,$A36,'Monthly Scorecard'!$B$3:$B$506,M$3,'Monthly Scorecard'!$AC$3:$AC$506,"Entered"))</f>
        <v/>
      </c>
      <c r="N36" s="6">
        <f t="shared" si="0"/>
        <v>69.2</v>
      </c>
      <c r="O36" s="8" t="str">
        <f>IF(OR($N36="",$P36=""),"",IFERROR(IF($N36&gt;=VLOOKUP($P36,'Input &amp; Settings'!$F$5:$K$10,3,FALSE),"Outstanding",IF($N36&gt;=VLOOKUP($P36,'Input &amp; Settings'!$F$5:$K$10,4,FALSE),"Exceeds Expectations",IF($N36&gt;=VLOOKUP($P36,'Input &amp; Settings'!$F$5:$K$10,5,FALSE),"Meets Expectations",IF($N36&gt;=VLOOKUP($P36,'Input &amp; Settings'!$F$5:$K$10,6,FALSE),"Needs Improvement","Performance Improvement Required")))),""))</f>
        <v>Exceeds Expectations</v>
      </c>
      <c r="P36" t="str">
        <f>IFERROR(LOOKUP(2,1/(('Monthly Scorecard'!$D$3:$D$506=$A36)*('Monthly Scorecard'!$E$3:$E$506&lt;&gt;"")),'Monthly Scorecard'!$E$3:$E$506),"")</f>
        <v>2nd Shift</v>
      </c>
    </row>
    <row r="37" spans="1:16">
      <c r="A37" t="s">
        <v>71</v>
      </c>
      <c r="B37" s="6" t="str">
        <f>IF(COUNTIFS('Monthly Scorecard'!$D$3:$D$506,$A37,'Monthly Scorecard'!$B$3:$B$506,B$3,'Monthly Scorecard'!$AC$3:$AC$506,"Entered")=0,"",SUMIFS('Monthly Scorecard'!$AF$3:$AF$506,'Monthly Scorecard'!$D$3:$D$506,$A37,'Monthly Scorecard'!$B$3:$B$506,B$3,'Monthly Scorecard'!$AC$3:$AC$506,"Entered")/COUNTIFS('Monthly Scorecard'!$D$3:$D$506,$A37,'Monthly Scorecard'!$B$3:$B$506,B$3,'Monthly Scorecard'!$AC$3:$AC$506,"Entered"))</f>
        <v/>
      </c>
      <c r="C37" s="6" t="str">
        <f>IF(COUNTIFS('Monthly Scorecard'!$D$3:$D$506,$A37,'Monthly Scorecard'!$B$3:$B$506,C$3,'Monthly Scorecard'!$AC$3:$AC$506,"Entered")=0,"",SUMIFS('Monthly Scorecard'!$AF$3:$AF$506,'Monthly Scorecard'!$D$3:$D$506,$A37,'Monthly Scorecard'!$B$3:$B$506,C$3,'Monthly Scorecard'!$AC$3:$AC$506,"Entered")/COUNTIFS('Monthly Scorecard'!$D$3:$D$506,$A37,'Monthly Scorecard'!$B$3:$B$506,C$3,'Monthly Scorecard'!$AC$3:$AC$506,"Entered"))</f>
        <v/>
      </c>
      <c r="D37" s="6" t="str">
        <f>IF(COUNTIFS('Monthly Scorecard'!$D$3:$D$506,$A37,'Monthly Scorecard'!$B$3:$B$506,D$3,'Monthly Scorecard'!$AC$3:$AC$506,"Entered")=0,"",SUMIFS('Monthly Scorecard'!$AF$3:$AF$506,'Monthly Scorecard'!$D$3:$D$506,$A37,'Monthly Scorecard'!$B$3:$B$506,D$3,'Monthly Scorecard'!$AC$3:$AC$506,"Entered")/COUNTIFS('Monthly Scorecard'!$D$3:$D$506,$A37,'Monthly Scorecard'!$B$3:$B$506,D$3,'Monthly Scorecard'!$AC$3:$AC$506,"Entered"))</f>
        <v/>
      </c>
      <c r="E37" s="6" t="str">
        <f>IF(COUNTIFS('Monthly Scorecard'!$D$3:$D$506,$A37,'Monthly Scorecard'!$B$3:$B$506,E$3,'Monthly Scorecard'!$AC$3:$AC$506,"Entered")=0,"",SUMIFS('Monthly Scorecard'!$AF$3:$AF$506,'Monthly Scorecard'!$D$3:$D$506,$A37,'Monthly Scorecard'!$B$3:$B$506,E$3,'Monthly Scorecard'!$AC$3:$AC$506,"Entered")/COUNTIFS('Monthly Scorecard'!$D$3:$D$506,$A37,'Monthly Scorecard'!$B$3:$B$506,E$3,'Monthly Scorecard'!$AC$3:$AC$506,"Entered"))</f>
        <v/>
      </c>
      <c r="F37" s="6" t="str">
        <f>IF(COUNTIFS('Monthly Scorecard'!$D$3:$D$506,$A37,'Monthly Scorecard'!$B$3:$B$506,F$3,'Monthly Scorecard'!$AC$3:$AC$506,"Entered")=0,"",SUMIFS('Monthly Scorecard'!$AF$3:$AF$506,'Monthly Scorecard'!$D$3:$D$506,$A37,'Monthly Scorecard'!$B$3:$B$506,F$3,'Monthly Scorecard'!$AC$3:$AC$506,"Entered")/COUNTIFS('Monthly Scorecard'!$D$3:$D$506,$A37,'Monthly Scorecard'!$B$3:$B$506,F$3,'Monthly Scorecard'!$AC$3:$AC$506,"Entered"))</f>
        <v/>
      </c>
      <c r="G37" s="6" t="str">
        <f>IF(COUNTIFS('Monthly Scorecard'!$D$3:$D$506,$A37,'Monthly Scorecard'!$B$3:$B$506,G$3,'Monthly Scorecard'!$AC$3:$AC$506,"Entered")=0,"",SUMIFS('Monthly Scorecard'!$AF$3:$AF$506,'Monthly Scorecard'!$D$3:$D$506,$A37,'Monthly Scorecard'!$B$3:$B$506,G$3,'Monthly Scorecard'!$AC$3:$AC$506,"Entered")/COUNTIFS('Monthly Scorecard'!$D$3:$D$506,$A37,'Monthly Scorecard'!$B$3:$B$506,G$3,'Monthly Scorecard'!$AC$3:$AC$506,"Entered"))</f>
        <v/>
      </c>
      <c r="H37" s="6">
        <f>IF(COUNTIFS('Monthly Scorecard'!$D$3:$D$506,$A37,'Monthly Scorecard'!$B$3:$B$506,H$3,'Monthly Scorecard'!$AC$3:$AC$506,"Entered")=0,"",SUMIFS('Monthly Scorecard'!$AF$3:$AF$506,'Monthly Scorecard'!$D$3:$D$506,$A37,'Monthly Scorecard'!$B$3:$B$506,H$3,'Monthly Scorecard'!$AC$3:$AC$506,"Entered")/COUNTIFS('Monthly Scorecard'!$D$3:$D$506,$A37,'Monthly Scorecard'!$B$3:$B$506,H$3,'Monthly Scorecard'!$AC$3:$AC$506,"Entered"))</f>
        <v>68.3</v>
      </c>
      <c r="I37" s="6" t="str">
        <f>IF(COUNTIFS('Monthly Scorecard'!$D$3:$D$506,$A37,'Monthly Scorecard'!$B$3:$B$506,I$3,'Monthly Scorecard'!$AC$3:$AC$506,"Entered")=0,"",SUMIFS('Monthly Scorecard'!$AF$3:$AF$506,'Monthly Scorecard'!$D$3:$D$506,$A37,'Monthly Scorecard'!$B$3:$B$506,I$3,'Monthly Scorecard'!$AC$3:$AC$506,"Entered")/COUNTIFS('Monthly Scorecard'!$D$3:$D$506,$A37,'Monthly Scorecard'!$B$3:$B$506,I$3,'Monthly Scorecard'!$AC$3:$AC$506,"Entered"))</f>
        <v/>
      </c>
      <c r="J37" s="6" t="str">
        <f>IF(COUNTIFS('Monthly Scorecard'!$D$3:$D$506,$A37,'Monthly Scorecard'!$B$3:$B$506,J$3,'Monthly Scorecard'!$AC$3:$AC$506,"Entered")=0,"",SUMIFS('Monthly Scorecard'!$AF$3:$AF$506,'Monthly Scorecard'!$D$3:$D$506,$A37,'Monthly Scorecard'!$B$3:$B$506,J$3,'Monthly Scorecard'!$AC$3:$AC$506,"Entered")/COUNTIFS('Monthly Scorecard'!$D$3:$D$506,$A37,'Monthly Scorecard'!$B$3:$B$506,J$3,'Monthly Scorecard'!$AC$3:$AC$506,"Entered"))</f>
        <v/>
      </c>
      <c r="K37" s="6" t="str">
        <f>IF(COUNTIFS('Monthly Scorecard'!$D$3:$D$506,$A37,'Monthly Scorecard'!$B$3:$B$506,K$3,'Monthly Scorecard'!$AC$3:$AC$506,"Entered")=0,"",SUMIFS('Monthly Scorecard'!$AF$3:$AF$506,'Monthly Scorecard'!$D$3:$D$506,$A37,'Monthly Scorecard'!$B$3:$B$506,K$3,'Monthly Scorecard'!$AC$3:$AC$506,"Entered")/COUNTIFS('Monthly Scorecard'!$D$3:$D$506,$A37,'Monthly Scorecard'!$B$3:$B$506,K$3,'Monthly Scorecard'!$AC$3:$AC$506,"Entered"))</f>
        <v/>
      </c>
      <c r="L37" s="6" t="str">
        <f>IF(COUNTIFS('Monthly Scorecard'!$D$3:$D$506,$A37,'Monthly Scorecard'!$B$3:$B$506,L$3,'Monthly Scorecard'!$AC$3:$AC$506,"Entered")=0,"",SUMIFS('Monthly Scorecard'!$AF$3:$AF$506,'Monthly Scorecard'!$D$3:$D$506,$A37,'Monthly Scorecard'!$B$3:$B$506,L$3,'Monthly Scorecard'!$AC$3:$AC$506,"Entered")/COUNTIFS('Monthly Scorecard'!$D$3:$D$506,$A37,'Monthly Scorecard'!$B$3:$B$506,L$3,'Monthly Scorecard'!$AC$3:$AC$506,"Entered"))</f>
        <v/>
      </c>
      <c r="M37" s="6" t="str">
        <f>IF(COUNTIFS('Monthly Scorecard'!$D$3:$D$506,$A37,'Monthly Scorecard'!$B$3:$B$506,M$3,'Monthly Scorecard'!$AC$3:$AC$506,"Entered")=0,"",SUMIFS('Monthly Scorecard'!$AF$3:$AF$506,'Monthly Scorecard'!$D$3:$D$506,$A37,'Monthly Scorecard'!$B$3:$B$506,M$3,'Monthly Scorecard'!$AC$3:$AC$506,"Entered")/COUNTIFS('Monthly Scorecard'!$D$3:$D$506,$A37,'Monthly Scorecard'!$B$3:$B$506,M$3,'Monthly Scorecard'!$AC$3:$AC$506,"Entered"))</f>
        <v/>
      </c>
      <c r="N37" s="6">
        <f t="shared" si="0"/>
        <v>68.3</v>
      </c>
      <c r="O37" s="8" t="str">
        <f>IF(OR($N37="",$P37=""),"",IFERROR(IF($N37&gt;=VLOOKUP($P37,'Input &amp; Settings'!$F$5:$K$10,3,FALSE),"Outstanding",IF($N37&gt;=VLOOKUP($P37,'Input &amp; Settings'!$F$5:$K$10,4,FALSE),"Exceeds Expectations",IF($N37&gt;=VLOOKUP($P37,'Input &amp; Settings'!$F$5:$K$10,5,FALSE),"Meets Expectations",IF($N37&gt;=VLOOKUP($P37,'Input &amp; Settings'!$F$5:$K$10,6,FALSE),"Needs Improvement","Performance Improvement Required")))),""))</f>
        <v>Exceeds Expectations</v>
      </c>
      <c r="P37" t="str">
        <f>IFERROR(LOOKUP(2,1/(('Monthly Scorecard'!$D$3:$D$506=$A37)*('Monthly Scorecard'!$E$3:$E$506&lt;&gt;"")),'Monthly Scorecard'!$E$3:$E$506),"")</f>
        <v>3rd Shift</v>
      </c>
    </row>
    <row r="38" spans="1:16">
      <c r="A38" t="s">
        <v>72</v>
      </c>
      <c r="B38" s="6" t="str">
        <f>IF(COUNTIFS('Monthly Scorecard'!$D$3:$D$506,$A38,'Monthly Scorecard'!$B$3:$B$506,B$3,'Monthly Scorecard'!$AC$3:$AC$506,"Entered")=0,"",SUMIFS('Monthly Scorecard'!$AF$3:$AF$506,'Monthly Scorecard'!$D$3:$D$506,$A38,'Monthly Scorecard'!$B$3:$B$506,B$3,'Monthly Scorecard'!$AC$3:$AC$506,"Entered")/COUNTIFS('Monthly Scorecard'!$D$3:$D$506,$A38,'Monthly Scorecard'!$B$3:$B$506,B$3,'Monthly Scorecard'!$AC$3:$AC$506,"Entered"))</f>
        <v/>
      </c>
      <c r="C38" s="6" t="str">
        <f>IF(COUNTIFS('Monthly Scorecard'!$D$3:$D$506,$A38,'Monthly Scorecard'!$B$3:$B$506,C$3,'Monthly Scorecard'!$AC$3:$AC$506,"Entered")=0,"",SUMIFS('Monthly Scorecard'!$AF$3:$AF$506,'Monthly Scorecard'!$D$3:$D$506,$A38,'Monthly Scorecard'!$B$3:$B$506,C$3,'Monthly Scorecard'!$AC$3:$AC$506,"Entered")/COUNTIFS('Monthly Scorecard'!$D$3:$D$506,$A38,'Monthly Scorecard'!$B$3:$B$506,C$3,'Monthly Scorecard'!$AC$3:$AC$506,"Entered"))</f>
        <v/>
      </c>
      <c r="D38" s="6" t="str">
        <f>IF(COUNTIFS('Monthly Scorecard'!$D$3:$D$506,$A38,'Monthly Scorecard'!$B$3:$B$506,D$3,'Monthly Scorecard'!$AC$3:$AC$506,"Entered")=0,"",SUMIFS('Monthly Scorecard'!$AF$3:$AF$506,'Monthly Scorecard'!$D$3:$D$506,$A38,'Monthly Scorecard'!$B$3:$B$506,D$3,'Monthly Scorecard'!$AC$3:$AC$506,"Entered")/COUNTIFS('Monthly Scorecard'!$D$3:$D$506,$A38,'Monthly Scorecard'!$B$3:$B$506,D$3,'Monthly Scorecard'!$AC$3:$AC$506,"Entered"))</f>
        <v/>
      </c>
      <c r="E38" s="6" t="str">
        <f>IF(COUNTIFS('Monthly Scorecard'!$D$3:$D$506,$A38,'Monthly Scorecard'!$B$3:$B$506,E$3,'Monthly Scorecard'!$AC$3:$AC$506,"Entered")=0,"",SUMIFS('Monthly Scorecard'!$AF$3:$AF$506,'Monthly Scorecard'!$D$3:$D$506,$A38,'Monthly Scorecard'!$B$3:$B$506,E$3,'Monthly Scorecard'!$AC$3:$AC$506,"Entered")/COUNTIFS('Monthly Scorecard'!$D$3:$D$506,$A38,'Monthly Scorecard'!$B$3:$B$506,E$3,'Monthly Scorecard'!$AC$3:$AC$506,"Entered"))</f>
        <v/>
      </c>
      <c r="F38" s="6" t="str">
        <f>IF(COUNTIFS('Monthly Scorecard'!$D$3:$D$506,$A38,'Monthly Scorecard'!$B$3:$B$506,F$3,'Monthly Scorecard'!$AC$3:$AC$506,"Entered")=0,"",SUMIFS('Monthly Scorecard'!$AF$3:$AF$506,'Monthly Scorecard'!$D$3:$D$506,$A38,'Monthly Scorecard'!$B$3:$B$506,F$3,'Monthly Scorecard'!$AC$3:$AC$506,"Entered")/COUNTIFS('Monthly Scorecard'!$D$3:$D$506,$A38,'Monthly Scorecard'!$B$3:$B$506,F$3,'Monthly Scorecard'!$AC$3:$AC$506,"Entered"))</f>
        <v/>
      </c>
      <c r="G38" s="6" t="str">
        <f>IF(COUNTIFS('Monthly Scorecard'!$D$3:$D$506,$A38,'Monthly Scorecard'!$B$3:$B$506,G$3,'Monthly Scorecard'!$AC$3:$AC$506,"Entered")=0,"",SUMIFS('Monthly Scorecard'!$AF$3:$AF$506,'Monthly Scorecard'!$D$3:$D$506,$A38,'Monthly Scorecard'!$B$3:$B$506,G$3,'Monthly Scorecard'!$AC$3:$AC$506,"Entered")/COUNTIFS('Monthly Scorecard'!$D$3:$D$506,$A38,'Monthly Scorecard'!$B$3:$B$506,G$3,'Monthly Scorecard'!$AC$3:$AC$506,"Entered"))</f>
        <v/>
      </c>
      <c r="H38" s="6" t="str">
        <f>IF(COUNTIFS('Monthly Scorecard'!$D$3:$D$506,$A38,'Monthly Scorecard'!$B$3:$B$506,H$3,'Monthly Scorecard'!$AC$3:$AC$506,"Entered")=0,"",SUMIFS('Monthly Scorecard'!$AF$3:$AF$506,'Monthly Scorecard'!$D$3:$D$506,$A38,'Monthly Scorecard'!$B$3:$B$506,H$3,'Monthly Scorecard'!$AC$3:$AC$506,"Entered")/COUNTIFS('Monthly Scorecard'!$D$3:$D$506,$A38,'Monthly Scorecard'!$B$3:$B$506,H$3,'Monthly Scorecard'!$AC$3:$AC$506,"Entered"))</f>
        <v/>
      </c>
      <c r="I38" s="6" t="str">
        <f>IF(COUNTIFS('Monthly Scorecard'!$D$3:$D$506,$A38,'Monthly Scorecard'!$B$3:$B$506,I$3,'Monthly Scorecard'!$AC$3:$AC$506,"Entered")=0,"",SUMIFS('Monthly Scorecard'!$AF$3:$AF$506,'Monthly Scorecard'!$D$3:$D$506,$A38,'Monthly Scorecard'!$B$3:$B$506,I$3,'Monthly Scorecard'!$AC$3:$AC$506,"Entered")/COUNTIFS('Monthly Scorecard'!$D$3:$D$506,$A38,'Monthly Scorecard'!$B$3:$B$506,I$3,'Monthly Scorecard'!$AC$3:$AC$506,"Entered"))</f>
        <v/>
      </c>
      <c r="J38" s="6" t="str">
        <f>IF(COUNTIFS('Monthly Scorecard'!$D$3:$D$506,$A38,'Monthly Scorecard'!$B$3:$B$506,J$3,'Monthly Scorecard'!$AC$3:$AC$506,"Entered")=0,"",SUMIFS('Monthly Scorecard'!$AF$3:$AF$506,'Monthly Scorecard'!$D$3:$D$506,$A38,'Monthly Scorecard'!$B$3:$B$506,J$3,'Monthly Scorecard'!$AC$3:$AC$506,"Entered")/COUNTIFS('Monthly Scorecard'!$D$3:$D$506,$A38,'Monthly Scorecard'!$B$3:$B$506,J$3,'Monthly Scorecard'!$AC$3:$AC$506,"Entered"))</f>
        <v/>
      </c>
      <c r="K38" s="6" t="str">
        <f>IF(COUNTIFS('Monthly Scorecard'!$D$3:$D$506,$A38,'Monthly Scorecard'!$B$3:$B$506,K$3,'Monthly Scorecard'!$AC$3:$AC$506,"Entered")=0,"",SUMIFS('Monthly Scorecard'!$AF$3:$AF$506,'Monthly Scorecard'!$D$3:$D$506,$A38,'Monthly Scorecard'!$B$3:$B$506,K$3,'Monthly Scorecard'!$AC$3:$AC$506,"Entered")/COUNTIFS('Monthly Scorecard'!$D$3:$D$506,$A38,'Monthly Scorecard'!$B$3:$B$506,K$3,'Monthly Scorecard'!$AC$3:$AC$506,"Entered"))</f>
        <v/>
      </c>
      <c r="L38" s="6" t="str">
        <f>IF(COUNTIFS('Monthly Scorecard'!$D$3:$D$506,$A38,'Monthly Scorecard'!$B$3:$B$506,L$3,'Monthly Scorecard'!$AC$3:$AC$506,"Entered")=0,"",SUMIFS('Monthly Scorecard'!$AF$3:$AF$506,'Monthly Scorecard'!$D$3:$D$506,$A38,'Monthly Scorecard'!$B$3:$B$506,L$3,'Monthly Scorecard'!$AC$3:$AC$506,"Entered")/COUNTIFS('Monthly Scorecard'!$D$3:$D$506,$A38,'Monthly Scorecard'!$B$3:$B$506,L$3,'Monthly Scorecard'!$AC$3:$AC$506,"Entered"))</f>
        <v/>
      </c>
      <c r="M38" s="6" t="str">
        <f>IF(COUNTIFS('Monthly Scorecard'!$D$3:$D$506,$A38,'Monthly Scorecard'!$B$3:$B$506,M$3,'Monthly Scorecard'!$AC$3:$AC$506,"Entered")=0,"",SUMIFS('Monthly Scorecard'!$AF$3:$AF$506,'Monthly Scorecard'!$D$3:$D$506,$A38,'Monthly Scorecard'!$B$3:$B$506,M$3,'Monthly Scorecard'!$AC$3:$AC$506,"Entered")/COUNTIFS('Monthly Scorecard'!$D$3:$D$506,$A38,'Monthly Scorecard'!$B$3:$B$506,M$3,'Monthly Scorecard'!$AC$3:$AC$506,"Entered"))</f>
        <v/>
      </c>
      <c r="N38" s="6" t="str">
        <f t="shared" si="0"/>
        <v/>
      </c>
      <c r="O38" s="8" t="str">
        <f>IF(OR($N38="",$P38=""),"",IFERROR(IF($N38&gt;=VLOOKUP($P38,'Input &amp; Settings'!$F$5:$K$10,3,FALSE),"Outstanding",IF($N38&gt;=VLOOKUP($P38,'Input &amp; Settings'!$F$5:$K$10,4,FALSE),"Exceeds Expectations",IF($N38&gt;=VLOOKUP($P38,'Input &amp; Settings'!$F$5:$K$10,5,FALSE),"Meets Expectations",IF($N38&gt;=VLOOKUP($P38,'Input &amp; Settings'!$F$5:$K$10,6,FALSE),"Needs Improvement","Performance Improvement Required")))),""))</f>
        <v/>
      </c>
      <c r="P38" t="str">
        <f>IFERROR(LOOKUP(2,1/(('Monthly Scorecard'!$D$3:$D$506=$A38)*('Monthly Scorecard'!$E$3:$E$506&lt;&gt;"")),'Monthly Scorecard'!$E$3:$E$506),"")</f>
        <v>1st Shift Weekend</v>
      </c>
    </row>
    <row r="39" spans="1:16">
      <c r="A39" t="s">
        <v>73</v>
      </c>
      <c r="B39" s="6" t="str">
        <f>IF(COUNTIFS('Monthly Scorecard'!$D$3:$D$506,$A39,'Monthly Scorecard'!$B$3:$B$506,B$3,'Monthly Scorecard'!$AC$3:$AC$506,"Entered")=0,"",SUMIFS('Monthly Scorecard'!$AF$3:$AF$506,'Monthly Scorecard'!$D$3:$D$506,$A39,'Monthly Scorecard'!$B$3:$B$506,B$3,'Monthly Scorecard'!$AC$3:$AC$506,"Entered")/COUNTIFS('Monthly Scorecard'!$D$3:$D$506,$A39,'Monthly Scorecard'!$B$3:$B$506,B$3,'Monthly Scorecard'!$AC$3:$AC$506,"Entered"))</f>
        <v/>
      </c>
      <c r="C39" s="6" t="str">
        <f>IF(COUNTIFS('Monthly Scorecard'!$D$3:$D$506,$A39,'Monthly Scorecard'!$B$3:$B$506,C$3,'Monthly Scorecard'!$AC$3:$AC$506,"Entered")=0,"",SUMIFS('Monthly Scorecard'!$AF$3:$AF$506,'Monthly Scorecard'!$D$3:$D$506,$A39,'Monthly Scorecard'!$B$3:$B$506,C$3,'Monthly Scorecard'!$AC$3:$AC$506,"Entered")/COUNTIFS('Monthly Scorecard'!$D$3:$D$506,$A39,'Monthly Scorecard'!$B$3:$B$506,C$3,'Monthly Scorecard'!$AC$3:$AC$506,"Entered"))</f>
        <v/>
      </c>
      <c r="D39" s="6" t="str">
        <f>IF(COUNTIFS('Monthly Scorecard'!$D$3:$D$506,$A39,'Monthly Scorecard'!$B$3:$B$506,D$3,'Monthly Scorecard'!$AC$3:$AC$506,"Entered")=0,"",SUMIFS('Monthly Scorecard'!$AF$3:$AF$506,'Monthly Scorecard'!$D$3:$D$506,$A39,'Monthly Scorecard'!$B$3:$B$506,D$3,'Monthly Scorecard'!$AC$3:$AC$506,"Entered")/COUNTIFS('Monthly Scorecard'!$D$3:$D$506,$A39,'Monthly Scorecard'!$B$3:$B$506,D$3,'Monthly Scorecard'!$AC$3:$AC$506,"Entered"))</f>
        <v/>
      </c>
      <c r="E39" s="6" t="str">
        <f>IF(COUNTIFS('Monthly Scorecard'!$D$3:$D$506,$A39,'Monthly Scorecard'!$B$3:$B$506,E$3,'Monthly Scorecard'!$AC$3:$AC$506,"Entered")=0,"",SUMIFS('Monthly Scorecard'!$AF$3:$AF$506,'Monthly Scorecard'!$D$3:$D$506,$A39,'Monthly Scorecard'!$B$3:$B$506,E$3,'Monthly Scorecard'!$AC$3:$AC$506,"Entered")/COUNTIFS('Monthly Scorecard'!$D$3:$D$506,$A39,'Monthly Scorecard'!$B$3:$B$506,E$3,'Monthly Scorecard'!$AC$3:$AC$506,"Entered"))</f>
        <v/>
      </c>
      <c r="F39" s="6" t="str">
        <f>IF(COUNTIFS('Monthly Scorecard'!$D$3:$D$506,$A39,'Monthly Scorecard'!$B$3:$B$506,F$3,'Monthly Scorecard'!$AC$3:$AC$506,"Entered")=0,"",SUMIFS('Monthly Scorecard'!$AF$3:$AF$506,'Monthly Scorecard'!$D$3:$D$506,$A39,'Monthly Scorecard'!$B$3:$B$506,F$3,'Monthly Scorecard'!$AC$3:$AC$506,"Entered")/COUNTIFS('Monthly Scorecard'!$D$3:$D$506,$A39,'Monthly Scorecard'!$B$3:$B$506,F$3,'Monthly Scorecard'!$AC$3:$AC$506,"Entered"))</f>
        <v/>
      </c>
      <c r="G39" s="6">
        <f>IF(COUNTIFS('Monthly Scorecard'!$D$3:$D$506,$A39,'Monthly Scorecard'!$B$3:$B$506,G$3,'Monthly Scorecard'!$AC$3:$AC$506,"Entered")=0,"",SUMIFS('Monthly Scorecard'!$AF$3:$AF$506,'Monthly Scorecard'!$D$3:$D$506,$A39,'Monthly Scorecard'!$B$3:$B$506,G$3,'Monthly Scorecard'!$AC$3:$AC$506,"Entered")/COUNTIFS('Monthly Scorecard'!$D$3:$D$506,$A39,'Monthly Scorecard'!$B$3:$B$506,G$3,'Monthly Scorecard'!$AC$3:$AC$506,"Entered"))</f>
        <v>69.099999999999994</v>
      </c>
      <c r="H39" s="6">
        <f>IF(COUNTIFS('Monthly Scorecard'!$D$3:$D$506,$A39,'Monthly Scorecard'!$B$3:$B$506,H$3,'Monthly Scorecard'!$AC$3:$AC$506,"Entered")=0,"",SUMIFS('Monthly Scorecard'!$AF$3:$AF$506,'Monthly Scorecard'!$D$3:$D$506,$A39,'Monthly Scorecard'!$B$3:$B$506,H$3,'Monthly Scorecard'!$AC$3:$AC$506,"Entered")/COUNTIFS('Monthly Scorecard'!$D$3:$D$506,$A39,'Monthly Scorecard'!$B$3:$B$506,H$3,'Monthly Scorecard'!$AC$3:$AC$506,"Entered"))</f>
        <v>63.5</v>
      </c>
      <c r="I39" s="6" t="str">
        <f>IF(COUNTIFS('Monthly Scorecard'!$D$3:$D$506,$A39,'Monthly Scorecard'!$B$3:$B$506,I$3,'Monthly Scorecard'!$AC$3:$AC$506,"Entered")=0,"",SUMIFS('Monthly Scorecard'!$AF$3:$AF$506,'Monthly Scorecard'!$D$3:$D$506,$A39,'Monthly Scorecard'!$B$3:$B$506,I$3,'Monthly Scorecard'!$AC$3:$AC$506,"Entered")/COUNTIFS('Monthly Scorecard'!$D$3:$D$506,$A39,'Monthly Scorecard'!$B$3:$B$506,I$3,'Monthly Scorecard'!$AC$3:$AC$506,"Entered"))</f>
        <v/>
      </c>
      <c r="J39" s="6" t="str">
        <f>IF(COUNTIFS('Monthly Scorecard'!$D$3:$D$506,$A39,'Monthly Scorecard'!$B$3:$B$506,J$3,'Monthly Scorecard'!$AC$3:$AC$506,"Entered")=0,"",SUMIFS('Monthly Scorecard'!$AF$3:$AF$506,'Monthly Scorecard'!$D$3:$D$506,$A39,'Monthly Scorecard'!$B$3:$B$506,J$3,'Monthly Scorecard'!$AC$3:$AC$506,"Entered")/COUNTIFS('Monthly Scorecard'!$D$3:$D$506,$A39,'Monthly Scorecard'!$B$3:$B$506,J$3,'Monthly Scorecard'!$AC$3:$AC$506,"Entered"))</f>
        <v/>
      </c>
      <c r="K39" s="6" t="str">
        <f>IF(COUNTIFS('Monthly Scorecard'!$D$3:$D$506,$A39,'Monthly Scorecard'!$B$3:$B$506,K$3,'Monthly Scorecard'!$AC$3:$AC$506,"Entered")=0,"",SUMIFS('Monthly Scorecard'!$AF$3:$AF$506,'Monthly Scorecard'!$D$3:$D$506,$A39,'Monthly Scorecard'!$B$3:$B$506,K$3,'Monthly Scorecard'!$AC$3:$AC$506,"Entered")/COUNTIFS('Monthly Scorecard'!$D$3:$D$506,$A39,'Monthly Scorecard'!$B$3:$B$506,K$3,'Monthly Scorecard'!$AC$3:$AC$506,"Entered"))</f>
        <v/>
      </c>
      <c r="L39" s="6" t="str">
        <f>IF(COUNTIFS('Monthly Scorecard'!$D$3:$D$506,$A39,'Monthly Scorecard'!$B$3:$B$506,L$3,'Monthly Scorecard'!$AC$3:$AC$506,"Entered")=0,"",SUMIFS('Monthly Scorecard'!$AF$3:$AF$506,'Monthly Scorecard'!$D$3:$D$506,$A39,'Monthly Scorecard'!$B$3:$B$506,L$3,'Monthly Scorecard'!$AC$3:$AC$506,"Entered")/COUNTIFS('Monthly Scorecard'!$D$3:$D$506,$A39,'Monthly Scorecard'!$B$3:$B$506,L$3,'Monthly Scorecard'!$AC$3:$AC$506,"Entered"))</f>
        <v/>
      </c>
      <c r="M39" s="6" t="str">
        <f>IF(COUNTIFS('Monthly Scorecard'!$D$3:$D$506,$A39,'Monthly Scorecard'!$B$3:$B$506,M$3,'Monthly Scorecard'!$AC$3:$AC$506,"Entered")=0,"",SUMIFS('Monthly Scorecard'!$AF$3:$AF$506,'Monthly Scorecard'!$D$3:$D$506,$A39,'Monthly Scorecard'!$B$3:$B$506,M$3,'Monthly Scorecard'!$AC$3:$AC$506,"Entered")/COUNTIFS('Monthly Scorecard'!$D$3:$D$506,$A39,'Monthly Scorecard'!$B$3:$B$506,M$3,'Monthly Scorecard'!$AC$3:$AC$506,"Entered"))</f>
        <v/>
      </c>
      <c r="N39" s="6">
        <f t="shared" si="0"/>
        <v>66.3</v>
      </c>
      <c r="O39" s="8" t="str">
        <f>IF(OR($N39="",$P39=""),"",IFERROR(IF($N39&gt;=VLOOKUP($P39,'Input &amp; Settings'!$F$5:$K$10,3,FALSE),"Outstanding",IF($N39&gt;=VLOOKUP($P39,'Input &amp; Settings'!$F$5:$K$10,4,FALSE),"Exceeds Expectations",IF($N39&gt;=VLOOKUP($P39,'Input &amp; Settings'!$F$5:$K$10,5,FALSE),"Meets Expectations",IF($N39&gt;=VLOOKUP($P39,'Input &amp; Settings'!$F$5:$K$10,6,FALSE),"Needs Improvement","Performance Improvement Required")))),""))</f>
        <v>Meets Expectations</v>
      </c>
      <c r="P39" t="str">
        <f>IFERROR(LOOKUP(2,1/(('Monthly Scorecard'!$D$3:$D$506=$A39)*('Monthly Scorecard'!$E$3:$E$506&lt;&gt;"")),'Monthly Scorecard'!$E$3:$E$506),"")</f>
        <v>1st Shift</v>
      </c>
    </row>
    <row r="40" spans="1:16">
      <c r="A40" t="s">
        <v>75</v>
      </c>
      <c r="B40" s="6" t="str">
        <f>IF(COUNTIFS('Monthly Scorecard'!$D$3:$D$506,$A40,'Monthly Scorecard'!$B$3:$B$506,B$3,'Monthly Scorecard'!$AC$3:$AC$506,"Entered")=0,"",SUMIFS('Monthly Scorecard'!$AF$3:$AF$506,'Monthly Scorecard'!$D$3:$D$506,$A40,'Monthly Scorecard'!$B$3:$B$506,B$3,'Monthly Scorecard'!$AC$3:$AC$506,"Entered")/COUNTIFS('Monthly Scorecard'!$D$3:$D$506,$A40,'Monthly Scorecard'!$B$3:$B$506,B$3,'Monthly Scorecard'!$AC$3:$AC$506,"Entered"))</f>
        <v/>
      </c>
      <c r="C40" s="6" t="str">
        <f>IF(COUNTIFS('Monthly Scorecard'!$D$3:$D$506,$A40,'Monthly Scorecard'!$B$3:$B$506,C$3,'Monthly Scorecard'!$AC$3:$AC$506,"Entered")=0,"",SUMIFS('Monthly Scorecard'!$AF$3:$AF$506,'Monthly Scorecard'!$D$3:$D$506,$A40,'Monthly Scorecard'!$B$3:$B$506,C$3,'Monthly Scorecard'!$AC$3:$AC$506,"Entered")/COUNTIFS('Monthly Scorecard'!$D$3:$D$506,$A40,'Monthly Scorecard'!$B$3:$B$506,C$3,'Monthly Scorecard'!$AC$3:$AC$506,"Entered"))</f>
        <v/>
      </c>
      <c r="D40" s="6" t="str">
        <f>IF(COUNTIFS('Monthly Scorecard'!$D$3:$D$506,$A40,'Monthly Scorecard'!$B$3:$B$506,D$3,'Monthly Scorecard'!$AC$3:$AC$506,"Entered")=0,"",SUMIFS('Monthly Scorecard'!$AF$3:$AF$506,'Monthly Scorecard'!$D$3:$D$506,$A40,'Monthly Scorecard'!$B$3:$B$506,D$3,'Monthly Scorecard'!$AC$3:$AC$506,"Entered")/COUNTIFS('Monthly Scorecard'!$D$3:$D$506,$A40,'Monthly Scorecard'!$B$3:$B$506,D$3,'Monthly Scorecard'!$AC$3:$AC$506,"Entered"))</f>
        <v/>
      </c>
      <c r="E40" s="6" t="str">
        <f>IF(COUNTIFS('Monthly Scorecard'!$D$3:$D$506,$A40,'Monthly Scorecard'!$B$3:$B$506,E$3,'Monthly Scorecard'!$AC$3:$AC$506,"Entered")=0,"",SUMIFS('Monthly Scorecard'!$AF$3:$AF$506,'Monthly Scorecard'!$D$3:$D$506,$A40,'Monthly Scorecard'!$B$3:$B$506,E$3,'Monthly Scorecard'!$AC$3:$AC$506,"Entered")/COUNTIFS('Monthly Scorecard'!$D$3:$D$506,$A40,'Monthly Scorecard'!$B$3:$B$506,E$3,'Monthly Scorecard'!$AC$3:$AC$506,"Entered"))</f>
        <v/>
      </c>
      <c r="F40" s="6" t="str">
        <f>IF(COUNTIFS('Monthly Scorecard'!$D$3:$D$506,$A40,'Monthly Scorecard'!$B$3:$B$506,F$3,'Monthly Scorecard'!$AC$3:$AC$506,"Entered")=0,"",SUMIFS('Monthly Scorecard'!$AF$3:$AF$506,'Monthly Scorecard'!$D$3:$D$506,$A40,'Monthly Scorecard'!$B$3:$B$506,F$3,'Monthly Scorecard'!$AC$3:$AC$506,"Entered")/COUNTIFS('Monthly Scorecard'!$D$3:$D$506,$A40,'Monthly Scorecard'!$B$3:$B$506,F$3,'Monthly Scorecard'!$AC$3:$AC$506,"Entered"))</f>
        <v/>
      </c>
      <c r="G40" s="6" t="str">
        <f>IF(COUNTIFS('Monthly Scorecard'!$D$3:$D$506,$A40,'Monthly Scorecard'!$B$3:$B$506,G$3,'Monthly Scorecard'!$AC$3:$AC$506,"Entered")=0,"",SUMIFS('Monthly Scorecard'!$AF$3:$AF$506,'Monthly Scorecard'!$D$3:$D$506,$A40,'Monthly Scorecard'!$B$3:$B$506,G$3,'Monthly Scorecard'!$AC$3:$AC$506,"Entered")/COUNTIFS('Monthly Scorecard'!$D$3:$D$506,$A40,'Monthly Scorecard'!$B$3:$B$506,G$3,'Monthly Scorecard'!$AC$3:$AC$506,"Entered"))</f>
        <v/>
      </c>
      <c r="H40" s="6" t="str">
        <f>IF(COUNTIFS('Monthly Scorecard'!$D$3:$D$506,$A40,'Monthly Scorecard'!$B$3:$B$506,H$3,'Monthly Scorecard'!$AC$3:$AC$506,"Entered")=0,"",SUMIFS('Monthly Scorecard'!$AF$3:$AF$506,'Monthly Scorecard'!$D$3:$D$506,$A40,'Monthly Scorecard'!$B$3:$B$506,H$3,'Monthly Scorecard'!$AC$3:$AC$506,"Entered")/COUNTIFS('Monthly Scorecard'!$D$3:$D$506,$A40,'Monthly Scorecard'!$B$3:$B$506,H$3,'Monthly Scorecard'!$AC$3:$AC$506,"Entered"))</f>
        <v/>
      </c>
      <c r="I40" s="6" t="str">
        <f>IF(COUNTIFS('Monthly Scorecard'!$D$3:$D$506,$A40,'Monthly Scorecard'!$B$3:$B$506,I$3,'Monthly Scorecard'!$AC$3:$AC$506,"Entered")=0,"",SUMIFS('Monthly Scorecard'!$AF$3:$AF$506,'Monthly Scorecard'!$D$3:$D$506,$A40,'Monthly Scorecard'!$B$3:$B$506,I$3,'Monthly Scorecard'!$AC$3:$AC$506,"Entered")/COUNTIFS('Monthly Scorecard'!$D$3:$D$506,$A40,'Monthly Scorecard'!$B$3:$B$506,I$3,'Monthly Scorecard'!$AC$3:$AC$506,"Entered"))</f>
        <v/>
      </c>
      <c r="J40" s="6" t="str">
        <f>IF(COUNTIFS('Monthly Scorecard'!$D$3:$D$506,$A40,'Monthly Scorecard'!$B$3:$B$506,J$3,'Monthly Scorecard'!$AC$3:$AC$506,"Entered")=0,"",SUMIFS('Monthly Scorecard'!$AF$3:$AF$506,'Monthly Scorecard'!$D$3:$D$506,$A40,'Monthly Scorecard'!$B$3:$B$506,J$3,'Monthly Scorecard'!$AC$3:$AC$506,"Entered")/COUNTIFS('Monthly Scorecard'!$D$3:$D$506,$A40,'Monthly Scorecard'!$B$3:$B$506,J$3,'Monthly Scorecard'!$AC$3:$AC$506,"Entered"))</f>
        <v/>
      </c>
      <c r="K40" s="6" t="str">
        <f>IF(COUNTIFS('Monthly Scorecard'!$D$3:$D$506,$A40,'Monthly Scorecard'!$B$3:$B$506,K$3,'Monthly Scorecard'!$AC$3:$AC$506,"Entered")=0,"",SUMIFS('Monthly Scorecard'!$AF$3:$AF$506,'Monthly Scorecard'!$D$3:$D$506,$A40,'Monthly Scorecard'!$B$3:$B$506,K$3,'Monthly Scorecard'!$AC$3:$AC$506,"Entered")/COUNTIFS('Monthly Scorecard'!$D$3:$D$506,$A40,'Monthly Scorecard'!$B$3:$B$506,K$3,'Monthly Scorecard'!$AC$3:$AC$506,"Entered"))</f>
        <v/>
      </c>
      <c r="L40" s="6" t="str">
        <f>IF(COUNTIFS('Monthly Scorecard'!$D$3:$D$506,$A40,'Monthly Scorecard'!$B$3:$B$506,L$3,'Monthly Scorecard'!$AC$3:$AC$506,"Entered")=0,"",SUMIFS('Monthly Scorecard'!$AF$3:$AF$506,'Monthly Scorecard'!$D$3:$D$506,$A40,'Monthly Scorecard'!$B$3:$B$506,L$3,'Monthly Scorecard'!$AC$3:$AC$506,"Entered")/COUNTIFS('Monthly Scorecard'!$D$3:$D$506,$A40,'Monthly Scorecard'!$B$3:$B$506,L$3,'Monthly Scorecard'!$AC$3:$AC$506,"Entered"))</f>
        <v/>
      </c>
      <c r="M40" s="6" t="str">
        <f>IF(COUNTIFS('Monthly Scorecard'!$D$3:$D$506,$A40,'Monthly Scorecard'!$B$3:$B$506,M$3,'Monthly Scorecard'!$AC$3:$AC$506,"Entered")=0,"",SUMIFS('Monthly Scorecard'!$AF$3:$AF$506,'Monthly Scorecard'!$D$3:$D$506,$A40,'Monthly Scorecard'!$B$3:$B$506,M$3,'Monthly Scorecard'!$AC$3:$AC$506,"Entered")/COUNTIFS('Monthly Scorecard'!$D$3:$D$506,$A40,'Monthly Scorecard'!$B$3:$B$506,M$3,'Monthly Scorecard'!$AC$3:$AC$506,"Entered"))</f>
        <v/>
      </c>
      <c r="N40" s="6" t="str">
        <f t="shared" si="0"/>
        <v/>
      </c>
      <c r="O40" s="8" t="str">
        <f>IF(OR($N40="",$P40=""),"",IFERROR(IF($N40&gt;=VLOOKUP($P40,'Input &amp; Settings'!$F$5:$K$10,3,FALSE),"Outstanding",IF($N40&gt;=VLOOKUP($P40,'Input &amp; Settings'!$F$5:$K$10,4,FALSE),"Exceeds Expectations",IF($N40&gt;=VLOOKUP($P40,'Input &amp; Settings'!$F$5:$K$10,5,FALSE),"Meets Expectations",IF($N40&gt;=VLOOKUP($P40,'Input &amp; Settings'!$F$5:$K$10,6,FALSE),"Needs Improvement","Performance Improvement Required")))),""))</f>
        <v/>
      </c>
      <c r="P40" t="str">
        <f>IFERROR(LOOKUP(2,1/(('Monthly Scorecard'!$D$3:$D$506=$A40)*('Monthly Scorecard'!$E$3:$E$506&lt;&gt;"")),'Monthly Scorecard'!$E$3:$E$506),"")</f>
        <v/>
      </c>
    </row>
    <row r="41" spans="1:16">
      <c r="A41" t="s">
        <v>76</v>
      </c>
      <c r="B41" s="6" t="str">
        <f>IF(COUNTIFS('Monthly Scorecard'!$D$3:$D$506,$A41,'Monthly Scorecard'!$B$3:$B$506,B$3,'Monthly Scorecard'!$AC$3:$AC$506,"Entered")=0,"",SUMIFS('Monthly Scorecard'!$AF$3:$AF$506,'Monthly Scorecard'!$D$3:$D$506,$A41,'Monthly Scorecard'!$B$3:$B$506,B$3,'Monthly Scorecard'!$AC$3:$AC$506,"Entered")/COUNTIFS('Monthly Scorecard'!$D$3:$D$506,$A41,'Monthly Scorecard'!$B$3:$B$506,B$3,'Monthly Scorecard'!$AC$3:$AC$506,"Entered"))</f>
        <v/>
      </c>
      <c r="C41" s="6" t="str">
        <f>IF(COUNTIFS('Monthly Scorecard'!$D$3:$D$506,$A41,'Monthly Scorecard'!$B$3:$B$506,C$3,'Monthly Scorecard'!$AC$3:$AC$506,"Entered")=0,"",SUMIFS('Monthly Scorecard'!$AF$3:$AF$506,'Monthly Scorecard'!$D$3:$D$506,$A41,'Monthly Scorecard'!$B$3:$B$506,C$3,'Monthly Scorecard'!$AC$3:$AC$506,"Entered")/COUNTIFS('Monthly Scorecard'!$D$3:$D$506,$A41,'Monthly Scorecard'!$B$3:$B$506,C$3,'Monthly Scorecard'!$AC$3:$AC$506,"Entered"))</f>
        <v/>
      </c>
      <c r="D41" s="6" t="str">
        <f>IF(COUNTIFS('Monthly Scorecard'!$D$3:$D$506,$A41,'Monthly Scorecard'!$B$3:$B$506,D$3,'Monthly Scorecard'!$AC$3:$AC$506,"Entered")=0,"",SUMIFS('Monthly Scorecard'!$AF$3:$AF$506,'Monthly Scorecard'!$D$3:$D$506,$A41,'Monthly Scorecard'!$B$3:$B$506,D$3,'Monthly Scorecard'!$AC$3:$AC$506,"Entered")/COUNTIFS('Monthly Scorecard'!$D$3:$D$506,$A41,'Monthly Scorecard'!$B$3:$B$506,D$3,'Monthly Scorecard'!$AC$3:$AC$506,"Entered"))</f>
        <v/>
      </c>
      <c r="E41" s="6" t="str">
        <f>IF(COUNTIFS('Monthly Scorecard'!$D$3:$D$506,$A41,'Monthly Scorecard'!$B$3:$B$506,E$3,'Monthly Scorecard'!$AC$3:$AC$506,"Entered")=0,"",SUMIFS('Monthly Scorecard'!$AF$3:$AF$506,'Monthly Scorecard'!$D$3:$D$506,$A41,'Monthly Scorecard'!$B$3:$B$506,E$3,'Monthly Scorecard'!$AC$3:$AC$506,"Entered")/COUNTIFS('Monthly Scorecard'!$D$3:$D$506,$A41,'Monthly Scorecard'!$B$3:$B$506,E$3,'Monthly Scorecard'!$AC$3:$AC$506,"Entered"))</f>
        <v/>
      </c>
      <c r="F41" s="6" t="str">
        <f>IF(COUNTIFS('Monthly Scorecard'!$D$3:$D$506,$A41,'Monthly Scorecard'!$B$3:$B$506,F$3,'Monthly Scorecard'!$AC$3:$AC$506,"Entered")=0,"",SUMIFS('Monthly Scorecard'!$AF$3:$AF$506,'Monthly Scorecard'!$D$3:$D$506,$A41,'Monthly Scorecard'!$B$3:$B$506,F$3,'Monthly Scorecard'!$AC$3:$AC$506,"Entered")/COUNTIFS('Monthly Scorecard'!$D$3:$D$506,$A41,'Monthly Scorecard'!$B$3:$B$506,F$3,'Monthly Scorecard'!$AC$3:$AC$506,"Entered"))</f>
        <v/>
      </c>
      <c r="G41" s="6" t="str">
        <f>IF(COUNTIFS('Monthly Scorecard'!$D$3:$D$506,$A41,'Monthly Scorecard'!$B$3:$B$506,G$3,'Monthly Scorecard'!$AC$3:$AC$506,"Entered")=0,"",SUMIFS('Monthly Scorecard'!$AF$3:$AF$506,'Monthly Scorecard'!$D$3:$D$506,$A41,'Monthly Scorecard'!$B$3:$B$506,G$3,'Monthly Scorecard'!$AC$3:$AC$506,"Entered")/COUNTIFS('Monthly Scorecard'!$D$3:$D$506,$A41,'Monthly Scorecard'!$B$3:$B$506,G$3,'Monthly Scorecard'!$AC$3:$AC$506,"Entered"))</f>
        <v/>
      </c>
      <c r="H41" s="6" t="str">
        <f>IF(COUNTIFS('Monthly Scorecard'!$D$3:$D$506,$A41,'Monthly Scorecard'!$B$3:$B$506,H$3,'Monthly Scorecard'!$AC$3:$AC$506,"Entered")=0,"",SUMIFS('Monthly Scorecard'!$AF$3:$AF$506,'Monthly Scorecard'!$D$3:$D$506,$A41,'Monthly Scorecard'!$B$3:$B$506,H$3,'Monthly Scorecard'!$AC$3:$AC$506,"Entered")/COUNTIFS('Monthly Scorecard'!$D$3:$D$506,$A41,'Monthly Scorecard'!$B$3:$B$506,H$3,'Monthly Scorecard'!$AC$3:$AC$506,"Entered"))</f>
        <v/>
      </c>
      <c r="I41" s="6" t="str">
        <f>IF(COUNTIFS('Monthly Scorecard'!$D$3:$D$506,$A41,'Monthly Scorecard'!$B$3:$B$506,I$3,'Monthly Scorecard'!$AC$3:$AC$506,"Entered")=0,"",SUMIFS('Monthly Scorecard'!$AF$3:$AF$506,'Monthly Scorecard'!$D$3:$D$506,$A41,'Monthly Scorecard'!$B$3:$B$506,I$3,'Monthly Scorecard'!$AC$3:$AC$506,"Entered")/COUNTIFS('Monthly Scorecard'!$D$3:$D$506,$A41,'Monthly Scorecard'!$B$3:$B$506,I$3,'Monthly Scorecard'!$AC$3:$AC$506,"Entered"))</f>
        <v/>
      </c>
      <c r="J41" s="6" t="str">
        <f>IF(COUNTIFS('Monthly Scorecard'!$D$3:$D$506,$A41,'Monthly Scorecard'!$B$3:$B$506,J$3,'Monthly Scorecard'!$AC$3:$AC$506,"Entered")=0,"",SUMIFS('Monthly Scorecard'!$AF$3:$AF$506,'Monthly Scorecard'!$D$3:$D$506,$A41,'Monthly Scorecard'!$B$3:$B$506,J$3,'Monthly Scorecard'!$AC$3:$AC$506,"Entered")/COUNTIFS('Monthly Scorecard'!$D$3:$D$506,$A41,'Monthly Scorecard'!$B$3:$B$506,J$3,'Monthly Scorecard'!$AC$3:$AC$506,"Entered"))</f>
        <v/>
      </c>
      <c r="K41" s="6" t="str">
        <f>IF(COUNTIFS('Monthly Scorecard'!$D$3:$D$506,$A41,'Monthly Scorecard'!$B$3:$B$506,K$3,'Monthly Scorecard'!$AC$3:$AC$506,"Entered")=0,"",SUMIFS('Monthly Scorecard'!$AF$3:$AF$506,'Monthly Scorecard'!$D$3:$D$506,$A41,'Monthly Scorecard'!$B$3:$B$506,K$3,'Monthly Scorecard'!$AC$3:$AC$506,"Entered")/COUNTIFS('Monthly Scorecard'!$D$3:$D$506,$A41,'Monthly Scorecard'!$B$3:$B$506,K$3,'Monthly Scorecard'!$AC$3:$AC$506,"Entered"))</f>
        <v/>
      </c>
      <c r="L41" s="6" t="str">
        <f>IF(COUNTIFS('Monthly Scorecard'!$D$3:$D$506,$A41,'Monthly Scorecard'!$B$3:$B$506,L$3,'Monthly Scorecard'!$AC$3:$AC$506,"Entered")=0,"",SUMIFS('Monthly Scorecard'!$AF$3:$AF$506,'Monthly Scorecard'!$D$3:$D$506,$A41,'Monthly Scorecard'!$B$3:$B$506,L$3,'Monthly Scorecard'!$AC$3:$AC$506,"Entered")/COUNTIFS('Monthly Scorecard'!$D$3:$D$506,$A41,'Monthly Scorecard'!$B$3:$B$506,L$3,'Monthly Scorecard'!$AC$3:$AC$506,"Entered"))</f>
        <v/>
      </c>
      <c r="M41" s="6" t="str">
        <f>IF(COUNTIFS('Monthly Scorecard'!$D$3:$D$506,$A41,'Monthly Scorecard'!$B$3:$B$506,M$3,'Monthly Scorecard'!$AC$3:$AC$506,"Entered")=0,"",SUMIFS('Monthly Scorecard'!$AF$3:$AF$506,'Monthly Scorecard'!$D$3:$D$506,$A41,'Monthly Scorecard'!$B$3:$B$506,M$3,'Monthly Scorecard'!$AC$3:$AC$506,"Entered")/COUNTIFS('Monthly Scorecard'!$D$3:$D$506,$A41,'Monthly Scorecard'!$B$3:$B$506,M$3,'Monthly Scorecard'!$AC$3:$AC$506,"Entered"))</f>
        <v/>
      </c>
      <c r="N41" s="6" t="str">
        <f t="shared" si="0"/>
        <v/>
      </c>
      <c r="O41" s="8" t="str">
        <f>IF(OR($N41="",$P41=""),"",IFERROR(IF($N41&gt;=VLOOKUP($P41,'Input &amp; Settings'!$F$5:$K$10,3,FALSE),"Outstanding",IF($N41&gt;=VLOOKUP($P41,'Input &amp; Settings'!$F$5:$K$10,4,FALSE),"Exceeds Expectations",IF($N41&gt;=VLOOKUP($P41,'Input &amp; Settings'!$F$5:$K$10,5,FALSE),"Meets Expectations",IF($N41&gt;=VLOOKUP($P41,'Input &amp; Settings'!$F$5:$K$10,6,FALSE),"Needs Improvement","Performance Improvement Required")))),""))</f>
        <v/>
      </c>
      <c r="P41" t="str">
        <f>IFERROR(LOOKUP(2,1/(('Monthly Scorecard'!$D$3:$D$506=$A41)*('Monthly Scorecard'!$E$3:$E$506&lt;&gt;"")),'Monthly Scorecard'!$E$3:$E$506),"")</f>
        <v/>
      </c>
    </row>
    <row r="42" spans="1:16">
      <c r="A42" t="s">
        <v>77</v>
      </c>
      <c r="B42" s="6" t="str">
        <f>IF(COUNTIFS('Monthly Scorecard'!$D$3:$D$506,$A42,'Monthly Scorecard'!$B$3:$B$506,B$3,'Monthly Scorecard'!$AC$3:$AC$506,"Entered")=0,"",SUMIFS('Monthly Scorecard'!$AF$3:$AF$506,'Monthly Scorecard'!$D$3:$D$506,$A42,'Monthly Scorecard'!$B$3:$B$506,B$3,'Monthly Scorecard'!$AC$3:$AC$506,"Entered")/COUNTIFS('Monthly Scorecard'!$D$3:$D$506,$A42,'Monthly Scorecard'!$B$3:$B$506,B$3,'Monthly Scorecard'!$AC$3:$AC$506,"Entered"))</f>
        <v/>
      </c>
      <c r="C42" s="6" t="str">
        <f>IF(COUNTIFS('Monthly Scorecard'!$D$3:$D$506,$A42,'Monthly Scorecard'!$B$3:$B$506,C$3,'Monthly Scorecard'!$AC$3:$AC$506,"Entered")=0,"",SUMIFS('Monthly Scorecard'!$AF$3:$AF$506,'Monthly Scorecard'!$D$3:$D$506,$A42,'Monthly Scorecard'!$B$3:$B$506,C$3,'Monthly Scorecard'!$AC$3:$AC$506,"Entered")/COUNTIFS('Monthly Scorecard'!$D$3:$D$506,$A42,'Monthly Scorecard'!$B$3:$B$506,C$3,'Monthly Scorecard'!$AC$3:$AC$506,"Entered"))</f>
        <v/>
      </c>
      <c r="D42" s="6" t="str">
        <f>IF(COUNTIFS('Monthly Scorecard'!$D$3:$D$506,$A42,'Monthly Scorecard'!$B$3:$B$506,D$3,'Monthly Scorecard'!$AC$3:$AC$506,"Entered")=0,"",SUMIFS('Monthly Scorecard'!$AF$3:$AF$506,'Monthly Scorecard'!$D$3:$D$506,$A42,'Monthly Scorecard'!$B$3:$B$506,D$3,'Monthly Scorecard'!$AC$3:$AC$506,"Entered")/COUNTIFS('Monthly Scorecard'!$D$3:$D$506,$A42,'Monthly Scorecard'!$B$3:$B$506,D$3,'Monthly Scorecard'!$AC$3:$AC$506,"Entered"))</f>
        <v/>
      </c>
      <c r="E42" s="6" t="str">
        <f>IF(COUNTIFS('Monthly Scorecard'!$D$3:$D$506,$A42,'Monthly Scorecard'!$B$3:$B$506,E$3,'Monthly Scorecard'!$AC$3:$AC$506,"Entered")=0,"",SUMIFS('Monthly Scorecard'!$AF$3:$AF$506,'Monthly Scorecard'!$D$3:$D$506,$A42,'Monthly Scorecard'!$B$3:$B$506,E$3,'Monthly Scorecard'!$AC$3:$AC$506,"Entered")/COUNTIFS('Monthly Scorecard'!$D$3:$D$506,$A42,'Monthly Scorecard'!$B$3:$B$506,E$3,'Monthly Scorecard'!$AC$3:$AC$506,"Entered"))</f>
        <v/>
      </c>
      <c r="F42" s="6" t="str">
        <f>IF(COUNTIFS('Monthly Scorecard'!$D$3:$D$506,$A42,'Monthly Scorecard'!$B$3:$B$506,F$3,'Monthly Scorecard'!$AC$3:$AC$506,"Entered")=0,"",SUMIFS('Monthly Scorecard'!$AF$3:$AF$506,'Monthly Scorecard'!$D$3:$D$506,$A42,'Monthly Scorecard'!$B$3:$B$506,F$3,'Monthly Scorecard'!$AC$3:$AC$506,"Entered")/COUNTIFS('Monthly Scorecard'!$D$3:$D$506,$A42,'Monthly Scorecard'!$B$3:$B$506,F$3,'Monthly Scorecard'!$AC$3:$AC$506,"Entered"))</f>
        <v/>
      </c>
      <c r="G42" s="6" t="str">
        <f>IF(COUNTIFS('Monthly Scorecard'!$D$3:$D$506,$A42,'Monthly Scorecard'!$B$3:$B$506,G$3,'Monthly Scorecard'!$AC$3:$AC$506,"Entered")=0,"",SUMIFS('Monthly Scorecard'!$AF$3:$AF$506,'Monthly Scorecard'!$D$3:$D$506,$A42,'Monthly Scorecard'!$B$3:$B$506,G$3,'Monthly Scorecard'!$AC$3:$AC$506,"Entered")/COUNTIFS('Monthly Scorecard'!$D$3:$D$506,$A42,'Monthly Scorecard'!$B$3:$B$506,G$3,'Monthly Scorecard'!$AC$3:$AC$506,"Entered"))</f>
        <v/>
      </c>
      <c r="H42" s="6" t="str">
        <f>IF(COUNTIFS('Monthly Scorecard'!$D$3:$D$506,$A42,'Monthly Scorecard'!$B$3:$B$506,H$3,'Monthly Scorecard'!$AC$3:$AC$506,"Entered")=0,"",SUMIFS('Monthly Scorecard'!$AF$3:$AF$506,'Monthly Scorecard'!$D$3:$D$506,$A42,'Monthly Scorecard'!$B$3:$B$506,H$3,'Monthly Scorecard'!$AC$3:$AC$506,"Entered")/COUNTIFS('Monthly Scorecard'!$D$3:$D$506,$A42,'Monthly Scorecard'!$B$3:$B$506,H$3,'Monthly Scorecard'!$AC$3:$AC$506,"Entered"))</f>
        <v/>
      </c>
      <c r="I42" s="6" t="str">
        <f>IF(COUNTIFS('Monthly Scorecard'!$D$3:$D$506,$A42,'Monthly Scorecard'!$B$3:$B$506,I$3,'Monthly Scorecard'!$AC$3:$AC$506,"Entered")=0,"",SUMIFS('Monthly Scorecard'!$AF$3:$AF$506,'Monthly Scorecard'!$D$3:$D$506,$A42,'Monthly Scorecard'!$B$3:$B$506,I$3,'Monthly Scorecard'!$AC$3:$AC$506,"Entered")/COUNTIFS('Monthly Scorecard'!$D$3:$D$506,$A42,'Monthly Scorecard'!$B$3:$B$506,I$3,'Monthly Scorecard'!$AC$3:$AC$506,"Entered"))</f>
        <v/>
      </c>
      <c r="J42" s="6" t="str">
        <f>IF(COUNTIFS('Monthly Scorecard'!$D$3:$D$506,$A42,'Monthly Scorecard'!$B$3:$B$506,J$3,'Monthly Scorecard'!$AC$3:$AC$506,"Entered")=0,"",SUMIFS('Monthly Scorecard'!$AF$3:$AF$506,'Monthly Scorecard'!$D$3:$D$506,$A42,'Monthly Scorecard'!$B$3:$B$506,J$3,'Monthly Scorecard'!$AC$3:$AC$506,"Entered")/COUNTIFS('Monthly Scorecard'!$D$3:$D$506,$A42,'Monthly Scorecard'!$B$3:$B$506,J$3,'Monthly Scorecard'!$AC$3:$AC$506,"Entered"))</f>
        <v/>
      </c>
      <c r="K42" s="6" t="str">
        <f>IF(COUNTIFS('Monthly Scorecard'!$D$3:$D$506,$A42,'Monthly Scorecard'!$B$3:$B$506,K$3,'Monthly Scorecard'!$AC$3:$AC$506,"Entered")=0,"",SUMIFS('Monthly Scorecard'!$AF$3:$AF$506,'Monthly Scorecard'!$D$3:$D$506,$A42,'Monthly Scorecard'!$B$3:$B$506,K$3,'Monthly Scorecard'!$AC$3:$AC$506,"Entered")/COUNTIFS('Monthly Scorecard'!$D$3:$D$506,$A42,'Monthly Scorecard'!$B$3:$B$506,K$3,'Monthly Scorecard'!$AC$3:$AC$506,"Entered"))</f>
        <v/>
      </c>
      <c r="L42" s="6" t="str">
        <f>IF(COUNTIFS('Monthly Scorecard'!$D$3:$D$506,$A42,'Monthly Scorecard'!$B$3:$B$506,L$3,'Monthly Scorecard'!$AC$3:$AC$506,"Entered")=0,"",SUMIFS('Monthly Scorecard'!$AF$3:$AF$506,'Monthly Scorecard'!$D$3:$D$506,$A42,'Monthly Scorecard'!$B$3:$B$506,L$3,'Monthly Scorecard'!$AC$3:$AC$506,"Entered")/COUNTIFS('Monthly Scorecard'!$D$3:$D$506,$A42,'Monthly Scorecard'!$B$3:$B$506,L$3,'Monthly Scorecard'!$AC$3:$AC$506,"Entered"))</f>
        <v/>
      </c>
      <c r="M42" s="6" t="str">
        <f>IF(COUNTIFS('Monthly Scorecard'!$D$3:$D$506,$A42,'Monthly Scorecard'!$B$3:$B$506,M$3,'Monthly Scorecard'!$AC$3:$AC$506,"Entered")=0,"",SUMIFS('Monthly Scorecard'!$AF$3:$AF$506,'Monthly Scorecard'!$D$3:$D$506,$A42,'Monthly Scorecard'!$B$3:$B$506,M$3,'Monthly Scorecard'!$AC$3:$AC$506,"Entered")/COUNTIFS('Monthly Scorecard'!$D$3:$D$506,$A42,'Monthly Scorecard'!$B$3:$B$506,M$3,'Monthly Scorecard'!$AC$3:$AC$506,"Entered"))</f>
        <v/>
      </c>
      <c r="N42" s="6" t="str">
        <f t="shared" si="0"/>
        <v/>
      </c>
      <c r="O42" s="8" t="str">
        <f>IF(OR($N42="",$P42=""),"",IFERROR(IF($N42&gt;=VLOOKUP($P42,'Input &amp; Settings'!$F$5:$K$10,3,FALSE),"Outstanding",IF($N42&gt;=VLOOKUP($P42,'Input &amp; Settings'!$F$5:$K$10,4,FALSE),"Exceeds Expectations",IF($N42&gt;=VLOOKUP($P42,'Input &amp; Settings'!$F$5:$K$10,5,FALSE),"Meets Expectations",IF($N42&gt;=VLOOKUP($P42,'Input &amp; Settings'!$F$5:$K$10,6,FALSE),"Needs Improvement","Performance Improvement Required")))),""))</f>
        <v/>
      </c>
      <c r="P42" t="str">
        <f>IFERROR(LOOKUP(2,1/(('Monthly Scorecard'!$D$3:$D$506=$A42)*('Monthly Scorecard'!$E$3:$E$506&lt;&gt;"")),'Monthly Scorecard'!$E$3:$E$506),"")</f>
        <v/>
      </c>
    </row>
    <row r="43" spans="1:16">
      <c r="A43" t="s">
        <v>78</v>
      </c>
      <c r="B43" s="6" t="str">
        <f>IF(COUNTIFS('Monthly Scorecard'!$D$3:$D$506,$A43,'Monthly Scorecard'!$B$3:$B$506,B$3,'Monthly Scorecard'!$AC$3:$AC$506,"Entered")=0,"",SUMIFS('Monthly Scorecard'!$AF$3:$AF$506,'Monthly Scorecard'!$D$3:$D$506,$A43,'Monthly Scorecard'!$B$3:$B$506,B$3,'Monthly Scorecard'!$AC$3:$AC$506,"Entered")/COUNTIFS('Monthly Scorecard'!$D$3:$D$506,$A43,'Monthly Scorecard'!$B$3:$B$506,B$3,'Monthly Scorecard'!$AC$3:$AC$506,"Entered"))</f>
        <v/>
      </c>
      <c r="C43" s="6" t="str">
        <f>IF(COUNTIFS('Monthly Scorecard'!$D$3:$D$506,$A43,'Monthly Scorecard'!$B$3:$B$506,C$3,'Monthly Scorecard'!$AC$3:$AC$506,"Entered")=0,"",SUMIFS('Monthly Scorecard'!$AF$3:$AF$506,'Monthly Scorecard'!$D$3:$D$506,$A43,'Monthly Scorecard'!$B$3:$B$506,C$3,'Monthly Scorecard'!$AC$3:$AC$506,"Entered")/COUNTIFS('Monthly Scorecard'!$D$3:$D$506,$A43,'Monthly Scorecard'!$B$3:$B$506,C$3,'Monthly Scorecard'!$AC$3:$AC$506,"Entered"))</f>
        <v/>
      </c>
      <c r="D43" s="6" t="str">
        <f>IF(COUNTIFS('Monthly Scorecard'!$D$3:$D$506,$A43,'Monthly Scorecard'!$B$3:$B$506,D$3,'Monthly Scorecard'!$AC$3:$AC$506,"Entered")=0,"",SUMIFS('Monthly Scorecard'!$AF$3:$AF$506,'Monthly Scorecard'!$D$3:$D$506,$A43,'Monthly Scorecard'!$B$3:$B$506,D$3,'Monthly Scorecard'!$AC$3:$AC$506,"Entered")/COUNTIFS('Monthly Scorecard'!$D$3:$D$506,$A43,'Monthly Scorecard'!$B$3:$B$506,D$3,'Monthly Scorecard'!$AC$3:$AC$506,"Entered"))</f>
        <v/>
      </c>
      <c r="E43" s="6" t="str">
        <f>IF(COUNTIFS('Monthly Scorecard'!$D$3:$D$506,$A43,'Monthly Scorecard'!$B$3:$B$506,E$3,'Monthly Scorecard'!$AC$3:$AC$506,"Entered")=0,"",SUMIFS('Monthly Scorecard'!$AF$3:$AF$506,'Monthly Scorecard'!$D$3:$D$506,$A43,'Monthly Scorecard'!$B$3:$B$506,E$3,'Monthly Scorecard'!$AC$3:$AC$506,"Entered")/COUNTIFS('Monthly Scorecard'!$D$3:$D$506,$A43,'Monthly Scorecard'!$B$3:$B$506,E$3,'Monthly Scorecard'!$AC$3:$AC$506,"Entered"))</f>
        <v/>
      </c>
      <c r="F43" s="6" t="str">
        <f>IF(COUNTIFS('Monthly Scorecard'!$D$3:$D$506,$A43,'Monthly Scorecard'!$B$3:$B$506,F$3,'Monthly Scorecard'!$AC$3:$AC$506,"Entered")=0,"",SUMIFS('Monthly Scorecard'!$AF$3:$AF$506,'Monthly Scorecard'!$D$3:$D$506,$A43,'Monthly Scorecard'!$B$3:$B$506,F$3,'Monthly Scorecard'!$AC$3:$AC$506,"Entered")/COUNTIFS('Monthly Scorecard'!$D$3:$D$506,$A43,'Monthly Scorecard'!$B$3:$B$506,F$3,'Monthly Scorecard'!$AC$3:$AC$506,"Entered"))</f>
        <v/>
      </c>
      <c r="G43" s="6" t="str">
        <f>IF(COUNTIFS('Monthly Scorecard'!$D$3:$D$506,$A43,'Monthly Scorecard'!$B$3:$B$506,G$3,'Monthly Scorecard'!$AC$3:$AC$506,"Entered")=0,"",SUMIFS('Monthly Scorecard'!$AF$3:$AF$506,'Monthly Scorecard'!$D$3:$D$506,$A43,'Monthly Scorecard'!$B$3:$B$506,G$3,'Monthly Scorecard'!$AC$3:$AC$506,"Entered")/COUNTIFS('Monthly Scorecard'!$D$3:$D$506,$A43,'Monthly Scorecard'!$B$3:$B$506,G$3,'Monthly Scorecard'!$AC$3:$AC$506,"Entered"))</f>
        <v/>
      </c>
      <c r="H43" s="6" t="str">
        <f>IF(COUNTIFS('Monthly Scorecard'!$D$3:$D$506,$A43,'Monthly Scorecard'!$B$3:$B$506,H$3,'Monthly Scorecard'!$AC$3:$AC$506,"Entered")=0,"",SUMIFS('Monthly Scorecard'!$AF$3:$AF$506,'Monthly Scorecard'!$D$3:$D$506,$A43,'Monthly Scorecard'!$B$3:$B$506,H$3,'Monthly Scorecard'!$AC$3:$AC$506,"Entered")/COUNTIFS('Monthly Scorecard'!$D$3:$D$506,$A43,'Monthly Scorecard'!$B$3:$B$506,H$3,'Monthly Scorecard'!$AC$3:$AC$506,"Entered"))</f>
        <v/>
      </c>
      <c r="I43" s="6" t="str">
        <f>IF(COUNTIFS('Monthly Scorecard'!$D$3:$D$506,$A43,'Monthly Scorecard'!$B$3:$B$506,I$3,'Monthly Scorecard'!$AC$3:$AC$506,"Entered")=0,"",SUMIFS('Monthly Scorecard'!$AF$3:$AF$506,'Monthly Scorecard'!$D$3:$D$506,$A43,'Monthly Scorecard'!$B$3:$B$506,I$3,'Monthly Scorecard'!$AC$3:$AC$506,"Entered")/COUNTIFS('Monthly Scorecard'!$D$3:$D$506,$A43,'Monthly Scorecard'!$B$3:$B$506,I$3,'Monthly Scorecard'!$AC$3:$AC$506,"Entered"))</f>
        <v/>
      </c>
      <c r="J43" s="6" t="str">
        <f>IF(COUNTIFS('Monthly Scorecard'!$D$3:$D$506,$A43,'Monthly Scorecard'!$B$3:$B$506,J$3,'Monthly Scorecard'!$AC$3:$AC$506,"Entered")=0,"",SUMIFS('Monthly Scorecard'!$AF$3:$AF$506,'Monthly Scorecard'!$D$3:$D$506,$A43,'Monthly Scorecard'!$B$3:$B$506,J$3,'Monthly Scorecard'!$AC$3:$AC$506,"Entered")/COUNTIFS('Monthly Scorecard'!$D$3:$D$506,$A43,'Monthly Scorecard'!$B$3:$B$506,J$3,'Monthly Scorecard'!$AC$3:$AC$506,"Entered"))</f>
        <v/>
      </c>
      <c r="K43" s="6" t="str">
        <f>IF(COUNTIFS('Monthly Scorecard'!$D$3:$D$506,$A43,'Monthly Scorecard'!$B$3:$B$506,K$3,'Monthly Scorecard'!$AC$3:$AC$506,"Entered")=0,"",SUMIFS('Monthly Scorecard'!$AF$3:$AF$506,'Monthly Scorecard'!$D$3:$D$506,$A43,'Monthly Scorecard'!$B$3:$B$506,K$3,'Monthly Scorecard'!$AC$3:$AC$506,"Entered")/COUNTIFS('Monthly Scorecard'!$D$3:$D$506,$A43,'Monthly Scorecard'!$B$3:$B$506,K$3,'Monthly Scorecard'!$AC$3:$AC$506,"Entered"))</f>
        <v/>
      </c>
      <c r="L43" s="6" t="str">
        <f>IF(COUNTIFS('Monthly Scorecard'!$D$3:$D$506,$A43,'Monthly Scorecard'!$B$3:$B$506,L$3,'Monthly Scorecard'!$AC$3:$AC$506,"Entered")=0,"",SUMIFS('Monthly Scorecard'!$AF$3:$AF$506,'Monthly Scorecard'!$D$3:$D$506,$A43,'Monthly Scorecard'!$B$3:$B$506,L$3,'Monthly Scorecard'!$AC$3:$AC$506,"Entered")/COUNTIFS('Monthly Scorecard'!$D$3:$D$506,$A43,'Monthly Scorecard'!$B$3:$B$506,L$3,'Monthly Scorecard'!$AC$3:$AC$506,"Entered"))</f>
        <v/>
      </c>
      <c r="M43" s="6" t="str">
        <f>IF(COUNTIFS('Monthly Scorecard'!$D$3:$D$506,$A43,'Monthly Scorecard'!$B$3:$B$506,M$3,'Monthly Scorecard'!$AC$3:$AC$506,"Entered")=0,"",SUMIFS('Monthly Scorecard'!$AF$3:$AF$506,'Monthly Scorecard'!$D$3:$D$506,$A43,'Monthly Scorecard'!$B$3:$B$506,M$3,'Monthly Scorecard'!$AC$3:$AC$506,"Entered")/COUNTIFS('Monthly Scorecard'!$D$3:$D$506,$A43,'Monthly Scorecard'!$B$3:$B$506,M$3,'Monthly Scorecard'!$AC$3:$AC$506,"Entered"))</f>
        <v/>
      </c>
      <c r="N43" s="6" t="str">
        <f t="shared" si="0"/>
        <v/>
      </c>
      <c r="O43" s="8" t="str">
        <f>IF(OR($N43="",$P43=""),"",IFERROR(IF($N43&gt;=VLOOKUP($P43,'Input &amp; Settings'!$F$5:$K$10,3,FALSE),"Outstanding",IF($N43&gt;=VLOOKUP($P43,'Input &amp; Settings'!$F$5:$K$10,4,FALSE),"Exceeds Expectations",IF($N43&gt;=VLOOKUP($P43,'Input &amp; Settings'!$F$5:$K$10,5,FALSE),"Meets Expectations",IF($N43&gt;=VLOOKUP($P43,'Input &amp; Settings'!$F$5:$K$10,6,FALSE),"Needs Improvement","Performance Improvement Required")))),""))</f>
        <v/>
      </c>
      <c r="P43" t="str">
        <f>IFERROR(LOOKUP(2,1/(('Monthly Scorecard'!$D$3:$D$506=$A43)*('Monthly Scorecard'!$E$3:$E$506&lt;&gt;"")),'Monthly Scorecard'!$E$3:$E$506),"")</f>
        <v/>
      </c>
    </row>
    <row r="44" spans="1:16">
      <c r="A44" t="s">
        <v>79</v>
      </c>
      <c r="B44" s="6" t="str">
        <f>IF(COUNTIFS('Monthly Scorecard'!$D$3:$D$506,$A44,'Monthly Scorecard'!$B$3:$B$506,B$3,'Monthly Scorecard'!$AC$3:$AC$506,"Entered")=0,"",SUMIFS('Monthly Scorecard'!$AF$3:$AF$506,'Monthly Scorecard'!$D$3:$D$506,$A44,'Monthly Scorecard'!$B$3:$B$506,B$3,'Monthly Scorecard'!$AC$3:$AC$506,"Entered")/COUNTIFS('Monthly Scorecard'!$D$3:$D$506,$A44,'Monthly Scorecard'!$B$3:$B$506,B$3,'Monthly Scorecard'!$AC$3:$AC$506,"Entered"))</f>
        <v/>
      </c>
      <c r="C44" s="6" t="str">
        <f>IF(COUNTIFS('Monthly Scorecard'!$D$3:$D$506,$A44,'Monthly Scorecard'!$B$3:$B$506,C$3,'Monthly Scorecard'!$AC$3:$AC$506,"Entered")=0,"",SUMIFS('Monthly Scorecard'!$AF$3:$AF$506,'Monthly Scorecard'!$D$3:$D$506,$A44,'Monthly Scorecard'!$B$3:$B$506,C$3,'Monthly Scorecard'!$AC$3:$AC$506,"Entered")/COUNTIFS('Monthly Scorecard'!$D$3:$D$506,$A44,'Monthly Scorecard'!$B$3:$B$506,C$3,'Monthly Scorecard'!$AC$3:$AC$506,"Entered"))</f>
        <v/>
      </c>
      <c r="D44" s="6" t="str">
        <f>IF(COUNTIFS('Monthly Scorecard'!$D$3:$D$506,$A44,'Monthly Scorecard'!$B$3:$B$506,D$3,'Monthly Scorecard'!$AC$3:$AC$506,"Entered")=0,"",SUMIFS('Monthly Scorecard'!$AF$3:$AF$506,'Monthly Scorecard'!$D$3:$D$506,$A44,'Monthly Scorecard'!$B$3:$B$506,D$3,'Monthly Scorecard'!$AC$3:$AC$506,"Entered")/COUNTIFS('Monthly Scorecard'!$D$3:$D$506,$A44,'Monthly Scorecard'!$B$3:$B$506,D$3,'Monthly Scorecard'!$AC$3:$AC$506,"Entered"))</f>
        <v/>
      </c>
      <c r="E44" s="6" t="str">
        <f>IF(COUNTIFS('Monthly Scorecard'!$D$3:$D$506,$A44,'Monthly Scorecard'!$B$3:$B$506,E$3,'Monthly Scorecard'!$AC$3:$AC$506,"Entered")=0,"",SUMIFS('Monthly Scorecard'!$AF$3:$AF$506,'Monthly Scorecard'!$D$3:$D$506,$A44,'Monthly Scorecard'!$B$3:$B$506,E$3,'Monthly Scorecard'!$AC$3:$AC$506,"Entered")/COUNTIFS('Monthly Scorecard'!$D$3:$D$506,$A44,'Monthly Scorecard'!$B$3:$B$506,E$3,'Monthly Scorecard'!$AC$3:$AC$506,"Entered"))</f>
        <v/>
      </c>
      <c r="F44" s="6" t="str">
        <f>IF(COUNTIFS('Monthly Scorecard'!$D$3:$D$506,$A44,'Monthly Scorecard'!$B$3:$B$506,F$3,'Monthly Scorecard'!$AC$3:$AC$506,"Entered")=0,"",SUMIFS('Monthly Scorecard'!$AF$3:$AF$506,'Monthly Scorecard'!$D$3:$D$506,$A44,'Monthly Scorecard'!$B$3:$B$506,F$3,'Monthly Scorecard'!$AC$3:$AC$506,"Entered")/COUNTIFS('Monthly Scorecard'!$D$3:$D$506,$A44,'Monthly Scorecard'!$B$3:$B$506,F$3,'Monthly Scorecard'!$AC$3:$AC$506,"Entered"))</f>
        <v/>
      </c>
      <c r="G44" s="6" t="str">
        <f>IF(COUNTIFS('Monthly Scorecard'!$D$3:$D$506,$A44,'Monthly Scorecard'!$B$3:$B$506,G$3,'Monthly Scorecard'!$AC$3:$AC$506,"Entered")=0,"",SUMIFS('Monthly Scorecard'!$AF$3:$AF$506,'Monthly Scorecard'!$D$3:$D$506,$A44,'Monthly Scorecard'!$B$3:$B$506,G$3,'Monthly Scorecard'!$AC$3:$AC$506,"Entered")/COUNTIFS('Monthly Scorecard'!$D$3:$D$506,$A44,'Monthly Scorecard'!$B$3:$B$506,G$3,'Monthly Scorecard'!$AC$3:$AC$506,"Entered"))</f>
        <v/>
      </c>
      <c r="H44" s="6" t="str">
        <f>IF(COUNTIFS('Monthly Scorecard'!$D$3:$D$506,$A44,'Monthly Scorecard'!$B$3:$B$506,H$3,'Monthly Scorecard'!$AC$3:$AC$506,"Entered")=0,"",SUMIFS('Monthly Scorecard'!$AF$3:$AF$506,'Monthly Scorecard'!$D$3:$D$506,$A44,'Monthly Scorecard'!$B$3:$B$506,H$3,'Monthly Scorecard'!$AC$3:$AC$506,"Entered")/COUNTIFS('Monthly Scorecard'!$D$3:$D$506,$A44,'Monthly Scorecard'!$B$3:$B$506,H$3,'Monthly Scorecard'!$AC$3:$AC$506,"Entered"))</f>
        <v/>
      </c>
      <c r="I44" s="6" t="str">
        <f>IF(COUNTIFS('Monthly Scorecard'!$D$3:$D$506,$A44,'Monthly Scorecard'!$B$3:$B$506,I$3,'Monthly Scorecard'!$AC$3:$AC$506,"Entered")=0,"",SUMIFS('Monthly Scorecard'!$AF$3:$AF$506,'Monthly Scorecard'!$D$3:$D$506,$A44,'Monthly Scorecard'!$B$3:$B$506,I$3,'Monthly Scorecard'!$AC$3:$AC$506,"Entered")/COUNTIFS('Monthly Scorecard'!$D$3:$D$506,$A44,'Monthly Scorecard'!$B$3:$B$506,I$3,'Monthly Scorecard'!$AC$3:$AC$506,"Entered"))</f>
        <v/>
      </c>
      <c r="J44" s="6" t="str">
        <f>IF(COUNTIFS('Monthly Scorecard'!$D$3:$D$506,$A44,'Monthly Scorecard'!$B$3:$B$506,J$3,'Monthly Scorecard'!$AC$3:$AC$506,"Entered")=0,"",SUMIFS('Monthly Scorecard'!$AF$3:$AF$506,'Monthly Scorecard'!$D$3:$D$506,$A44,'Monthly Scorecard'!$B$3:$B$506,J$3,'Monthly Scorecard'!$AC$3:$AC$506,"Entered")/COUNTIFS('Monthly Scorecard'!$D$3:$D$506,$A44,'Monthly Scorecard'!$B$3:$B$506,J$3,'Monthly Scorecard'!$AC$3:$AC$506,"Entered"))</f>
        <v/>
      </c>
      <c r="K44" s="6" t="str">
        <f>IF(COUNTIFS('Monthly Scorecard'!$D$3:$D$506,$A44,'Monthly Scorecard'!$B$3:$B$506,K$3,'Monthly Scorecard'!$AC$3:$AC$506,"Entered")=0,"",SUMIFS('Monthly Scorecard'!$AF$3:$AF$506,'Monthly Scorecard'!$D$3:$D$506,$A44,'Monthly Scorecard'!$B$3:$B$506,K$3,'Monthly Scorecard'!$AC$3:$AC$506,"Entered")/COUNTIFS('Monthly Scorecard'!$D$3:$D$506,$A44,'Monthly Scorecard'!$B$3:$B$506,K$3,'Monthly Scorecard'!$AC$3:$AC$506,"Entered"))</f>
        <v/>
      </c>
      <c r="L44" s="6" t="str">
        <f>IF(COUNTIFS('Monthly Scorecard'!$D$3:$D$506,$A44,'Monthly Scorecard'!$B$3:$B$506,L$3,'Monthly Scorecard'!$AC$3:$AC$506,"Entered")=0,"",SUMIFS('Monthly Scorecard'!$AF$3:$AF$506,'Monthly Scorecard'!$D$3:$D$506,$A44,'Monthly Scorecard'!$B$3:$B$506,L$3,'Monthly Scorecard'!$AC$3:$AC$506,"Entered")/COUNTIFS('Monthly Scorecard'!$D$3:$D$506,$A44,'Monthly Scorecard'!$B$3:$B$506,L$3,'Monthly Scorecard'!$AC$3:$AC$506,"Entered"))</f>
        <v/>
      </c>
      <c r="M44" s="6" t="str">
        <f>IF(COUNTIFS('Monthly Scorecard'!$D$3:$D$506,$A44,'Monthly Scorecard'!$B$3:$B$506,M$3,'Monthly Scorecard'!$AC$3:$AC$506,"Entered")=0,"",SUMIFS('Monthly Scorecard'!$AF$3:$AF$506,'Monthly Scorecard'!$D$3:$D$506,$A44,'Monthly Scorecard'!$B$3:$B$506,M$3,'Monthly Scorecard'!$AC$3:$AC$506,"Entered")/COUNTIFS('Monthly Scorecard'!$D$3:$D$506,$A44,'Monthly Scorecard'!$B$3:$B$506,M$3,'Monthly Scorecard'!$AC$3:$AC$506,"Entered"))</f>
        <v/>
      </c>
      <c r="N44" s="6" t="str">
        <f t="shared" si="0"/>
        <v/>
      </c>
      <c r="O44" s="8" t="str">
        <f>IF(OR($N44="",$P44=""),"",IFERROR(IF($N44&gt;=VLOOKUP($P44,'Input &amp; Settings'!$F$5:$K$10,3,FALSE),"Outstanding",IF($N44&gt;=VLOOKUP($P44,'Input &amp; Settings'!$F$5:$K$10,4,FALSE),"Exceeds Expectations",IF($N44&gt;=VLOOKUP($P44,'Input &amp; Settings'!$F$5:$K$10,5,FALSE),"Meets Expectations",IF($N44&gt;=VLOOKUP($P44,'Input &amp; Settings'!$F$5:$K$10,6,FALSE),"Needs Improvement","Performance Improvement Required")))),""))</f>
        <v/>
      </c>
      <c r="P44" t="str">
        <f>IFERROR(LOOKUP(2,1/(('Monthly Scorecard'!$D$3:$D$506=$A44)*('Monthly Scorecard'!$E$3:$E$506&lt;&gt;"")),'Monthly Scorecard'!$E$3:$E$506),"")</f>
        <v/>
      </c>
    </row>
    <row r="45" spans="1:16">
      <c r="A45" t="s">
        <v>80</v>
      </c>
      <c r="B45" s="6" t="str">
        <f>IF(COUNTIFS('Monthly Scorecard'!$D$3:$D$506,$A45,'Monthly Scorecard'!$B$3:$B$506,B$3,'Monthly Scorecard'!$AC$3:$AC$506,"Entered")=0,"",SUMIFS('Monthly Scorecard'!$AF$3:$AF$506,'Monthly Scorecard'!$D$3:$D$506,$A45,'Monthly Scorecard'!$B$3:$B$506,B$3,'Monthly Scorecard'!$AC$3:$AC$506,"Entered")/COUNTIFS('Monthly Scorecard'!$D$3:$D$506,$A45,'Monthly Scorecard'!$B$3:$B$506,B$3,'Monthly Scorecard'!$AC$3:$AC$506,"Entered"))</f>
        <v/>
      </c>
      <c r="C45" s="6" t="str">
        <f>IF(COUNTIFS('Monthly Scorecard'!$D$3:$D$506,$A45,'Monthly Scorecard'!$B$3:$B$506,C$3,'Monthly Scorecard'!$AC$3:$AC$506,"Entered")=0,"",SUMIFS('Monthly Scorecard'!$AF$3:$AF$506,'Monthly Scorecard'!$D$3:$D$506,$A45,'Monthly Scorecard'!$B$3:$B$506,C$3,'Monthly Scorecard'!$AC$3:$AC$506,"Entered")/COUNTIFS('Monthly Scorecard'!$D$3:$D$506,$A45,'Monthly Scorecard'!$B$3:$B$506,C$3,'Monthly Scorecard'!$AC$3:$AC$506,"Entered"))</f>
        <v/>
      </c>
      <c r="D45" s="6" t="str">
        <f>IF(COUNTIFS('Monthly Scorecard'!$D$3:$D$506,$A45,'Monthly Scorecard'!$B$3:$B$506,D$3,'Monthly Scorecard'!$AC$3:$AC$506,"Entered")=0,"",SUMIFS('Monthly Scorecard'!$AF$3:$AF$506,'Monthly Scorecard'!$D$3:$D$506,$A45,'Monthly Scorecard'!$B$3:$B$506,D$3,'Monthly Scorecard'!$AC$3:$AC$506,"Entered")/COUNTIFS('Monthly Scorecard'!$D$3:$D$506,$A45,'Monthly Scorecard'!$B$3:$B$506,D$3,'Monthly Scorecard'!$AC$3:$AC$506,"Entered"))</f>
        <v/>
      </c>
      <c r="E45" s="6" t="str">
        <f>IF(COUNTIFS('Monthly Scorecard'!$D$3:$D$506,$A45,'Monthly Scorecard'!$B$3:$B$506,E$3,'Monthly Scorecard'!$AC$3:$AC$506,"Entered")=0,"",SUMIFS('Monthly Scorecard'!$AF$3:$AF$506,'Monthly Scorecard'!$D$3:$D$506,$A45,'Monthly Scorecard'!$B$3:$B$506,E$3,'Monthly Scorecard'!$AC$3:$AC$506,"Entered")/COUNTIFS('Monthly Scorecard'!$D$3:$D$506,$A45,'Monthly Scorecard'!$B$3:$B$506,E$3,'Monthly Scorecard'!$AC$3:$AC$506,"Entered"))</f>
        <v/>
      </c>
      <c r="F45" s="6" t="str">
        <f>IF(COUNTIFS('Monthly Scorecard'!$D$3:$D$506,$A45,'Monthly Scorecard'!$B$3:$B$506,F$3,'Monthly Scorecard'!$AC$3:$AC$506,"Entered")=0,"",SUMIFS('Monthly Scorecard'!$AF$3:$AF$506,'Monthly Scorecard'!$D$3:$D$506,$A45,'Monthly Scorecard'!$B$3:$B$506,F$3,'Monthly Scorecard'!$AC$3:$AC$506,"Entered")/COUNTIFS('Monthly Scorecard'!$D$3:$D$506,$A45,'Monthly Scorecard'!$B$3:$B$506,F$3,'Monthly Scorecard'!$AC$3:$AC$506,"Entered"))</f>
        <v/>
      </c>
      <c r="G45" s="6" t="str">
        <f>IF(COUNTIFS('Monthly Scorecard'!$D$3:$D$506,$A45,'Monthly Scorecard'!$B$3:$B$506,G$3,'Monthly Scorecard'!$AC$3:$AC$506,"Entered")=0,"",SUMIFS('Monthly Scorecard'!$AF$3:$AF$506,'Monthly Scorecard'!$D$3:$D$506,$A45,'Monthly Scorecard'!$B$3:$B$506,G$3,'Monthly Scorecard'!$AC$3:$AC$506,"Entered")/COUNTIFS('Monthly Scorecard'!$D$3:$D$506,$A45,'Monthly Scorecard'!$B$3:$B$506,G$3,'Monthly Scorecard'!$AC$3:$AC$506,"Entered"))</f>
        <v/>
      </c>
      <c r="H45" s="6" t="str">
        <f>IF(COUNTIFS('Monthly Scorecard'!$D$3:$D$506,$A45,'Monthly Scorecard'!$B$3:$B$506,H$3,'Monthly Scorecard'!$AC$3:$AC$506,"Entered")=0,"",SUMIFS('Monthly Scorecard'!$AF$3:$AF$506,'Monthly Scorecard'!$D$3:$D$506,$A45,'Monthly Scorecard'!$B$3:$B$506,H$3,'Monthly Scorecard'!$AC$3:$AC$506,"Entered")/COUNTIFS('Monthly Scorecard'!$D$3:$D$506,$A45,'Monthly Scorecard'!$B$3:$B$506,H$3,'Monthly Scorecard'!$AC$3:$AC$506,"Entered"))</f>
        <v/>
      </c>
      <c r="I45" s="6" t="str">
        <f>IF(COUNTIFS('Monthly Scorecard'!$D$3:$D$506,$A45,'Monthly Scorecard'!$B$3:$B$506,I$3,'Monthly Scorecard'!$AC$3:$AC$506,"Entered")=0,"",SUMIFS('Monthly Scorecard'!$AF$3:$AF$506,'Monthly Scorecard'!$D$3:$D$506,$A45,'Monthly Scorecard'!$B$3:$B$506,I$3,'Monthly Scorecard'!$AC$3:$AC$506,"Entered")/COUNTIFS('Monthly Scorecard'!$D$3:$D$506,$A45,'Monthly Scorecard'!$B$3:$B$506,I$3,'Monthly Scorecard'!$AC$3:$AC$506,"Entered"))</f>
        <v/>
      </c>
      <c r="J45" s="6" t="str">
        <f>IF(COUNTIFS('Monthly Scorecard'!$D$3:$D$506,$A45,'Monthly Scorecard'!$B$3:$B$506,J$3,'Monthly Scorecard'!$AC$3:$AC$506,"Entered")=0,"",SUMIFS('Monthly Scorecard'!$AF$3:$AF$506,'Monthly Scorecard'!$D$3:$D$506,$A45,'Monthly Scorecard'!$B$3:$B$506,J$3,'Monthly Scorecard'!$AC$3:$AC$506,"Entered")/COUNTIFS('Monthly Scorecard'!$D$3:$D$506,$A45,'Monthly Scorecard'!$B$3:$B$506,J$3,'Monthly Scorecard'!$AC$3:$AC$506,"Entered"))</f>
        <v/>
      </c>
      <c r="K45" s="6" t="str">
        <f>IF(COUNTIFS('Monthly Scorecard'!$D$3:$D$506,$A45,'Monthly Scorecard'!$B$3:$B$506,K$3,'Monthly Scorecard'!$AC$3:$AC$506,"Entered")=0,"",SUMIFS('Monthly Scorecard'!$AF$3:$AF$506,'Monthly Scorecard'!$D$3:$D$506,$A45,'Monthly Scorecard'!$B$3:$B$506,K$3,'Monthly Scorecard'!$AC$3:$AC$506,"Entered")/COUNTIFS('Monthly Scorecard'!$D$3:$D$506,$A45,'Monthly Scorecard'!$B$3:$B$506,K$3,'Monthly Scorecard'!$AC$3:$AC$506,"Entered"))</f>
        <v/>
      </c>
      <c r="L45" s="6" t="str">
        <f>IF(COUNTIFS('Monthly Scorecard'!$D$3:$D$506,$A45,'Monthly Scorecard'!$B$3:$B$506,L$3,'Monthly Scorecard'!$AC$3:$AC$506,"Entered")=0,"",SUMIFS('Monthly Scorecard'!$AF$3:$AF$506,'Monthly Scorecard'!$D$3:$D$506,$A45,'Monthly Scorecard'!$B$3:$B$506,L$3,'Monthly Scorecard'!$AC$3:$AC$506,"Entered")/COUNTIFS('Monthly Scorecard'!$D$3:$D$506,$A45,'Monthly Scorecard'!$B$3:$B$506,L$3,'Monthly Scorecard'!$AC$3:$AC$506,"Entered"))</f>
        <v/>
      </c>
      <c r="M45" s="6" t="str">
        <f>IF(COUNTIFS('Monthly Scorecard'!$D$3:$D$506,$A45,'Monthly Scorecard'!$B$3:$B$506,M$3,'Monthly Scorecard'!$AC$3:$AC$506,"Entered")=0,"",SUMIFS('Monthly Scorecard'!$AF$3:$AF$506,'Monthly Scorecard'!$D$3:$D$506,$A45,'Monthly Scorecard'!$B$3:$B$506,M$3,'Monthly Scorecard'!$AC$3:$AC$506,"Entered")/COUNTIFS('Monthly Scorecard'!$D$3:$D$506,$A45,'Monthly Scorecard'!$B$3:$B$506,M$3,'Monthly Scorecard'!$AC$3:$AC$506,"Entered"))</f>
        <v/>
      </c>
      <c r="N45" s="6" t="str">
        <f t="shared" si="0"/>
        <v/>
      </c>
      <c r="O45" s="8" t="str">
        <f>IF(OR($N45="",$P45=""),"",IFERROR(IF($N45&gt;=VLOOKUP($P45,'Input &amp; Settings'!$F$5:$K$10,3,FALSE),"Outstanding",IF($N45&gt;=VLOOKUP($P45,'Input &amp; Settings'!$F$5:$K$10,4,FALSE),"Exceeds Expectations",IF($N45&gt;=VLOOKUP($P45,'Input &amp; Settings'!$F$5:$K$10,5,FALSE),"Meets Expectations",IF($N45&gt;=VLOOKUP($P45,'Input &amp; Settings'!$F$5:$K$10,6,FALSE),"Needs Improvement","Performance Improvement Required")))),""))</f>
        <v/>
      </c>
      <c r="P45" t="str">
        <f>IFERROR(LOOKUP(2,1/(('Monthly Scorecard'!$D$3:$D$506=$A45)*('Monthly Scorecard'!$E$3:$E$506&lt;&gt;"")),'Monthly Scorecard'!$E$3:$E$506),"")</f>
        <v/>
      </c>
    </row>
    <row r="48" spans="1:16">
      <c r="A48" s="26" t="s">
        <v>185</v>
      </c>
      <c r="B48" s="27" t="str">
        <f>IF(COUNTIFS('Monthly Scorecard'!$B$3:$B$506,B$3,'Monthly Scorecard'!$AC$3:$AC$506,"Entered")=0,"",SUMIFS('Monthly Scorecard'!$AF$3:$AF$506,'Monthly Scorecard'!$B$3:$B$506,B$3,'Monthly Scorecard'!$AC$3:$AC$506,"Entered")/COUNTIFS('Monthly Scorecard'!$B$3:$B$506,B$3,'Monthly Scorecard'!$AC$3:$AC$506,"Entered"))</f>
        <v/>
      </c>
      <c r="C48" s="27" t="str">
        <f>IF(COUNTIFS('Monthly Scorecard'!$B$3:$B$506,C$3,'Monthly Scorecard'!$AC$3:$AC$506,"Entered")=0,"",SUMIFS('Monthly Scorecard'!$AF$3:$AF$506,'Monthly Scorecard'!$B$3:$B$506,C$3,'Monthly Scorecard'!$AC$3:$AC$506,"Entered")/COUNTIFS('Monthly Scorecard'!$B$3:$B$506,C$3,'Monthly Scorecard'!$AC$3:$AC$506,"Entered"))</f>
        <v/>
      </c>
      <c r="D48" s="27" t="str">
        <f>IF(COUNTIFS('Monthly Scorecard'!$B$3:$B$506,D$3,'Monthly Scorecard'!$AC$3:$AC$506,"Entered")=0,"",SUMIFS('Monthly Scorecard'!$AF$3:$AF$506,'Monthly Scorecard'!$B$3:$B$506,D$3,'Monthly Scorecard'!$AC$3:$AC$506,"Entered")/COUNTIFS('Monthly Scorecard'!$B$3:$B$506,D$3,'Monthly Scorecard'!$AC$3:$AC$506,"Entered"))</f>
        <v/>
      </c>
      <c r="E48" s="27" t="str">
        <f>IF(COUNTIFS('Monthly Scorecard'!$B$3:$B$506,E$3,'Monthly Scorecard'!$AC$3:$AC$506,"Entered")=0,"",SUMIFS('Monthly Scorecard'!$AF$3:$AF$506,'Monthly Scorecard'!$B$3:$B$506,E$3,'Monthly Scorecard'!$AC$3:$AC$506,"Entered")/COUNTIFS('Monthly Scorecard'!$B$3:$B$506,E$3,'Monthly Scorecard'!$AC$3:$AC$506,"Entered"))</f>
        <v/>
      </c>
      <c r="F48" s="27" t="str">
        <f>IF(COUNTIFS('Monthly Scorecard'!$B$3:$B$506,F$3,'Monthly Scorecard'!$AC$3:$AC$506,"Entered")=0,"",SUMIFS('Monthly Scorecard'!$AF$3:$AF$506,'Monthly Scorecard'!$B$3:$B$506,F$3,'Monthly Scorecard'!$AC$3:$AC$506,"Entered")/COUNTIFS('Monthly Scorecard'!$B$3:$B$506,F$3,'Monthly Scorecard'!$AC$3:$AC$506,"Entered"))</f>
        <v/>
      </c>
      <c r="G48" s="27">
        <f>IF(COUNTIFS('Monthly Scorecard'!$B$3:$B$506,G$3,'Monthly Scorecard'!$AC$3:$AC$506,"Entered")=0,"",SUMIFS('Monthly Scorecard'!$AF$3:$AF$506,'Monthly Scorecard'!$B$3:$B$506,G$3,'Monthly Scorecard'!$AC$3:$AC$506,"Entered")/COUNTIFS('Monthly Scorecard'!$B$3:$B$506,G$3,'Monthly Scorecard'!$AC$3:$AC$506,"Entered"))</f>
        <v>69.733333333333334</v>
      </c>
      <c r="H48" s="27">
        <f>IF(COUNTIFS('Monthly Scorecard'!$B$3:$B$506,H$3,'Monthly Scorecard'!$AC$3:$AC$506,"Entered")=0,"",SUMIFS('Monthly Scorecard'!$AF$3:$AF$506,'Monthly Scorecard'!$B$3:$B$506,H$3,'Monthly Scorecard'!$AC$3:$AC$506,"Entered")/COUNTIFS('Monthly Scorecard'!$B$3:$B$506,H$3,'Monthly Scorecard'!$AC$3:$AC$506,"Entered"))</f>
        <v>68.5</v>
      </c>
      <c r="I48" s="27">
        <f>IF(COUNTIFS('Monthly Scorecard'!$B$3:$B$506,I$3,'Monthly Scorecard'!$AC$3:$AC$506,"Entered")=0,"",SUMIFS('Monthly Scorecard'!$AF$3:$AF$506,'Monthly Scorecard'!$B$3:$B$506,I$3,'Monthly Scorecard'!$AC$3:$AC$506,"Entered")/COUNTIFS('Monthly Scorecard'!$B$3:$B$506,I$3,'Monthly Scorecard'!$AC$3:$AC$506,"Entered"))</f>
        <v>65.266666666666666</v>
      </c>
      <c r="J48" s="27" t="str">
        <f>IF(COUNTIFS('Monthly Scorecard'!$B$3:$B$506,J$3,'Monthly Scorecard'!$AC$3:$AC$506,"Entered")=0,"",SUMIFS('Monthly Scorecard'!$AF$3:$AF$506,'Monthly Scorecard'!$B$3:$B$506,J$3,'Monthly Scorecard'!$AC$3:$AC$506,"Entered")/COUNTIFS('Monthly Scorecard'!$B$3:$B$506,J$3,'Monthly Scorecard'!$AC$3:$AC$506,"Entered"))</f>
        <v/>
      </c>
      <c r="K48" s="27" t="str">
        <f>IF(COUNTIFS('Monthly Scorecard'!$B$3:$B$506,K$3,'Monthly Scorecard'!$AC$3:$AC$506,"Entered")=0,"",SUMIFS('Monthly Scorecard'!$AF$3:$AF$506,'Monthly Scorecard'!$B$3:$B$506,K$3,'Monthly Scorecard'!$AC$3:$AC$506,"Entered")/COUNTIFS('Monthly Scorecard'!$B$3:$B$506,K$3,'Monthly Scorecard'!$AC$3:$AC$506,"Entered"))</f>
        <v/>
      </c>
      <c r="L48" s="27" t="str">
        <f>IF(COUNTIFS('Monthly Scorecard'!$B$3:$B$506,L$3,'Monthly Scorecard'!$AC$3:$AC$506,"Entered")=0,"",SUMIFS('Monthly Scorecard'!$AF$3:$AF$506,'Monthly Scorecard'!$B$3:$B$506,L$3,'Monthly Scorecard'!$AC$3:$AC$506,"Entered")/COUNTIFS('Monthly Scorecard'!$B$3:$B$506,L$3,'Monthly Scorecard'!$AC$3:$AC$506,"Entered"))</f>
        <v/>
      </c>
      <c r="M48" s="27" t="str">
        <f>IF(COUNTIFS('Monthly Scorecard'!$B$3:$B$506,M$3,'Monthly Scorecard'!$AC$3:$AC$506,"Entered")=0,"",SUMIFS('Monthly Scorecard'!$AF$3:$AF$506,'Monthly Scorecard'!$B$3:$B$506,M$3,'Monthly Scorecard'!$AC$3:$AC$506,"Entered")/COUNTIFS('Monthly Scorecard'!$B$3:$B$506,M$3,'Monthly Scorecard'!$AC$3:$AC$506,"Entered"))</f>
        <v/>
      </c>
      <c r="N48" s="27">
        <f>IFERROR(AVERAGE(B48:M48),"")</f>
        <v>67.833333333333329</v>
      </c>
    </row>
  </sheetData>
  <mergeCells count="1">
    <mergeCell ref="A1:N1"/>
  </mergeCells>
  <conditionalFormatting sqref="B4:M45">
    <cfRule type="expression" dxfId="19" priority="3">
      <formula>AND(B4&lt;&gt;"",B4&gt;=90)</formula>
    </cfRule>
    <cfRule type="expression" dxfId="18" priority="4">
      <formula>AND(B4&lt;&gt;"",B4&gt;=70,B4&lt;90)</formula>
    </cfRule>
    <cfRule type="expression" dxfId="17" priority="5">
      <formula>AND(B4&lt;&gt;"",B4&gt;=50,B4&lt;70)</formula>
    </cfRule>
    <cfRule type="expression" dxfId="16" priority="6">
      <formula>AND(B4&lt;&gt;"",B4&gt;=40,B4&lt;50)</formula>
    </cfRule>
    <cfRule type="expression" dxfId="15" priority="7">
      <formula>AND(B4&lt;&gt;"",B4&lt;40)</formula>
    </cfRule>
  </conditionalFormatting>
  <conditionalFormatting sqref="N4:N45">
    <cfRule type="dataBar" priority="2">
      <dataBar>
        <cfvo type="min"/>
        <cfvo type="max"/>
        <color rgb="FF4BACC6"/>
      </dataBar>
    </cfRule>
    <cfRule type="dataBar" priority="13">
      <dataBar>
        <cfvo type="min"/>
        <cfvo type="max"/>
        <color rgb="FF4BACC6"/>
      </dataBar>
      <extLst>
        <ext xmlns:x14="http://schemas.microsoft.com/office/spreadsheetml/2009/9/main" uri="{B025F937-C7B1-47D3-B67F-A62EFF666E3E}">
          <x14:id>{2FD211D1-9D31-D681-A2A9-E344E95BAA74}</x14:id>
        </ext>
      </extLst>
    </cfRule>
  </conditionalFormatting>
  <conditionalFormatting sqref="O4:O45">
    <cfRule type="expression" dxfId="14" priority="8">
      <formula>O4="Outstanding"</formula>
    </cfRule>
    <cfRule type="expression" dxfId="13" priority="9">
      <formula>O4="Exceeds Expectations"</formula>
    </cfRule>
    <cfRule type="expression" dxfId="12" priority="10">
      <formula>O4="Meets Expectations"</formula>
    </cfRule>
    <cfRule type="expression" dxfId="11" priority="11">
      <formula>O4="Needs Improvement"</formula>
    </cfRule>
    <cfRule type="expression" dxfId="10" priority="12">
      <formula>O4="Performance Improvement Required"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D211D1-9D31-D681-A2A9-E344E95BAA74}">
            <x14:dataBar>
              <x14:cfvo type="min"/>
              <x14:cfvo type="max"/>
              <x14:negativeFillColor auto="1"/>
              <x14:axisColor auto="1"/>
            </x14:dataBar>
          </x14:cfRule>
          <xm:sqref>N4:N45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tabSelected="1" workbookViewId="0">
      <selection activeCell="B3" sqref="B3"/>
    </sheetView>
  </sheetViews>
  <sheetFormatPr defaultRowHeight="14.25"/>
  <cols>
    <col min="1" max="1" width="26" customWidth="1"/>
    <col min="2" max="2" width="18" customWidth="1"/>
    <col min="3" max="4" width="14" customWidth="1"/>
    <col min="5" max="5" width="20" customWidth="1"/>
    <col min="6" max="6" width="2.5703125" customWidth="1"/>
    <col min="7" max="7" width="33.5703125" customWidth="1"/>
    <col min="8" max="8" width="10.7109375" customWidth="1"/>
    <col min="9" max="9" width="13.42578125" customWidth="1"/>
  </cols>
  <sheetData>
    <row r="1" spans="1:9" ht="21">
      <c r="A1" s="47" t="s">
        <v>186</v>
      </c>
      <c r="B1" s="47"/>
      <c r="C1" s="47"/>
      <c r="D1" s="47"/>
      <c r="E1" s="47"/>
      <c r="F1" s="47"/>
      <c r="G1" s="47"/>
      <c r="H1" s="47"/>
    </row>
    <row r="2" spans="1:9" ht="37.5" customHeight="1">
      <c r="H2" s="31" t="s">
        <v>2</v>
      </c>
      <c r="I2" s="43" t="s">
        <v>187</v>
      </c>
    </row>
    <row r="3" spans="1:9">
      <c r="A3" t="s">
        <v>181</v>
      </c>
      <c r="B3" s="28" t="s">
        <v>38</v>
      </c>
      <c r="D3" s="21" t="s">
        <v>3</v>
      </c>
      <c r="E3" s="21" t="str">
        <f>IFERROR(INDEX('Monthly Scorecard'!$C$3:$C$506,MATCH($B$3&amp;"|"&amp;$B$4,'Monthly Scorecard'!$AH$3:$AH$506,0)),"")</f>
        <v>Joshio Flores</v>
      </c>
      <c r="F3" s="21"/>
      <c r="G3" s="21" t="str">
        <f>IFERROR(INDEX('Monthly Scorecard'!$E$3:$E$506,MATCH($B$3&amp;"|"&amp;$B$4,'Monthly Scorecard'!$AH$3:$AH$506,0)),"")</f>
        <v>1st Shift</v>
      </c>
      <c r="H3" t="s">
        <v>35</v>
      </c>
      <c r="I3" s="6" t="str">
        <f>IFERROR(INDEX('Annual Dashboard'!$B$4:$M$45,MATCH($B$3,'Annual Dashboard'!$A$4:$A$45,0),MATCH(H3,'Annual Dashboard'!$B$3:$M$3,0)),"")</f>
        <v/>
      </c>
    </row>
    <row r="4" spans="1:9">
      <c r="A4" t="s">
        <v>2</v>
      </c>
      <c r="B4" s="28" t="s">
        <v>92</v>
      </c>
      <c r="D4" s="21" t="s">
        <v>6</v>
      </c>
      <c r="E4" s="21" t="str">
        <f>IFERROR(INDEX('Monthly Scorecard'!$F$3:$F$506,MATCH($B$3&amp;"|"&amp;$B$4,'Monthly Scorecard'!$AH$3:$AH$506,0)),"")</f>
        <v>High</v>
      </c>
      <c r="F4" s="21"/>
      <c r="G4" s="21" t="str">
        <f>IFERROR(INDEX('Monthly Scorecard'!$AG$3:$AG$506,MATCH($B$3&amp;"|"&amp;$B$4,'Monthly Scorecard'!$AH$3:$AH$506,0)),"")</f>
        <v>Meets Expectations</v>
      </c>
      <c r="H4" t="s">
        <v>81</v>
      </c>
      <c r="I4" s="6" t="str">
        <f>IFERROR(INDEX('Annual Dashboard'!$B$4:$M$45,MATCH($B$3,'Annual Dashboard'!$A$4:$A$45,0),MATCH(H4,'Annual Dashboard'!$B$3:$M$3,0)),"")</f>
        <v/>
      </c>
    </row>
    <row r="5" spans="1:9">
      <c r="D5" t="s">
        <v>5</v>
      </c>
      <c r="E5" t="str">
        <f>IFERROR(INDEX('Monthly Scorecard'!$E$3:$E$506,MATCH($B$3&amp;"|"&amp;$B$4,'Monthly Scorecard'!$AH$3:$AH$506,0)),"")</f>
        <v>1st Shift</v>
      </c>
      <c r="H5" t="s">
        <v>82</v>
      </c>
      <c r="I5" s="6" t="str">
        <f>IFERROR(INDEX('Annual Dashboard'!$B$4:$M$45,MATCH($B$3,'Annual Dashboard'!$A$4:$A$45,0),MATCH(H5,'Annual Dashboard'!$B$3:$M$3,0)),"")</f>
        <v/>
      </c>
    </row>
    <row r="6" spans="1:9">
      <c r="D6" t="s">
        <v>33</v>
      </c>
      <c r="E6" t="str">
        <f>IFERROR(INDEX('Monthly Scorecard'!$AG$3:$AG$506,MATCH($B$3&amp;"|"&amp;$B$4,'Monthly Scorecard'!$AH$3:$AH$506,0)),"")</f>
        <v>Meets Expectations</v>
      </c>
      <c r="H6" t="s">
        <v>83</v>
      </c>
      <c r="I6" s="6" t="str">
        <f>IFERROR(INDEX('Annual Dashboard'!$B$4:$M$45,MATCH($B$3,'Annual Dashboard'!$A$4:$A$45,0),MATCH(H6,'Annual Dashboard'!$B$3:$M$3,0)),"")</f>
        <v/>
      </c>
    </row>
    <row r="7" spans="1:9">
      <c r="A7" s="17" t="s">
        <v>101</v>
      </c>
      <c r="B7" s="17" t="s">
        <v>188</v>
      </c>
      <c r="C7" s="17" t="s">
        <v>104</v>
      </c>
      <c r="D7" s="17" t="s">
        <v>103</v>
      </c>
      <c r="H7" t="s">
        <v>84</v>
      </c>
      <c r="I7" s="6" t="str">
        <f>IFERROR(INDEX('Annual Dashboard'!$B$4:$M$45,MATCH($B$3,'Annual Dashboard'!$A$4:$A$45,0),MATCH(H7,'Annual Dashboard'!$B$3:$M$3,0)),"")</f>
        <v/>
      </c>
    </row>
    <row r="8" spans="1:9">
      <c r="A8" t="s">
        <v>7</v>
      </c>
      <c r="B8">
        <f>IFERROR(INDEX('Monthly Scorecard'!$G$3:$G$506,MATCH($B$3&amp;"|"&amp;$B$4,'Monthly Scorecard'!$AH$3:$AH$506,0)),"")</f>
        <v>32</v>
      </c>
      <c r="C8" s="6">
        <f>IFERROR(INDEX('Monthly Scorecard'!$Q$3:$Q$506,MATCH($B$3&amp;"|"&amp;$B$4,'Monthly Scorecard'!$AH$3:$AH$506,0)),"")</f>
        <v>42.666666666666671</v>
      </c>
      <c r="D8" s="29">
        <f>'Input &amp; Settings'!$C$5</f>
        <v>0.15</v>
      </c>
      <c r="H8" t="s">
        <v>85</v>
      </c>
      <c r="I8" s="6" t="str">
        <f>IFERROR(INDEX('Annual Dashboard'!$B$4:$M$45,MATCH($B$3,'Annual Dashboard'!$A$4:$A$45,0),MATCH(H8,'Annual Dashboard'!$B$3:$M$3,0)),"")</f>
        <v/>
      </c>
    </row>
    <row r="9" spans="1:9">
      <c r="A9" t="s">
        <v>8</v>
      </c>
      <c r="B9">
        <f>IFERROR(INDEX('Monthly Scorecard'!$H$3:$H$506,MATCH($B$3&amp;"|"&amp;$B$4,'Monthly Scorecard'!$AH$3:$AH$506,0)),"")</f>
        <v>18</v>
      </c>
      <c r="C9" s="6">
        <f>IFERROR(INDEX('Monthly Scorecard'!$R$3:$R$506,MATCH($B$3&amp;"|"&amp;$B$4,'Monthly Scorecard'!$AH$3:$AH$506,0)),"")</f>
        <v>22.5</v>
      </c>
      <c r="D9" s="29">
        <f>'Input &amp; Settings'!$C$6</f>
        <v>0.1</v>
      </c>
      <c r="H9" t="s">
        <v>92</v>
      </c>
      <c r="I9" s="6">
        <f>IFERROR(INDEX('Annual Dashboard'!$B$4:$M$45,MATCH($B$3,'Annual Dashboard'!$A$4:$A$45,0),MATCH(H9,'Annual Dashboard'!$B$3:$M$3,0)),"")</f>
        <v>65.2</v>
      </c>
    </row>
    <row r="10" spans="1:9">
      <c r="A10" t="s">
        <v>9</v>
      </c>
      <c r="B10">
        <f>IFERROR(INDEX('Monthly Scorecard'!$I$3:$I$506,MATCH($B$3&amp;"|"&amp;$B$4,'Monthly Scorecard'!$AH$3:$AH$506,0)),"")</f>
        <v>1</v>
      </c>
      <c r="C10" s="6">
        <f>IFERROR(INDEX('Monthly Scorecard'!$S$3:$S$506,MATCH($B$3&amp;"|"&amp;$B$4,'Monthly Scorecard'!$AH$3:$AH$506,0)),"")</f>
        <v>100</v>
      </c>
      <c r="D10" s="29">
        <f>'Input &amp; Settings'!$C$7</f>
        <v>0.1</v>
      </c>
      <c r="H10" t="s">
        <v>93</v>
      </c>
      <c r="I10" s="6" t="str">
        <f>IFERROR(INDEX('Annual Dashboard'!$B$4:$M$45,MATCH($B$3,'Annual Dashboard'!$A$4:$A$45,0),MATCH(H10,'Annual Dashboard'!$B$3:$M$3,0)),"")</f>
        <v/>
      </c>
    </row>
    <row r="11" spans="1:9">
      <c r="A11" t="s">
        <v>10</v>
      </c>
      <c r="B11">
        <f>IFERROR(INDEX('Monthly Scorecard'!$J$3:$J$506,MATCH($B$3&amp;"|"&amp;$B$4,'Monthly Scorecard'!$AH$3:$AH$506,0)),"")</f>
        <v>3</v>
      </c>
      <c r="C11" s="6">
        <f>IFERROR(INDEX('Monthly Scorecard'!$T$3:$T$506,MATCH($B$3&amp;"|"&amp;$B$4,'Monthly Scorecard'!$AH$3:$AH$506,0)),"")</f>
        <v>15</v>
      </c>
      <c r="D11" s="29">
        <f>'Input &amp; Settings'!$C$8</f>
        <v>0.1</v>
      </c>
      <c r="H11" t="s">
        <v>94</v>
      </c>
      <c r="I11" s="6" t="str">
        <f>IFERROR(INDEX('Annual Dashboard'!$B$4:$M$45,MATCH($B$3,'Annual Dashboard'!$A$4:$A$45,0),MATCH(H11,'Annual Dashboard'!$B$3:$M$3,0)),"")</f>
        <v/>
      </c>
    </row>
    <row r="12" spans="1:9">
      <c r="A12" t="s">
        <v>11</v>
      </c>
      <c r="B12">
        <f>IFERROR(INDEX('Monthly Scorecard'!$K$3:$K$506,MATCH($B$3&amp;"|"&amp;$B$4,'Monthly Scorecard'!$AH$3:$AH$506,0)),"")</f>
        <v>5</v>
      </c>
      <c r="C12" s="6">
        <f>IFERROR(INDEX('Monthly Scorecard'!$U$3:$U$506,MATCH($B$3&amp;"|"&amp;$B$4,'Monthly Scorecard'!$AH$3:$AH$506,0)),"")</f>
        <v>100</v>
      </c>
      <c r="D12" s="29">
        <f>'Input &amp; Settings'!$C$9</f>
        <v>0.1</v>
      </c>
      <c r="H12" t="s">
        <v>95</v>
      </c>
      <c r="I12" s="6" t="str">
        <f>IFERROR(INDEX('Annual Dashboard'!$B$4:$M$45,MATCH($B$3,'Annual Dashboard'!$A$4:$A$45,0),MATCH(H12,'Annual Dashboard'!$B$3:$M$3,0)),"")</f>
        <v/>
      </c>
    </row>
    <row r="13" spans="1:9">
      <c r="A13" t="s">
        <v>12</v>
      </c>
      <c r="B13">
        <f>IFERROR(INDEX('Monthly Scorecard'!$L$3:$L$506,MATCH($B$3&amp;"|"&amp;$B$4,'Monthly Scorecard'!$AH$3:$AH$506,0)),"")</f>
        <v>1</v>
      </c>
      <c r="C13" s="6">
        <f>IFERROR(INDEX('Monthly Scorecard'!$V$3:$V$506,MATCH($B$3&amp;"|"&amp;$B$4,'Monthly Scorecard'!$AH$3:$AH$506,0)),"")</f>
        <v>100</v>
      </c>
      <c r="D13" s="29">
        <f>'Input &amp; Settings'!$C$10</f>
        <v>0.1</v>
      </c>
      <c r="H13" t="s">
        <v>96</v>
      </c>
      <c r="I13" s="6" t="str">
        <f>IFERROR(INDEX('Annual Dashboard'!$B$4:$M$45,MATCH($B$3,'Annual Dashboard'!$A$4:$A$45,0),MATCH(H13,'Annual Dashboard'!$B$3:$M$3,0)),"")</f>
        <v/>
      </c>
    </row>
    <row r="14" spans="1:9">
      <c r="A14" t="s">
        <v>13</v>
      </c>
      <c r="B14">
        <f>IFERROR(INDEX('Monthly Scorecard'!$M$3:$M$506,MATCH($B$3&amp;"|"&amp;$B$4,'Monthly Scorecard'!$AH$3:$AH$506,0)),"")</f>
        <v>0</v>
      </c>
      <c r="C14" s="6">
        <f>IFERROR(INDEX('Monthly Scorecard'!$W$3:$W$506,MATCH($B$3&amp;"|"&amp;$B$4,'Monthly Scorecard'!$AH$3:$AH$506,0)),"")</f>
        <v>100</v>
      </c>
      <c r="D14" s="29">
        <f>'Input &amp; Settings'!$C$11</f>
        <v>0.1</v>
      </c>
      <c r="H14" t="s">
        <v>97</v>
      </c>
      <c r="I14" s="6" t="str">
        <f>IFERROR(INDEX('Annual Dashboard'!$B$4:$M$45,MATCH($B$3,'Annual Dashboard'!$A$4:$A$45,0),MATCH(H14,'Annual Dashboard'!$B$3:$M$3,0)),"")</f>
        <v/>
      </c>
    </row>
    <row r="15" spans="1:9">
      <c r="A15" t="s">
        <v>14</v>
      </c>
      <c r="B15">
        <f>IFERROR(INDEX('Monthly Scorecard'!$N$3:$N$506,MATCH($B$3&amp;"|"&amp;$B$4,'Monthly Scorecard'!$AH$3:$AH$506,0)),"")</f>
        <v>0</v>
      </c>
      <c r="C15" s="6">
        <f>IFERROR(INDEX('Monthly Scorecard'!$X$3:$X$506,MATCH($B$3&amp;"|"&amp;$B$4,'Monthly Scorecard'!$AH$3:$AH$506,0)),"")</f>
        <v>0</v>
      </c>
      <c r="D15" s="29">
        <f>'Input &amp; Settings'!$C$12</f>
        <v>0.05</v>
      </c>
    </row>
    <row r="16" spans="1:9">
      <c r="A16" t="s">
        <v>15</v>
      </c>
      <c r="B16">
        <f>IFERROR(INDEX('Monthly Scorecard'!$O$3:$O$506,MATCH($B$3&amp;"|"&amp;$B$4,'Monthly Scorecard'!$AH$3:$AH$506,0)),"")</f>
        <v>0</v>
      </c>
      <c r="C16" s="6">
        <f>IFERROR(INDEX('Monthly Scorecard'!$Y$3:$Y$506,MATCH($B$3&amp;"|"&amp;$B$4,'Monthly Scorecard'!$AH$3:$AH$506,0)),"")</f>
        <v>0</v>
      </c>
      <c r="D16" s="29">
        <f>'Input &amp; Settings'!$C$13</f>
        <v>0.05</v>
      </c>
    </row>
    <row r="17" spans="1:8">
      <c r="A17" t="s">
        <v>16</v>
      </c>
      <c r="B17">
        <f>IFERROR(INDEX('Monthly Scorecard'!$P$3:$P$506,MATCH($B$3&amp;"|"&amp;$B$4,'Monthly Scorecard'!$AH$3:$AH$506,0)),"")</f>
        <v>1</v>
      </c>
      <c r="C17" s="6">
        <f>IFERROR(INDEX('Monthly Scorecard'!$Z$3:$Z$506,MATCH($B$3&amp;"|"&amp;$B$4,'Monthly Scorecard'!$AH$3:$AH$506,0)),"")</f>
        <v>100</v>
      </c>
      <c r="D17" s="29">
        <f>'Input &amp; Settings'!$C$14</f>
        <v>0.15</v>
      </c>
    </row>
    <row r="20" spans="1:8">
      <c r="A20" s="22" t="s">
        <v>27</v>
      </c>
      <c r="B20" s="22"/>
      <c r="C20" s="30">
        <f>IFERROR(INDEX('Monthly Scorecard'!$AA$3:$AA$506,MATCH($B$3&amp;"|"&amp;$B$4,'Monthly Scorecard'!$AH$3:$AH$506,0)),"")</f>
        <v>65.2</v>
      </c>
    </row>
    <row r="21" spans="1:8">
      <c r="A21" s="22" t="s">
        <v>30</v>
      </c>
      <c r="B21" s="22"/>
      <c r="C21" s="30">
        <f>IFERROR(INDEX('Monthly Scorecard'!$AD$3:$AD$506,MATCH($B$3&amp;"|"&amp;$B$4,'Monthly Scorecard'!$AH$3:$AH$506,0)),"")</f>
        <v>0</v>
      </c>
    </row>
    <row r="22" spans="1:8">
      <c r="A22" s="22" t="s">
        <v>32</v>
      </c>
      <c r="B22" s="22"/>
      <c r="C22" s="30">
        <f>IFERROR(INDEX('Monthly Scorecard'!$AF$3:$AF$506,MATCH($B$3&amp;"|"&amp;$B$4,'Monthly Scorecard'!$AH$3:$AH$506,0)),"")</f>
        <v>65.2</v>
      </c>
    </row>
    <row r="24" spans="1:8">
      <c r="A24" s="48" t="s">
        <v>189</v>
      </c>
      <c r="B24" s="48"/>
      <c r="C24" s="48"/>
      <c r="D24" s="48"/>
      <c r="E24" s="48"/>
      <c r="F24" s="48"/>
      <c r="G24" s="48"/>
      <c r="H24" s="48"/>
    </row>
    <row r="25" spans="1:8">
      <c r="A25" s="48"/>
      <c r="B25" s="48"/>
      <c r="C25" s="48"/>
      <c r="D25" s="48"/>
      <c r="E25" s="48"/>
      <c r="F25" s="48"/>
      <c r="G25" s="48"/>
      <c r="H25" s="48"/>
    </row>
  </sheetData>
  <mergeCells count="2">
    <mergeCell ref="A1:H1"/>
    <mergeCell ref="A24:H25"/>
  </mergeCells>
  <conditionalFormatting sqref="C8:C17">
    <cfRule type="expression" dxfId="9" priority="3">
      <formula>AND(C8&lt;&gt;"",C8&gt;=90)</formula>
    </cfRule>
    <cfRule type="expression" dxfId="8" priority="4">
      <formula>AND(C8&lt;&gt;"",C8&gt;=70,C8&lt;90)</formula>
    </cfRule>
    <cfRule type="expression" dxfId="7" priority="5">
      <formula>AND(C8&lt;&gt;"",C8&gt;=50,C8&lt;70)</formula>
    </cfRule>
    <cfRule type="expression" dxfId="6" priority="6">
      <formula>AND(C8&lt;&gt;"",C8&gt;=40,C8&lt;50)</formula>
    </cfRule>
    <cfRule type="expression" dxfId="5" priority="7">
      <formula>AND(C8&lt;&gt;"",C8&lt;40)</formula>
    </cfRule>
  </conditionalFormatting>
  <conditionalFormatting sqref="C22">
    <cfRule type="expression" dxfId="4" priority="8">
      <formula>AND(C22&lt;&gt;"",C22&gt;=90)</formula>
    </cfRule>
    <cfRule type="expression" dxfId="3" priority="9">
      <formula>AND(C22&lt;&gt;"",C22&gt;=70,C22&lt;90)</formula>
    </cfRule>
    <cfRule type="expression" dxfId="2" priority="10">
      <formula>AND(C22&lt;&gt;"",C22&gt;=50,C22&lt;70)</formula>
    </cfRule>
    <cfRule type="expression" dxfId="1" priority="11">
      <formula>AND(C22&lt;&gt;"",C22&gt;=40,C22&lt;50)</formula>
    </cfRule>
    <cfRule type="expression" dxfId="0" priority="12">
      <formula>AND(C22&lt;&gt;"",C22&lt;40)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'Input &amp; Settings'!$N$2:$N$43</xm:f>
          </x14:formula1>
          <xm:sqref>B3</xm:sqref>
        </x14:dataValidation>
        <x14:dataValidation type="list" xr:uid="{00000000-0002-0000-0400-000001000000}">
          <x14:formula1>
            <xm:f>'Input &amp; Settings'!$O$2:$O$13</xm:f>
          </x14:formula1>
          <xm:sqref>B4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E1510B-5145-4DBB-8F41-3B1B9DFCDD86}"/>
</file>

<file path=customXml/itemProps2.xml><?xml version="1.0" encoding="utf-8"?>
<ds:datastoreItem xmlns:ds="http://schemas.openxmlformats.org/officeDocument/2006/customXml" ds:itemID="{8D3CC270-1D14-464A-85F4-9533B8038526}"/>
</file>

<file path=customXml/itemProps3.xml><?xml version="1.0" encoding="utf-8"?>
<ds:datastoreItem xmlns:ds="http://schemas.openxmlformats.org/officeDocument/2006/customXml" ds:itemID="{863AAFAF-2B09-4E08-B4E1-39DDD067F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Flores, Joshio</cp:lastModifiedBy>
  <cp:revision/>
  <dcterms:created xsi:type="dcterms:W3CDTF">2026-08-17T22:31:50Z</dcterms:created>
  <dcterms:modified xsi:type="dcterms:W3CDTF">2026-08-19T18:09:44Z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3" name="MSIP_Label_92b83b4b-2d54-414f-8077-da565f2c0ab9_Enabled">
    <vt:lpwstr>true</vt:lpwstr>
  </property>
  <property fmtid="{D5CDD505-2E9C-101B-9397-08002B2CF9AE}" pid="4" name="MSIP_Label_92b83b4b-2d54-414f-8077-da565f2c0ab9_SetDate">
    <vt:lpwstr>2026-08-17T22:10:16Z</vt:lpwstr>
  </property>
  <property fmtid="{D5CDD505-2E9C-101B-9397-08002B2CF9AE}" pid="5" name="MSIP_Label_92b83b4b-2d54-414f-8077-da565f2c0ab9_Method">
    <vt:lpwstr>Standard</vt:lpwstr>
  </property>
  <property fmtid="{D5CDD505-2E9C-101B-9397-08002B2CF9AE}" pid="6" name="MSIP_Label_92b83b4b-2d54-414f-8077-da565f2c0ab9_Name">
    <vt:lpwstr>92b83b4b-2d54-414f-8077-da565f2c0ab9</vt:lpwstr>
  </property>
  <property fmtid="{D5CDD505-2E9C-101B-9397-08002B2CF9AE}" pid="7" name="MSIP_Label_92b83b4b-2d54-414f-8077-da565f2c0ab9_SiteId">
    <vt:lpwstr>d8bde65a-3ded-4346-9518-670204e6e184</vt:lpwstr>
  </property>
  <property fmtid="{D5CDD505-2E9C-101B-9397-08002B2CF9AE}" pid="8" name="MSIP_Label_92b83b4b-2d54-414f-8077-da565f2c0ab9_ActionId">
    <vt:lpwstr>0f0df256-ce34-475d-8f7b-c4620a1e68fa</vt:lpwstr>
  </property>
  <property fmtid="{D5CDD505-2E9C-101B-9397-08002B2CF9AE}" pid="9" name="MSIP_Label_92b83b4b-2d54-414f-8077-da565f2c0ab9_ContentBits">
    <vt:lpwstr>0</vt:lpwstr>
  </property>
  <property fmtid="{D5CDD505-2E9C-101B-9397-08002B2CF9AE}" pid="10" name="MSIP_Label_92b83b4b-2d54-414f-8077-da565f2c0ab9_Tag">
    <vt:lpwstr>10, 3, 0, 2</vt:lpwstr>
  </property>
  <property fmtid="{D5CDD505-2E9C-101B-9397-08002B2CF9AE}" pid="11" name="MediaServiceImageTags">
    <vt:lpwstr/>
  </property>
</Properties>
</file>