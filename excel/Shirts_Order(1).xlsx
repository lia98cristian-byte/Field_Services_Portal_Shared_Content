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raf14840\Downloads\"/>
    </mc:Choice>
  </mc:AlternateContent>
  <xr:revisionPtr revIDLastSave="130" documentId="13_ncr:1_{FC12C879-9FF3-427D-A3EE-923209831D3D}" xr6:coauthVersionLast="47" xr6:coauthVersionMax="47" xr10:uidLastSave="{7D9FB504-E819-4BFA-9E95-CEA126F572B4}"/>
  <bookViews>
    <workbookView xWindow="-98" yWindow="-98" windowWidth="21795" windowHeight="12975" xr2:uid="{00000000-000D-0000-FFFF-FFFF00000000}"/>
  </bookViews>
  <sheets>
    <sheet name="Polo Orders" sheetId="1" r:id="rId1"/>
    <sheet name="Size Setup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1" l="1"/>
  <c r="J54" i="1"/>
  <c r="E54" i="1"/>
  <c r="K53" i="1"/>
  <c r="J53" i="1"/>
  <c r="E53" i="1"/>
  <c r="K52" i="1"/>
  <c r="J52" i="1"/>
  <c r="E52" i="1"/>
  <c r="K51" i="1"/>
  <c r="J51" i="1"/>
  <c r="E51" i="1"/>
  <c r="K50" i="1"/>
  <c r="J50" i="1"/>
  <c r="E50" i="1"/>
  <c r="K49" i="1"/>
  <c r="J49" i="1"/>
  <c r="E49" i="1"/>
  <c r="K48" i="1"/>
  <c r="J48" i="1"/>
  <c r="E48" i="1"/>
  <c r="K47" i="1"/>
  <c r="J47" i="1"/>
  <c r="E47" i="1"/>
  <c r="K46" i="1"/>
  <c r="J46" i="1"/>
  <c r="E46" i="1"/>
  <c r="K45" i="1"/>
  <c r="J45" i="1"/>
  <c r="E45" i="1"/>
  <c r="K44" i="1"/>
  <c r="J44" i="1"/>
  <c r="E44" i="1"/>
  <c r="K43" i="1"/>
  <c r="J43" i="1"/>
  <c r="E43" i="1"/>
  <c r="K42" i="1"/>
  <c r="J42" i="1"/>
  <c r="E42" i="1"/>
  <c r="K41" i="1"/>
  <c r="J41" i="1"/>
  <c r="E41" i="1"/>
  <c r="K40" i="1"/>
  <c r="J40" i="1"/>
  <c r="E40" i="1"/>
  <c r="K39" i="1"/>
  <c r="J39" i="1"/>
  <c r="E39" i="1"/>
  <c r="T38" i="1"/>
  <c r="R38" i="1"/>
  <c r="P38" i="1"/>
  <c r="N38" i="1"/>
  <c r="K38" i="1"/>
  <c r="J38" i="1"/>
  <c r="E38" i="1"/>
  <c r="K37" i="1"/>
  <c r="J37" i="1"/>
  <c r="E37" i="1"/>
  <c r="K36" i="1"/>
  <c r="J36" i="1"/>
  <c r="E36" i="1"/>
  <c r="U35" i="1"/>
  <c r="T35" i="1"/>
  <c r="S35" i="1"/>
  <c r="R35" i="1"/>
  <c r="Q35" i="1"/>
  <c r="P35" i="1"/>
  <c r="O35" i="1"/>
  <c r="K35" i="1"/>
  <c r="J35" i="1"/>
  <c r="E35" i="1"/>
  <c r="K34" i="1"/>
  <c r="J34" i="1"/>
  <c r="E34" i="1"/>
  <c r="U33" i="1"/>
  <c r="T33" i="1"/>
  <c r="S33" i="1"/>
  <c r="R33" i="1"/>
  <c r="Q33" i="1"/>
  <c r="P33" i="1"/>
  <c r="O33" i="1"/>
  <c r="K33" i="1"/>
  <c r="J33" i="1"/>
  <c r="E33" i="1"/>
  <c r="U32" i="1"/>
  <c r="T32" i="1"/>
  <c r="S32" i="1"/>
  <c r="R32" i="1"/>
  <c r="Q32" i="1"/>
  <c r="P32" i="1"/>
  <c r="O32" i="1"/>
  <c r="K32" i="1"/>
  <c r="J32" i="1"/>
  <c r="E32" i="1"/>
  <c r="U31" i="1"/>
  <c r="T31" i="1"/>
  <c r="S31" i="1"/>
  <c r="R31" i="1"/>
  <c r="Q31" i="1"/>
  <c r="P31" i="1"/>
  <c r="O31" i="1"/>
  <c r="K31" i="1"/>
  <c r="J31" i="1"/>
  <c r="E31" i="1"/>
  <c r="U30" i="1"/>
  <c r="T30" i="1"/>
  <c r="S30" i="1"/>
  <c r="R30" i="1"/>
  <c r="Q30" i="1"/>
  <c r="P30" i="1"/>
  <c r="O30" i="1"/>
  <c r="K30" i="1"/>
  <c r="J30" i="1"/>
  <c r="E30" i="1"/>
  <c r="U29" i="1"/>
  <c r="T29" i="1"/>
  <c r="S29" i="1"/>
  <c r="R29" i="1"/>
  <c r="Q29" i="1"/>
  <c r="P29" i="1"/>
  <c r="O29" i="1"/>
  <c r="K29" i="1"/>
  <c r="J29" i="1"/>
  <c r="E29" i="1"/>
  <c r="U28" i="1"/>
  <c r="T28" i="1"/>
  <c r="S28" i="1"/>
  <c r="R28" i="1"/>
  <c r="Q28" i="1"/>
  <c r="P28" i="1"/>
  <c r="O28" i="1"/>
  <c r="K28" i="1"/>
  <c r="J28" i="1"/>
  <c r="E28" i="1"/>
  <c r="U27" i="1"/>
  <c r="T27" i="1"/>
  <c r="S27" i="1"/>
  <c r="R27" i="1"/>
  <c r="Q27" i="1"/>
  <c r="P27" i="1"/>
  <c r="O27" i="1"/>
  <c r="K27" i="1"/>
  <c r="J27" i="1"/>
  <c r="E27" i="1"/>
  <c r="U26" i="1"/>
  <c r="T26" i="1"/>
  <c r="S26" i="1"/>
  <c r="R26" i="1"/>
  <c r="Q26" i="1"/>
  <c r="P26" i="1"/>
  <c r="O26" i="1"/>
  <c r="K26" i="1"/>
  <c r="J26" i="1"/>
  <c r="E26" i="1"/>
  <c r="U25" i="1"/>
  <c r="T25" i="1"/>
  <c r="S25" i="1"/>
  <c r="R25" i="1"/>
  <c r="Q25" i="1"/>
  <c r="P25" i="1"/>
  <c r="O25" i="1"/>
  <c r="K25" i="1"/>
  <c r="J25" i="1"/>
  <c r="E25" i="1"/>
  <c r="U24" i="1"/>
  <c r="T24" i="1"/>
  <c r="S24" i="1"/>
  <c r="R24" i="1"/>
  <c r="Q24" i="1"/>
  <c r="P24" i="1"/>
  <c r="O24" i="1"/>
  <c r="K24" i="1"/>
  <c r="J24" i="1"/>
  <c r="E24" i="1"/>
  <c r="U23" i="1"/>
  <c r="T23" i="1"/>
  <c r="S23" i="1"/>
  <c r="R23" i="1"/>
  <c r="Q23" i="1"/>
  <c r="P23" i="1"/>
  <c r="O23" i="1"/>
  <c r="K23" i="1"/>
  <c r="J23" i="1"/>
  <c r="E23" i="1"/>
  <c r="U22" i="1"/>
  <c r="T22" i="1"/>
  <c r="S22" i="1"/>
  <c r="R22" i="1"/>
  <c r="Q22" i="1"/>
  <c r="P22" i="1"/>
  <c r="O22" i="1"/>
  <c r="K22" i="1"/>
  <c r="J22" i="1"/>
  <c r="E22" i="1"/>
  <c r="U21" i="1"/>
  <c r="T21" i="1"/>
  <c r="S21" i="1"/>
  <c r="R21" i="1"/>
  <c r="Q21" i="1"/>
  <c r="P21" i="1"/>
  <c r="O21" i="1"/>
  <c r="K21" i="1"/>
  <c r="J21" i="1"/>
  <c r="E21" i="1"/>
  <c r="U20" i="1"/>
  <c r="T20" i="1"/>
  <c r="S20" i="1"/>
  <c r="R20" i="1"/>
  <c r="Q20" i="1"/>
  <c r="P20" i="1"/>
  <c r="O20" i="1"/>
  <c r="K20" i="1"/>
  <c r="J20" i="1"/>
  <c r="E20" i="1"/>
  <c r="U19" i="1"/>
  <c r="T19" i="1"/>
  <c r="S19" i="1"/>
  <c r="R19" i="1"/>
  <c r="Q19" i="1"/>
  <c r="P19" i="1"/>
  <c r="O19" i="1"/>
  <c r="K19" i="1"/>
  <c r="J19" i="1"/>
  <c r="E19" i="1"/>
  <c r="U18" i="1"/>
  <c r="T18" i="1"/>
  <c r="S18" i="1"/>
  <c r="R18" i="1"/>
  <c r="Q18" i="1"/>
  <c r="P18" i="1"/>
  <c r="O18" i="1"/>
  <c r="K18" i="1"/>
  <c r="J18" i="1"/>
  <c r="E18" i="1"/>
  <c r="N17" i="1"/>
  <c r="K17" i="1"/>
  <c r="J17" i="1"/>
  <c r="E17" i="1"/>
  <c r="N16" i="1"/>
  <c r="O16" i="1" s="1"/>
  <c r="K16" i="1"/>
  <c r="J16" i="1"/>
  <c r="E16" i="1"/>
  <c r="N15" i="1"/>
  <c r="S15" i="1" s="1"/>
  <c r="K15" i="1"/>
  <c r="J15" i="1"/>
  <c r="E15" i="1"/>
  <c r="N14" i="1"/>
  <c r="K14" i="1"/>
  <c r="J14" i="1"/>
  <c r="E14" i="1"/>
  <c r="N13" i="1"/>
  <c r="W13" i="1" s="1"/>
  <c r="K13" i="1"/>
  <c r="J13" i="1"/>
  <c r="E13" i="1"/>
  <c r="N12" i="1"/>
  <c r="S12" i="1" s="1"/>
  <c r="K12" i="1"/>
  <c r="J12" i="1"/>
  <c r="E12" i="1"/>
  <c r="N11" i="1"/>
  <c r="K11" i="1"/>
  <c r="J11" i="1"/>
  <c r="E11" i="1"/>
  <c r="N10" i="1"/>
  <c r="K10" i="1"/>
  <c r="J10" i="1"/>
  <c r="E10" i="1"/>
  <c r="N9" i="1"/>
  <c r="S9" i="1" s="1"/>
  <c r="K9" i="1"/>
  <c r="J9" i="1"/>
  <c r="E9" i="1"/>
  <c r="N8" i="1"/>
  <c r="K8" i="1"/>
  <c r="J8" i="1"/>
  <c r="E8" i="1"/>
  <c r="N7" i="1"/>
  <c r="S7" i="1" s="1"/>
  <c r="K7" i="1"/>
  <c r="J7" i="1"/>
  <c r="E7" i="1"/>
  <c r="N6" i="1"/>
  <c r="K6" i="1"/>
  <c r="J6" i="1"/>
  <c r="E6" i="1"/>
  <c r="N5" i="1"/>
  <c r="K5" i="1"/>
  <c r="J5" i="1"/>
  <c r="E5" i="1"/>
  <c r="N4" i="1"/>
  <c r="Q6" i="1" l="1"/>
  <c r="S6" i="1"/>
  <c r="W6" i="1" s="1"/>
  <c r="R6" i="1"/>
  <c r="V6" i="1" s="1"/>
  <c r="O10" i="1"/>
  <c r="W10" i="1"/>
  <c r="S10" i="1"/>
  <c r="R10" i="1"/>
  <c r="V10" i="1" s="1"/>
  <c r="X10" i="1" s="1"/>
  <c r="Q10" i="1"/>
  <c r="P10" i="1"/>
  <c r="S11" i="1"/>
  <c r="W11" i="1"/>
  <c r="R14" i="1"/>
  <c r="V14" i="1" s="1"/>
  <c r="X14" i="1" s="1"/>
  <c r="W14" i="1"/>
  <c r="S14" i="1"/>
  <c r="P17" i="1"/>
  <c r="Q17" i="1"/>
  <c r="P15" i="1"/>
  <c r="Q15" i="1"/>
  <c r="W15" i="1"/>
  <c r="O15" i="1"/>
  <c r="R15" i="1"/>
  <c r="V15" i="1" s="1"/>
  <c r="X15" i="1" s="1"/>
  <c r="O8" i="1"/>
  <c r="P8" i="1"/>
  <c r="Q8" i="1"/>
  <c r="R8" i="1"/>
  <c r="V8" i="1" s="1"/>
  <c r="S8" i="1"/>
  <c r="W8" i="1" s="1"/>
  <c r="R7" i="1"/>
  <c r="V7" i="1" s="1"/>
  <c r="W7" i="1"/>
  <c r="O7" i="1"/>
  <c r="P7" i="1"/>
  <c r="Q7" i="1"/>
  <c r="X6" i="1"/>
  <c r="O6" i="1"/>
  <c r="P6" i="1"/>
  <c r="P5" i="1"/>
  <c r="S5" i="1"/>
  <c r="W5" i="1" s="1"/>
  <c r="O5" i="1"/>
  <c r="Q5" i="1"/>
  <c r="R5" i="1"/>
  <c r="V5" i="1" s="1"/>
  <c r="R17" i="1"/>
  <c r="V17" i="1" s="1"/>
  <c r="X17" i="1" s="1"/>
  <c r="S17" i="1"/>
  <c r="P16" i="1"/>
  <c r="W17" i="1"/>
  <c r="Q16" i="1"/>
  <c r="R16" i="1"/>
  <c r="V16" i="1" s="1"/>
  <c r="X16" i="1" s="1"/>
  <c r="W16" i="1"/>
  <c r="S16" i="1"/>
  <c r="O17" i="1"/>
  <c r="O14" i="1"/>
  <c r="P14" i="1"/>
  <c r="Q14" i="1"/>
  <c r="Q13" i="1"/>
  <c r="R13" i="1"/>
  <c r="V13" i="1" s="1"/>
  <c r="X13" i="1" s="1"/>
  <c r="Q12" i="1"/>
  <c r="O12" i="1"/>
  <c r="R9" i="1"/>
  <c r="V9" i="1" s="1"/>
  <c r="X9" i="1" s="1"/>
  <c r="W12" i="1"/>
  <c r="O13" i="1"/>
  <c r="P13" i="1"/>
  <c r="O9" i="1"/>
  <c r="P9" i="1"/>
  <c r="S13" i="1"/>
  <c r="P12" i="1"/>
  <c r="W9" i="1"/>
  <c r="O11" i="1"/>
  <c r="R11" i="1"/>
  <c r="V11" i="1" s="1"/>
  <c r="X11" i="1" s="1"/>
  <c r="Q9" i="1"/>
  <c r="R12" i="1"/>
  <c r="V12" i="1" s="1"/>
  <c r="X12" i="1" s="1"/>
  <c r="P11" i="1"/>
  <c r="Q11" i="1"/>
  <c r="S4" i="1"/>
  <c r="W4" i="1" s="1"/>
  <c r="T6" i="1"/>
  <c r="T7" i="1"/>
  <c r="T8" i="1"/>
  <c r="T9" i="1"/>
  <c r="T10" i="1"/>
  <c r="T11" i="1"/>
  <c r="T12" i="1"/>
  <c r="T13" i="1"/>
  <c r="T14" i="1"/>
  <c r="T15" i="1"/>
  <c r="T16" i="1"/>
  <c r="T17" i="1"/>
  <c r="P4" i="1"/>
  <c r="Q4" i="1"/>
  <c r="R4" i="1"/>
  <c r="T4" i="1" s="1"/>
  <c r="U7" i="1"/>
  <c r="U8" i="1"/>
  <c r="U9" i="1"/>
  <c r="U11" i="1"/>
  <c r="U12" i="1"/>
  <c r="U14" i="1"/>
  <c r="U15" i="1"/>
  <c r="U17" i="1"/>
  <c r="V4" i="1"/>
  <c r="O4" i="1"/>
  <c r="U6" i="1"/>
  <c r="U10" i="1"/>
  <c r="U13" i="1"/>
  <c r="U16" i="1"/>
  <c r="X8" i="1" l="1"/>
  <c r="X7" i="1"/>
  <c r="X4" i="1"/>
  <c r="X5" i="1"/>
  <c r="U5" i="1"/>
  <c r="U4" i="1"/>
  <c r="T5" i="1"/>
  <c r="X35" i="1"/>
  <c r="V38" i="1" s="1"/>
  <c r="V35" i="1"/>
  <c r="W35" i="1"/>
</calcChain>
</file>

<file path=xl/sharedStrings.xml><?xml version="1.0" encoding="utf-8"?>
<sst xmlns="http://schemas.openxmlformats.org/spreadsheetml/2006/main" count="88" uniqueCount="53">
  <si>
    <t>Polo Order, Return &amp; Surplus Tracker</t>
  </si>
  <si>
    <t>Size Summary — Returns Added Back</t>
  </si>
  <si>
    <t>Select the returned shirt size separately. Returned shirts are added back to the matching size totals and Surplus.</t>
  </si>
  <si>
    <t>Polo Size</t>
  </si>
  <si>
    <t>Orders</t>
  </si>
  <si>
    <t>Short Sleeve</t>
  </si>
  <si>
    <t>Long Sleeve</t>
  </si>
  <si>
    <t>Return Short</t>
  </si>
  <si>
    <t>Return Long</t>
  </si>
  <si>
    <t>Surplus</t>
  </si>
  <si>
    <t>Net Issued</t>
  </si>
  <si>
    <t>Short Sleeve to Actually Order</t>
  </si>
  <si>
    <t>Long Sleeve to Actually Order</t>
  </si>
  <si>
    <t>Total to Actually Order</t>
  </si>
  <si>
    <t>Employee Name</t>
  </si>
  <si>
    <t>Order Size</t>
  </si>
  <si>
    <t>Combo</t>
  </si>
  <si>
    <t>Return Short Size</t>
  </si>
  <si>
    <t>Return Short Qty</t>
  </si>
  <si>
    <t>Return Long Size</t>
  </si>
  <si>
    <t>Return Long Qty</t>
  </si>
  <si>
    <t>Delivered to Tech</t>
  </si>
  <si>
    <t>Peter Gonzalez</t>
  </si>
  <si>
    <t>M</t>
  </si>
  <si>
    <t>Alvaro Hernandez</t>
  </si>
  <si>
    <t>XL</t>
  </si>
  <si>
    <t>Jonathan Davila</t>
  </si>
  <si>
    <t>L</t>
  </si>
  <si>
    <t>Anthony Thompson</t>
  </si>
  <si>
    <t>Andrew Montgomery</t>
  </si>
  <si>
    <t>Carlos Martinez</t>
  </si>
  <si>
    <t>Carlos Sanabria</t>
  </si>
  <si>
    <t>Amanda Martinez</t>
  </si>
  <si>
    <t>W S</t>
  </si>
  <si>
    <t>Kevin Luburd</t>
  </si>
  <si>
    <t>Miquelle</t>
  </si>
  <si>
    <t>Fernando</t>
  </si>
  <si>
    <t>Joshio</t>
  </si>
  <si>
    <t>TOTAL</t>
  </si>
  <si>
    <t>Original Shirts</t>
  </si>
  <si>
    <t>Total Returned / Surplus</t>
  </si>
  <si>
    <t>Total With Returns</t>
  </si>
  <si>
    <t>TOTAL POLOS TO ACTUALLY ORDER</t>
  </si>
  <si>
    <t>Order &amp; Return Size Setup</t>
  </si>
  <si>
    <t>Active</t>
  </si>
  <si>
    <t>Notes</t>
  </si>
  <si>
    <t>How to use</t>
  </si>
  <si>
    <t>Yes</t>
  </si>
  <si>
    <t>This is the fixed master size list used by all size dropdowns.</t>
  </si>
  <si>
    <t>Order Size uses only the sizes listed in A3:A16.</t>
  </si>
  <si>
    <t>Return Short Size uses only the sizes listed in A3:A16.</t>
  </si>
  <si>
    <t>Return Long Size uses only the sizes listed in A3:A16.</t>
  </si>
  <si>
    <t>The master list does not expand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</si>
</sst>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8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8"/>
      <name val="Carlito"/>
    </font>
    <font>
      <b/>
      <sz val="22"/>
      <name val="Carlito"/>
    </font>
    <font>
      <sz val="11"/>
      <color theme="1"/>
      <name val="Carlito"/>
    </font>
    <font>
      <b/>
      <sz val="11"/>
      <color theme="0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70AD47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5A72BE"/>
        <bgColor indexed="64"/>
      </patternFill>
    </fill>
    <fill>
      <patternFill patternType="solid">
        <fgColor rgb="FF84AB5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3" fillId="6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0" fillId="7" borderId="1" xfId="0" applyFill="1" applyBorder="1"/>
  </cellXfs>
  <cellStyles count="1">
    <cellStyle name="Normal" xfId="0" builtinId="0"/>
  </cellStyles>
  <dxfs count="1">
    <dxf>
      <font>
        <b/>
      </font>
      <fill>
        <patternFill>
          <bgColor rgb="FFC6E0B4"/>
        </patternFill>
      </fill>
    </dxf>
  </dxfs>
  <tableStyles count="0" defaultTableStyle="TableStyleMedium2" defaultPivotStyle="PivotStyleLight16"/>
  <colors>
    <mruColors>
      <color rgb="FF84AB56"/>
      <color rgb="FF5A72BE"/>
      <color rgb="FF5C80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"/>
  <sheetViews>
    <sheetView tabSelected="1" zoomScale="85" zoomScaleNormal="85" workbookViewId="0">
      <selection activeCell="AA16" sqref="AA16"/>
    </sheetView>
  </sheetViews>
  <sheetFormatPr defaultColWidth="8.625" defaultRowHeight="14.25"/>
  <cols>
    <col min="1" max="1" width="16.75" style="15" customWidth="1"/>
    <col min="2" max="4" width="8.625" style="15"/>
    <col min="5" max="5" width="31.125" style="15" customWidth="1"/>
    <col min="6" max="11" width="8.625" style="15"/>
    <col min="12" max="12" width="9.375" style="15" customWidth="1"/>
    <col min="13" max="13" width="5.875" style="20" customWidth="1"/>
    <col min="14" max="23" width="8.625" style="15"/>
    <col min="24" max="24" width="23" style="15" customWidth="1"/>
    <col min="25" max="16384" width="8.625" style="15"/>
  </cols>
  <sheetData>
    <row r="1" spans="1:24" ht="21.7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16"/>
      <c r="M1" s="19"/>
      <c r="N1" s="23" t="s">
        <v>1</v>
      </c>
      <c r="O1" s="23"/>
      <c r="P1" s="23"/>
      <c r="Q1" s="23"/>
      <c r="R1" s="23"/>
      <c r="S1" s="23"/>
      <c r="T1" s="23"/>
      <c r="U1" s="23"/>
    </row>
    <row r="2" spans="1:24" ht="12.75" customHeight="1">
      <c r="A2" s="12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24" ht="55.5" customHeight="1">
      <c r="N3" s="3" t="s">
        <v>3</v>
      </c>
      <c r="O3" s="3" t="s">
        <v>4</v>
      </c>
      <c r="P3" s="3" t="s">
        <v>5</v>
      </c>
      <c r="Q3" s="3" t="s">
        <v>6</v>
      </c>
      <c r="R3" s="3" t="s">
        <v>7</v>
      </c>
      <c r="S3" s="3" t="s">
        <v>8</v>
      </c>
      <c r="T3" s="3" t="s">
        <v>9</v>
      </c>
      <c r="U3" s="3" t="s">
        <v>10</v>
      </c>
      <c r="V3" s="2" t="s">
        <v>11</v>
      </c>
      <c r="W3" s="2" t="s">
        <v>12</v>
      </c>
      <c r="X3" s="2" t="s">
        <v>13</v>
      </c>
    </row>
    <row r="4" spans="1:24" ht="30.75" customHeight="1">
      <c r="A4" s="3" t="s">
        <v>14</v>
      </c>
      <c r="B4" s="3" t="s">
        <v>15</v>
      </c>
      <c r="C4" s="3" t="s">
        <v>5</v>
      </c>
      <c r="D4" s="3" t="s">
        <v>6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9</v>
      </c>
      <c r="K4" s="3" t="s">
        <v>10</v>
      </c>
      <c r="L4" s="18" t="s">
        <v>21</v>
      </c>
      <c r="M4" s="21"/>
      <c r="N4" s="15" t="str">
        <f>IF('Size Setup'!A3="","",'Size Setup'!A3)</f>
        <v>M</v>
      </c>
      <c r="O4" s="15">
        <f t="shared" ref="O4:O33" si="0">IF(N4="","",COUNTIF($B$5:$B$54,N4)+SUMIF($F$5:$F$54,N4,$G$5:$G$54)+SUMIF($H$5:$H$54,N4,$I$5:$I$54))</f>
        <v>6</v>
      </c>
      <c r="P4" s="15">
        <f t="shared" ref="P4:P33" si="1">IF(N4="","",SUMIF($B$5:$B$54,N4,$C$5:$C$54)+SUMIF($F$5:$F$54,N4,$G$5:$G$54))</f>
        <v>11</v>
      </c>
      <c r="Q4" s="15">
        <f t="shared" ref="Q4:Q33" si="2">IF(N4="","",SUMIF($B$5:$B$54,N4,$D$5:$D$54)+SUMIF($H$5:$H$54,N4,$I$5:$I$54))</f>
        <v>3</v>
      </c>
      <c r="R4" s="15">
        <f t="shared" ref="R4:R33" si="3">IF(N4="","",SUMIF($F$5:$F$54,N4,$G$5:$G$54))</f>
        <v>1</v>
      </c>
      <c r="S4" s="15">
        <f t="shared" ref="S4:S33" si="4">IF(N4="","",SUMIF($H$5:$H$54,N4,$I$5:$I$54))</f>
        <v>0</v>
      </c>
      <c r="T4" s="15">
        <f t="shared" ref="T4:T33" si="5">IF(N4="","",R4+S4)</f>
        <v>1</v>
      </c>
      <c r="U4" s="15">
        <f t="shared" ref="U4:U33" si="6">IF(N4="","",MAX(0,SUMIF($B$5:$B$54,N4,$C$5:$C$54)+SUMIF($B$5:$B$54,N4,$D$5:$D$54)-R4-S4))</f>
        <v>12</v>
      </c>
      <c r="V4" s="4">
        <f t="shared" ref="V4:V17" si="7">IF(N4="","",MAX(0,SUMIF($B$5:$B$54,N4,$C$5:$C$54)-R4))</f>
        <v>9</v>
      </c>
      <c r="W4" s="4">
        <f t="shared" ref="W4:W17" si="8">IF(N4="","",MAX(0,SUMIF($B$5:$B$54,N4,$D$5:$D$54)-S4))</f>
        <v>3</v>
      </c>
      <c r="X4" s="4">
        <f t="shared" ref="X4:X17" si="9">IF(N4="","",V4+W4)</f>
        <v>12</v>
      </c>
    </row>
    <row r="5" spans="1:24" ht="12.75" customHeight="1">
      <c r="A5" s="4" t="s">
        <v>22</v>
      </c>
      <c r="B5" s="4" t="s">
        <v>23</v>
      </c>
      <c r="C5" s="4">
        <v>3</v>
      </c>
      <c r="D5" s="4">
        <v>0</v>
      </c>
      <c r="E5" s="5" t="str">
        <f t="shared" ref="E5:E36" si="10">IF(B5="","",IF(AND(C5&gt;0,D5&gt;0),C5&amp;" Short Sleeve + "&amp;D5&amp;" Long Sleeve",IF(C5&gt;0,C5&amp;" Short Sleeve",IF(D5&gt;0,D5&amp;" Long Sleeve",""))))</f>
        <v>3 Short Sleeve</v>
      </c>
      <c r="F5" s="4"/>
      <c r="G5" s="6">
        <v>0</v>
      </c>
      <c r="H5" s="4"/>
      <c r="I5" s="6">
        <v>0</v>
      </c>
      <c r="J5" s="24">
        <f t="shared" ref="J5:J36" si="11">IF(A5="","",N(G5)+N(I5))</f>
        <v>0</v>
      </c>
      <c r="K5" s="7">
        <f t="shared" ref="K5:K36" si="12">IF(A5="","",MAX(0,N(C5)+N(D5)-N(G5)-N(I5)))</f>
        <v>3</v>
      </c>
      <c r="L5" s="17"/>
      <c r="N5" s="15" t="str">
        <f>IF('Size Setup'!A4="","",'Size Setup'!A4)</f>
        <v>L</v>
      </c>
      <c r="O5" s="15">
        <f t="shared" si="0"/>
        <v>7</v>
      </c>
      <c r="P5" s="15">
        <f t="shared" si="1"/>
        <v>6</v>
      </c>
      <c r="Q5" s="15">
        <f t="shared" si="2"/>
        <v>5</v>
      </c>
      <c r="R5" s="15">
        <f t="shared" si="3"/>
        <v>2</v>
      </c>
      <c r="S5" s="15">
        <f t="shared" si="4"/>
        <v>2</v>
      </c>
      <c r="T5" s="15">
        <f t="shared" si="5"/>
        <v>4</v>
      </c>
      <c r="U5" s="15">
        <f t="shared" si="6"/>
        <v>3</v>
      </c>
      <c r="V5" s="4">
        <f t="shared" si="7"/>
        <v>2</v>
      </c>
      <c r="W5" s="4">
        <f t="shared" si="8"/>
        <v>1</v>
      </c>
      <c r="X5" s="4">
        <f t="shared" si="9"/>
        <v>3</v>
      </c>
    </row>
    <row r="6" spans="1:24" ht="12.75" customHeight="1">
      <c r="A6" s="4" t="s">
        <v>24</v>
      </c>
      <c r="B6" s="4" t="s">
        <v>25</v>
      </c>
      <c r="C6" s="4">
        <v>3</v>
      </c>
      <c r="D6" s="4">
        <v>0</v>
      </c>
      <c r="E6" s="5" t="str">
        <f t="shared" si="10"/>
        <v>3 Short Sleeve</v>
      </c>
      <c r="F6" s="4"/>
      <c r="G6" s="6">
        <v>0</v>
      </c>
      <c r="H6" s="4"/>
      <c r="I6" s="6">
        <v>0</v>
      </c>
      <c r="J6" s="24">
        <f t="shared" si="11"/>
        <v>0</v>
      </c>
      <c r="K6" s="7">
        <f t="shared" si="12"/>
        <v>3</v>
      </c>
      <c r="L6" s="17"/>
      <c r="N6" s="15" t="str">
        <f>IF('Size Setup'!A5="","",'Size Setup'!A5)</f>
        <v>XL</v>
      </c>
      <c r="O6" s="15">
        <f t="shared" si="0"/>
        <v>2</v>
      </c>
      <c r="P6" s="15">
        <f t="shared" si="1"/>
        <v>6</v>
      </c>
      <c r="Q6" s="15">
        <f t="shared" si="2"/>
        <v>0</v>
      </c>
      <c r="R6" s="15">
        <f t="shared" si="3"/>
        <v>0</v>
      </c>
      <c r="S6" s="15">
        <f t="shared" si="4"/>
        <v>0</v>
      </c>
      <c r="T6" s="15">
        <f t="shared" si="5"/>
        <v>0</v>
      </c>
      <c r="U6" s="15">
        <f t="shared" si="6"/>
        <v>6</v>
      </c>
      <c r="V6" s="4">
        <f t="shared" si="7"/>
        <v>6</v>
      </c>
      <c r="W6" s="4">
        <f t="shared" si="8"/>
        <v>0</v>
      </c>
      <c r="X6" s="4">
        <f t="shared" si="9"/>
        <v>6</v>
      </c>
    </row>
    <row r="7" spans="1:24" ht="12.75" customHeight="1">
      <c r="A7" s="4" t="s">
        <v>26</v>
      </c>
      <c r="B7" s="4" t="s">
        <v>27</v>
      </c>
      <c r="C7" s="4">
        <v>2</v>
      </c>
      <c r="D7" s="4">
        <v>1</v>
      </c>
      <c r="E7" s="5" t="str">
        <f t="shared" si="10"/>
        <v>2 Short Sleeve + 1 Long Sleeve</v>
      </c>
      <c r="F7" s="4"/>
      <c r="G7" s="6">
        <v>0</v>
      </c>
      <c r="H7" s="4"/>
      <c r="I7" s="6">
        <v>0</v>
      </c>
      <c r="J7" s="24">
        <f t="shared" si="11"/>
        <v>0</v>
      </c>
      <c r="K7" s="7">
        <f t="shared" si="12"/>
        <v>3</v>
      </c>
      <c r="L7" s="17"/>
      <c r="N7" s="15" t="str">
        <f>IF('Size Setup'!A6="","",'Size Setup'!A6)</f>
        <v>W S</v>
      </c>
      <c r="O7" s="15">
        <f t="shared" si="0"/>
        <v>1</v>
      </c>
      <c r="P7" s="15">
        <f t="shared" si="1"/>
        <v>2</v>
      </c>
      <c r="Q7" s="15">
        <f t="shared" si="2"/>
        <v>1</v>
      </c>
      <c r="R7" s="15">
        <f t="shared" si="3"/>
        <v>0</v>
      </c>
      <c r="S7" s="15">
        <f t="shared" si="4"/>
        <v>0</v>
      </c>
      <c r="T7" s="15">
        <f t="shared" si="5"/>
        <v>0</v>
      </c>
      <c r="U7" s="15">
        <f t="shared" si="6"/>
        <v>3</v>
      </c>
      <c r="V7" s="4">
        <f t="shared" si="7"/>
        <v>2</v>
      </c>
      <c r="W7" s="4">
        <f t="shared" si="8"/>
        <v>1</v>
      </c>
      <c r="X7" s="4">
        <f t="shared" si="9"/>
        <v>3</v>
      </c>
    </row>
    <row r="8" spans="1:24" ht="12.75" customHeight="1">
      <c r="A8" s="4" t="s">
        <v>28</v>
      </c>
      <c r="B8" s="4" t="s">
        <v>23</v>
      </c>
      <c r="C8" s="4">
        <v>2</v>
      </c>
      <c r="D8" s="4">
        <v>1</v>
      </c>
      <c r="E8" s="5" t="str">
        <f t="shared" si="10"/>
        <v>2 Short Sleeve + 1 Long Sleeve</v>
      </c>
      <c r="F8" s="4" t="s">
        <v>27</v>
      </c>
      <c r="G8" s="6">
        <v>1</v>
      </c>
      <c r="H8" s="4" t="s">
        <v>27</v>
      </c>
      <c r="I8" s="6">
        <v>1</v>
      </c>
      <c r="J8" s="24">
        <f t="shared" si="11"/>
        <v>2</v>
      </c>
      <c r="K8" s="7">
        <f t="shared" si="12"/>
        <v>1</v>
      </c>
      <c r="L8" s="17"/>
      <c r="N8" s="15" t="str">
        <f>IF('Size Setup'!A7="","",'Size Setup'!A7)</f>
        <v/>
      </c>
      <c r="O8" s="15" t="str">
        <f t="shared" si="0"/>
        <v/>
      </c>
      <c r="P8" s="15" t="str">
        <f t="shared" si="1"/>
        <v/>
      </c>
      <c r="Q8" s="15" t="str">
        <f t="shared" si="2"/>
        <v/>
      </c>
      <c r="R8" s="15" t="str">
        <f t="shared" si="3"/>
        <v/>
      </c>
      <c r="S8" s="15" t="str">
        <f t="shared" si="4"/>
        <v/>
      </c>
      <c r="T8" s="15" t="str">
        <f t="shared" si="5"/>
        <v/>
      </c>
      <c r="U8" s="15" t="str">
        <f t="shared" si="6"/>
        <v/>
      </c>
      <c r="V8" s="4" t="str">
        <f t="shared" si="7"/>
        <v/>
      </c>
      <c r="W8" s="4" t="str">
        <f t="shared" si="8"/>
        <v/>
      </c>
      <c r="X8" s="4" t="str">
        <f t="shared" si="9"/>
        <v/>
      </c>
    </row>
    <row r="9" spans="1:24" ht="12.75" customHeight="1">
      <c r="A9" s="4" t="s">
        <v>29</v>
      </c>
      <c r="B9" s="4" t="s">
        <v>23</v>
      </c>
      <c r="C9" s="4">
        <v>3</v>
      </c>
      <c r="D9" s="4">
        <v>0</v>
      </c>
      <c r="E9" s="5" t="str">
        <f t="shared" si="10"/>
        <v>3 Short Sleeve</v>
      </c>
      <c r="F9" s="4"/>
      <c r="G9" s="6">
        <v>0</v>
      </c>
      <c r="H9" s="4"/>
      <c r="I9" s="6">
        <v>0</v>
      </c>
      <c r="J9" s="24">
        <f t="shared" si="11"/>
        <v>0</v>
      </c>
      <c r="K9" s="7">
        <f t="shared" si="12"/>
        <v>3</v>
      </c>
      <c r="L9" s="17"/>
      <c r="N9" s="15" t="str">
        <f>IF('Size Setup'!A8="","",'Size Setup'!A8)</f>
        <v/>
      </c>
      <c r="O9" s="15" t="str">
        <f t="shared" si="0"/>
        <v/>
      </c>
      <c r="P9" s="15" t="str">
        <f t="shared" si="1"/>
        <v/>
      </c>
      <c r="Q9" s="15" t="str">
        <f t="shared" si="2"/>
        <v/>
      </c>
      <c r="R9" s="15" t="str">
        <f t="shared" si="3"/>
        <v/>
      </c>
      <c r="S9" s="15" t="str">
        <f t="shared" si="4"/>
        <v/>
      </c>
      <c r="T9" s="15" t="str">
        <f t="shared" si="5"/>
        <v/>
      </c>
      <c r="U9" s="15" t="str">
        <f t="shared" si="6"/>
        <v/>
      </c>
      <c r="V9" s="4" t="str">
        <f t="shared" si="7"/>
        <v/>
      </c>
      <c r="W9" s="4" t="str">
        <f t="shared" si="8"/>
        <v/>
      </c>
      <c r="X9" s="4" t="str">
        <f t="shared" si="9"/>
        <v/>
      </c>
    </row>
    <row r="10" spans="1:24" ht="12.75" customHeight="1">
      <c r="A10" s="4" t="s">
        <v>30</v>
      </c>
      <c r="B10" s="4" t="s">
        <v>27</v>
      </c>
      <c r="C10" s="4">
        <v>2</v>
      </c>
      <c r="D10" s="4">
        <v>1</v>
      </c>
      <c r="E10" s="5" t="str">
        <f t="shared" si="10"/>
        <v>2 Short Sleeve + 1 Long Sleeve</v>
      </c>
      <c r="F10" s="4"/>
      <c r="G10" s="6">
        <v>0</v>
      </c>
      <c r="H10" s="4"/>
      <c r="I10" s="6">
        <v>0</v>
      </c>
      <c r="J10" s="24">
        <f t="shared" si="11"/>
        <v>0</v>
      </c>
      <c r="K10" s="7">
        <f t="shared" si="12"/>
        <v>3</v>
      </c>
      <c r="L10" s="17"/>
      <c r="N10" s="15" t="str">
        <f>IF('Size Setup'!A9="","",'Size Setup'!A9)</f>
        <v/>
      </c>
      <c r="O10" s="15" t="str">
        <f t="shared" si="0"/>
        <v/>
      </c>
      <c r="P10" s="15" t="str">
        <f t="shared" si="1"/>
        <v/>
      </c>
      <c r="Q10" s="15" t="str">
        <f t="shared" si="2"/>
        <v/>
      </c>
      <c r="R10" s="15" t="str">
        <f t="shared" si="3"/>
        <v/>
      </c>
      <c r="S10" s="15" t="str">
        <f t="shared" si="4"/>
        <v/>
      </c>
      <c r="T10" s="15" t="str">
        <f t="shared" si="5"/>
        <v/>
      </c>
      <c r="U10" s="15" t="str">
        <f t="shared" si="6"/>
        <v/>
      </c>
      <c r="V10" s="4" t="str">
        <f t="shared" si="7"/>
        <v/>
      </c>
      <c r="W10" s="4" t="str">
        <f t="shared" si="8"/>
        <v/>
      </c>
      <c r="X10" s="4" t="str">
        <f t="shared" si="9"/>
        <v/>
      </c>
    </row>
    <row r="11" spans="1:24" ht="12.75" customHeight="1">
      <c r="A11" s="4" t="s">
        <v>31</v>
      </c>
      <c r="B11" s="4" t="s">
        <v>25</v>
      </c>
      <c r="C11" s="4">
        <v>3</v>
      </c>
      <c r="D11" s="4">
        <v>0</v>
      </c>
      <c r="E11" s="5" t="str">
        <f t="shared" si="10"/>
        <v>3 Short Sleeve</v>
      </c>
      <c r="F11" s="4"/>
      <c r="G11" s="6">
        <v>0</v>
      </c>
      <c r="H11" s="4"/>
      <c r="I11" s="6">
        <v>0</v>
      </c>
      <c r="J11" s="24">
        <f t="shared" si="11"/>
        <v>0</v>
      </c>
      <c r="K11" s="7">
        <f t="shared" si="12"/>
        <v>3</v>
      </c>
      <c r="L11" s="17"/>
      <c r="N11" s="15" t="str">
        <f>IF('Size Setup'!A10="","",'Size Setup'!A10)</f>
        <v/>
      </c>
      <c r="O11" s="15" t="str">
        <f t="shared" si="0"/>
        <v/>
      </c>
      <c r="P11" s="15" t="str">
        <f t="shared" si="1"/>
        <v/>
      </c>
      <c r="Q11" s="15" t="str">
        <f t="shared" si="2"/>
        <v/>
      </c>
      <c r="R11" s="15" t="str">
        <f t="shared" si="3"/>
        <v/>
      </c>
      <c r="S11" s="15" t="str">
        <f t="shared" si="4"/>
        <v/>
      </c>
      <c r="T11" s="15" t="str">
        <f t="shared" si="5"/>
        <v/>
      </c>
      <c r="U11" s="15" t="str">
        <f t="shared" si="6"/>
        <v/>
      </c>
      <c r="V11" s="4" t="str">
        <f t="shared" si="7"/>
        <v/>
      </c>
      <c r="W11" s="4" t="str">
        <f t="shared" si="8"/>
        <v/>
      </c>
      <c r="X11" s="4" t="str">
        <f t="shared" si="9"/>
        <v/>
      </c>
    </row>
    <row r="12" spans="1:24" ht="12.75" customHeight="1">
      <c r="A12" s="4" t="s">
        <v>32</v>
      </c>
      <c r="B12" s="4" t="s">
        <v>33</v>
      </c>
      <c r="C12" s="4">
        <v>2</v>
      </c>
      <c r="D12" s="4">
        <v>1</v>
      </c>
      <c r="E12" s="5" t="str">
        <f t="shared" si="10"/>
        <v>2 Short Sleeve + 1 Long Sleeve</v>
      </c>
      <c r="F12" s="4"/>
      <c r="G12" s="6">
        <v>0</v>
      </c>
      <c r="H12" s="4"/>
      <c r="I12" s="6">
        <v>0</v>
      </c>
      <c r="J12" s="24">
        <f t="shared" si="11"/>
        <v>0</v>
      </c>
      <c r="K12" s="7">
        <f t="shared" si="12"/>
        <v>3</v>
      </c>
      <c r="L12" s="17"/>
      <c r="N12" s="15" t="str">
        <f>IF('Size Setup'!A11="","",'Size Setup'!A11)</f>
        <v/>
      </c>
      <c r="O12" s="15" t="str">
        <f t="shared" si="0"/>
        <v/>
      </c>
      <c r="P12" s="15" t="str">
        <f t="shared" si="1"/>
        <v/>
      </c>
      <c r="Q12" s="15" t="str">
        <f t="shared" si="2"/>
        <v/>
      </c>
      <c r="R12" s="15" t="str">
        <f t="shared" si="3"/>
        <v/>
      </c>
      <c r="S12" s="15" t="str">
        <f t="shared" si="4"/>
        <v/>
      </c>
      <c r="T12" s="15" t="str">
        <f t="shared" si="5"/>
        <v/>
      </c>
      <c r="U12" s="15" t="str">
        <f t="shared" si="6"/>
        <v/>
      </c>
      <c r="V12" s="4" t="str">
        <f t="shared" si="7"/>
        <v/>
      </c>
      <c r="W12" s="4" t="str">
        <f t="shared" si="8"/>
        <v/>
      </c>
      <c r="X12" s="4" t="str">
        <f t="shared" si="9"/>
        <v/>
      </c>
    </row>
    <row r="13" spans="1:24" ht="12.75" customHeight="1">
      <c r="A13" s="4" t="s">
        <v>34</v>
      </c>
      <c r="B13" s="4" t="s">
        <v>23</v>
      </c>
      <c r="C13" s="4">
        <v>2</v>
      </c>
      <c r="D13" s="4">
        <v>1</v>
      </c>
      <c r="E13" s="5" t="str">
        <f t="shared" si="10"/>
        <v>2 Short Sleeve + 1 Long Sleeve</v>
      </c>
      <c r="F13" s="4"/>
      <c r="G13" s="6">
        <v>0</v>
      </c>
      <c r="H13" s="4"/>
      <c r="I13" s="6">
        <v>0</v>
      </c>
      <c r="J13" s="24">
        <f t="shared" si="11"/>
        <v>0</v>
      </c>
      <c r="K13" s="7">
        <f t="shared" si="12"/>
        <v>3</v>
      </c>
      <c r="L13" s="17"/>
      <c r="N13" s="15" t="str">
        <f>IF('Size Setup'!A12="","",'Size Setup'!A12)</f>
        <v/>
      </c>
      <c r="O13" s="15" t="str">
        <f t="shared" si="0"/>
        <v/>
      </c>
      <c r="P13" s="15" t="str">
        <f t="shared" si="1"/>
        <v/>
      </c>
      <c r="Q13" s="15" t="str">
        <f t="shared" si="2"/>
        <v/>
      </c>
      <c r="R13" s="15" t="str">
        <f t="shared" si="3"/>
        <v/>
      </c>
      <c r="S13" s="15" t="str">
        <f t="shared" si="4"/>
        <v/>
      </c>
      <c r="T13" s="15" t="str">
        <f t="shared" si="5"/>
        <v/>
      </c>
      <c r="U13" s="15" t="str">
        <f t="shared" si="6"/>
        <v/>
      </c>
      <c r="V13" s="4" t="str">
        <f t="shared" si="7"/>
        <v/>
      </c>
      <c r="W13" s="4" t="str">
        <f t="shared" si="8"/>
        <v/>
      </c>
      <c r="X13" s="4" t="str">
        <f t="shared" si="9"/>
        <v/>
      </c>
    </row>
    <row r="14" spans="1:24" ht="12.75" customHeight="1">
      <c r="A14" s="4" t="s">
        <v>35</v>
      </c>
      <c r="B14" s="4" t="s">
        <v>27</v>
      </c>
      <c r="C14" s="4">
        <v>0</v>
      </c>
      <c r="D14" s="4">
        <v>1</v>
      </c>
      <c r="E14" s="5" t="str">
        <f t="shared" si="10"/>
        <v>1 Long Sleeve</v>
      </c>
      <c r="F14" s="4" t="s">
        <v>27</v>
      </c>
      <c r="G14" s="6">
        <v>1</v>
      </c>
      <c r="H14" s="4"/>
      <c r="I14" s="6">
        <v>0</v>
      </c>
      <c r="J14" s="24">
        <f t="shared" si="11"/>
        <v>1</v>
      </c>
      <c r="K14" s="7">
        <f t="shared" si="12"/>
        <v>0</v>
      </c>
      <c r="L14" s="17"/>
      <c r="N14" s="15" t="str">
        <f>IF('Size Setup'!A13="","",'Size Setup'!A13)</f>
        <v/>
      </c>
      <c r="O14" s="15" t="str">
        <f t="shared" si="0"/>
        <v/>
      </c>
      <c r="P14" s="15" t="str">
        <f t="shared" si="1"/>
        <v/>
      </c>
      <c r="Q14" s="15" t="str">
        <f t="shared" si="2"/>
        <v/>
      </c>
      <c r="R14" s="15" t="str">
        <f t="shared" si="3"/>
        <v/>
      </c>
      <c r="S14" s="15" t="str">
        <f t="shared" si="4"/>
        <v/>
      </c>
      <c r="T14" s="15" t="str">
        <f t="shared" si="5"/>
        <v/>
      </c>
      <c r="U14" s="15" t="str">
        <f t="shared" si="6"/>
        <v/>
      </c>
      <c r="V14" s="4" t="str">
        <f t="shared" si="7"/>
        <v/>
      </c>
      <c r="W14" s="4" t="str">
        <f t="shared" si="8"/>
        <v/>
      </c>
      <c r="X14" s="4" t="str">
        <f t="shared" si="9"/>
        <v/>
      </c>
    </row>
    <row r="15" spans="1:24" ht="12.75" customHeight="1">
      <c r="A15" s="4" t="s">
        <v>36</v>
      </c>
      <c r="B15" s="4" t="s">
        <v>23</v>
      </c>
      <c r="C15" s="4">
        <v>0</v>
      </c>
      <c r="D15" s="4">
        <v>1</v>
      </c>
      <c r="E15" s="5" t="str">
        <f t="shared" si="10"/>
        <v>1 Long Sleeve</v>
      </c>
      <c r="F15" s="4" t="s">
        <v>23</v>
      </c>
      <c r="G15" s="6">
        <v>1</v>
      </c>
      <c r="H15" s="4"/>
      <c r="I15" s="6">
        <v>0</v>
      </c>
      <c r="J15" s="24">
        <f t="shared" si="11"/>
        <v>1</v>
      </c>
      <c r="K15" s="7">
        <f t="shared" si="12"/>
        <v>0</v>
      </c>
      <c r="L15" s="17"/>
      <c r="N15" s="15" t="str">
        <f>IF('Size Setup'!A14="","",'Size Setup'!A14)</f>
        <v/>
      </c>
      <c r="O15" s="15" t="str">
        <f t="shared" si="0"/>
        <v/>
      </c>
      <c r="P15" s="15" t="str">
        <f t="shared" si="1"/>
        <v/>
      </c>
      <c r="Q15" s="15" t="str">
        <f t="shared" si="2"/>
        <v/>
      </c>
      <c r="R15" s="15" t="str">
        <f t="shared" si="3"/>
        <v/>
      </c>
      <c r="S15" s="15" t="str">
        <f t="shared" si="4"/>
        <v/>
      </c>
      <c r="T15" s="15" t="str">
        <f t="shared" si="5"/>
        <v/>
      </c>
      <c r="U15" s="15" t="str">
        <f t="shared" si="6"/>
        <v/>
      </c>
      <c r="V15" s="4" t="str">
        <f t="shared" si="7"/>
        <v/>
      </c>
      <c r="W15" s="4" t="str">
        <f t="shared" si="8"/>
        <v/>
      </c>
      <c r="X15" s="4" t="str">
        <f t="shared" si="9"/>
        <v/>
      </c>
    </row>
    <row r="16" spans="1:24" ht="12.75" customHeight="1">
      <c r="A16" s="4" t="s">
        <v>37</v>
      </c>
      <c r="B16" s="4"/>
      <c r="C16" s="4"/>
      <c r="D16" s="4"/>
      <c r="E16" s="5" t="str">
        <f t="shared" si="10"/>
        <v/>
      </c>
      <c r="F16" s="4"/>
      <c r="G16" s="6"/>
      <c r="H16" s="4" t="s">
        <v>27</v>
      </c>
      <c r="I16" s="6">
        <v>1</v>
      </c>
      <c r="J16" s="24">
        <f t="shared" si="11"/>
        <v>1</v>
      </c>
      <c r="K16" s="7">
        <f t="shared" si="12"/>
        <v>0</v>
      </c>
      <c r="L16" s="17"/>
      <c r="N16" s="15" t="str">
        <f>IF('Size Setup'!A15="","",'Size Setup'!A15)</f>
        <v/>
      </c>
      <c r="O16" s="15" t="str">
        <f t="shared" si="0"/>
        <v/>
      </c>
      <c r="P16" s="15" t="str">
        <f t="shared" si="1"/>
        <v/>
      </c>
      <c r="Q16" s="15" t="str">
        <f t="shared" si="2"/>
        <v/>
      </c>
      <c r="R16" s="15" t="str">
        <f t="shared" si="3"/>
        <v/>
      </c>
      <c r="S16" s="15" t="str">
        <f t="shared" si="4"/>
        <v/>
      </c>
      <c r="T16" s="15" t="str">
        <f t="shared" si="5"/>
        <v/>
      </c>
      <c r="U16" s="15" t="str">
        <f t="shared" si="6"/>
        <v/>
      </c>
      <c r="V16" s="4" t="str">
        <f t="shared" si="7"/>
        <v/>
      </c>
      <c r="W16" s="4" t="str">
        <f t="shared" si="8"/>
        <v/>
      </c>
      <c r="X16" s="4" t="str">
        <f t="shared" si="9"/>
        <v/>
      </c>
    </row>
    <row r="17" spans="1:24" ht="12.75" customHeight="1">
      <c r="A17" s="4"/>
      <c r="B17" s="4"/>
      <c r="C17" s="4"/>
      <c r="D17" s="4"/>
      <c r="E17" s="5" t="str">
        <f t="shared" si="10"/>
        <v/>
      </c>
      <c r="F17" s="4"/>
      <c r="G17" s="6"/>
      <c r="H17" s="4"/>
      <c r="I17" s="6"/>
      <c r="J17" s="24" t="str">
        <f t="shared" si="11"/>
        <v/>
      </c>
      <c r="K17" s="7" t="str">
        <f t="shared" si="12"/>
        <v/>
      </c>
      <c r="L17" s="17"/>
      <c r="N17" s="15" t="str">
        <f>IF('Size Setup'!A16="","",'Size Setup'!A16)</f>
        <v/>
      </c>
      <c r="O17" s="15" t="str">
        <f t="shared" si="0"/>
        <v/>
      </c>
      <c r="P17" s="15" t="str">
        <f t="shared" si="1"/>
        <v/>
      </c>
      <c r="Q17" s="15" t="str">
        <f t="shared" si="2"/>
        <v/>
      </c>
      <c r="R17" s="15" t="str">
        <f t="shared" si="3"/>
        <v/>
      </c>
      <c r="S17" s="15" t="str">
        <f t="shared" si="4"/>
        <v/>
      </c>
      <c r="T17" s="15" t="str">
        <f t="shared" si="5"/>
        <v/>
      </c>
      <c r="U17" s="15" t="str">
        <f t="shared" si="6"/>
        <v/>
      </c>
      <c r="V17" s="4" t="str">
        <f t="shared" si="7"/>
        <v/>
      </c>
      <c r="W17" s="4" t="str">
        <f t="shared" si="8"/>
        <v/>
      </c>
      <c r="X17" s="4" t="str">
        <f t="shared" si="9"/>
        <v/>
      </c>
    </row>
    <row r="18" spans="1:24" ht="12.75" customHeight="1">
      <c r="A18" s="4"/>
      <c r="B18" s="4"/>
      <c r="C18" s="4"/>
      <c r="D18" s="4"/>
      <c r="E18" s="5" t="str">
        <f t="shared" si="10"/>
        <v/>
      </c>
      <c r="F18" s="4"/>
      <c r="G18" s="6"/>
      <c r="H18" s="4"/>
      <c r="I18" s="6"/>
      <c r="J18" s="24" t="str">
        <f t="shared" si="11"/>
        <v/>
      </c>
      <c r="K18" s="7" t="str">
        <f t="shared" si="12"/>
        <v/>
      </c>
      <c r="L18" s="17"/>
      <c r="O18" s="15" t="str">
        <f t="shared" si="0"/>
        <v/>
      </c>
      <c r="P18" s="15" t="str">
        <f t="shared" si="1"/>
        <v/>
      </c>
      <c r="Q18" s="15" t="str">
        <f t="shared" si="2"/>
        <v/>
      </c>
      <c r="R18" s="15" t="str">
        <f t="shared" si="3"/>
        <v/>
      </c>
      <c r="S18" s="15" t="str">
        <f t="shared" si="4"/>
        <v/>
      </c>
      <c r="T18" s="15" t="str">
        <f t="shared" si="5"/>
        <v/>
      </c>
      <c r="U18" s="15" t="str">
        <f t="shared" si="6"/>
        <v/>
      </c>
      <c r="V18" s="4"/>
      <c r="W18" s="4"/>
      <c r="X18" s="4"/>
    </row>
    <row r="19" spans="1:24" ht="12.75" customHeight="1">
      <c r="A19" s="4"/>
      <c r="B19" s="4"/>
      <c r="C19" s="4"/>
      <c r="D19" s="4"/>
      <c r="E19" s="5" t="str">
        <f t="shared" si="10"/>
        <v/>
      </c>
      <c r="F19" s="4"/>
      <c r="G19" s="6"/>
      <c r="H19" s="4"/>
      <c r="I19" s="6"/>
      <c r="J19" s="24" t="str">
        <f t="shared" si="11"/>
        <v/>
      </c>
      <c r="K19" s="7" t="str">
        <f t="shared" si="12"/>
        <v/>
      </c>
      <c r="L19" s="17"/>
      <c r="O19" s="15" t="str">
        <f t="shared" si="0"/>
        <v/>
      </c>
      <c r="P19" s="15" t="str">
        <f t="shared" si="1"/>
        <v/>
      </c>
      <c r="Q19" s="15" t="str">
        <f t="shared" si="2"/>
        <v/>
      </c>
      <c r="R19" s="15" t="str">
        <f t="shared" si="3"/>
        <v/>
      </c>
      <c r="S19" s="15" t="str">
        <f t="shared" si="4"/>
        <v/>
      </c>
      <c r="T19" s="15" t="str">
        <f t="shared" si="5"/>
        <v/>
      </c>
      <c r="U19" s="15" t="str">
        <f t="shared" si="6"/>
        <v/>
      </c>
      <c r="V19" s="4"/>
      <c r="W19" s="4"/>
      <c r="X19" s="4"/>
    </row>
    <row r="20" spans="1:24" ht="12.75" customHeight="1">
      <c r="A20" s="4"/>
      <c r="B20" s="4"/>
      <c r="C20" s="4"/>
      <c r="D20" s="4"/>
      <c r="E20" s="5" t="str">
        <f t="shared" si="10"/>
        <v/>
      </c>
      <c r="F20" s="4"/>
      <c r="G20" s="6"/>
      <c r="H20" s="4"/>
      <c r="I20" s="6"/>
      <c r="J20" s="24" t="str">
        <f t="shared" si="11"/>
        <v/>
      </c>
      <c r="K20" s="7" t="str">
        <f t="shared" si="12"/>
        <v/>
      </c>
      <c r="L20" s="17"/>
      <c r="O20" s="15" t="str">
        <f t="shared" si="0"/>
        <v/>
      </c>
      <c r="P20" s="15" t="str">
        <f t="shared" si="1"/>
        <v/>
      </c>
      <c r="Q20" s="15" t="str">
        <f t="shared" si="2"/>
        <v/>
      </c>
      <c r="R20" s="15" t="str">
        <f t="shared" si="3"/>
        <v/>
      </c>
      <c r="S20" s="15" t="str">
        <f t="shared" si="4"/>
        <v/>
      </c>
      <c r="T20" s="15" t="str">
        <f t="shared" si="5"/>
        <v/>
      </c>
      <c r="U20" s="15" t="str">
        <f t="shared" si="6"/>
        <v/>
      </c>
      <c r="V20" s="4"/>
      <c r="W20" s="4"/>
      <c r="X20" s="4"/>
    </row>
    <row r="21" spans="1:24" ht="12.75" customHeight="1">
      <c r="A21" s="4"/>
      <c r="B21" s="4"/>
      <c r="C21" s="4"/>
      <c r="D21" s="4"/>
      <c r="E21" s="5" t="str">
        <f t="shared" si="10"/>
        <v/>
      </c>
      <c r="F21" s="4"/>
      <c r="G21" s="6"/>
      <c r="H21" s="4"/>
      <c r="I21" s="6"/>
      <c r="J21" s="24" t="str">
        <f t="shared" si="11"/>
        <v/>
      </c>
      <c r="K21" s="7" t="str">
        <f t="shared" si="12"/>
        <v/>
      </c>
      <c r="L21" s="17"/>
      <c r="O21" s="15" t="str">
        <f t="shared" si="0"/>
        <v/>
      </c>
      <c r="P21" s="15" t="str">
        <f t="shared" si="1"/>
        <v/>
      </c>
      <c r="Q21" s="15" t="str">
        <f t="shared" si="2"/>
        <v/>
      </c>
      <c r="R21" s="15" t="str">
        <f t="shared" si="3"/>
        <v/>
      </c>
      <c r="S21" s="15" t="str">
        <f t="shared" si="4"/>
        <v/>
      </c>
      <c r="T21" s="15" t="str">
        <f t="shared" si="5"/>
        <v/>
      </c>
      <c r="U21" s="15" t="str">
        <f t="shared" si="6"/>
        <v/>
      </c>
      <c r="V21" s="4"/>
      <c r="W21" s="4"/>
      <c r="X21" s="4"/>
    </row>
    <row r="22" spans="1:24" ht="12.75" customHeight="1">
      <c r="A22" s="4"/>
      <c r="B22" s="4"/>
      <c r="C22" s="4"/>
      <c r="D22" s="4"/>
      <c r="E22" s="5" t="str">
        <f t="shared" si="10"/>
        <v/>
      </c>
      <c r="F22" s="4"/>
      <c r="G22" s="6"/>
      <c r="H22" s="4"/>
      <c r="I22" s="6"/>
      <c r="J22" s="24" t="str">
        <f t="shared" si="11"/>
        <v/>
      </c>
      <c r="K22" s="7" t="str">
        <f t="shared" si="12"/>
        <v/>
      </c>
      <c r="L22" s="17"/>
      <c r="O22" s="15" t="str">
        <f t="shared" si="0"/>
        <v/>
      </c>
      <c r="P22" s="15" t="str">
        <f t="shared" si="1"/>
        <v/>
      </c>
      <c r="Q22" s="15" t="str">
        <f t="shared" si="2"/>
        <v/>
      </c>
      <c r="R22" s="15" t="str">
        <f t="shared" si="3"/>
        <v/>
      </c>
      <c r="S22" s="15" t="str">
        <f t="shared" si="4"/>
        <v/>
      </c>
      <c r="T22" s="15" t="str">
        <f t="shared" si="5"/>
        <v/>
      </c>
      <c r="U22" s="15" t="str">
        <f t="shared" si="6"/>
        <v/>
      </c>
      <c r="V22" s="4"/>
      <c r="W22" s="4"/>
      <c r="X22" s="4"/>
    </row>
    <row r="23" spans="1:24" ht="12.75" customHeight="1">
      <c r="A23" s="4"/>
      <c r="B23" s="4"/>
      <c r="C23" s="4"/>
      <c r="D23" s="4"/>
      <c r="E23" s="5" t="str">
        <f t="shared" si="10"/>
        <v/>
      </c>
      <c r="F23" s="4"/>
      <c r="G23" s="6"/>
      <c r="H23" s="4"/>
      <c r="I23" s="6"/>
      <c r="J23" s="24" t="str">
        <f t="shared" si="11"/>
        <v/>
      </c>
      <c r="K23" s="7" t="str">
        <f t="shared" si="12"/>
        <v/>
      </c>
      <c r="L23" s="17"/>
      <c r="O23" s="15" t="str">
        <f t="shared" si="0"/>
        <v/>
      </c>
      <c r="P23" s="15" t="str">
        <f t="shared" si="1"/>
        <v/>
      </c>
      <c r="Q23" s="15" t="str">
        <f t="shared" si="2"/>
        <v/>
      </c>
      <c r="R23" s="15" t="str">
        <f t="shared" si="3"/>
        <v/>
      </c>
      <c r="S23" s="15" t="str">
        <f t="shared" si="4"/>
        <v/>
      </c>
      <c r="T23" s="15" t="str">
        <f t="shared" si="5"/>
        <v/>
      </c>
      <c r="U23" s="15" t="str">
        <f t="shared" si="6"/>
        <v/>
      </c>
      <c r="V23" s="4"/>
      <c r="W23" s="4"/>
      <c r="X23" s="4"/>
    </row>
    <row r="24" spans="1:24" ht="12.75" customHeight="1">
      <c r="A24" s="4"/>
      <c r="B24" s="4"/>
      <c r="C24" s="4"/>
      <c r="D24" s="4"/>
      <c r="E24" s="5" t="str">
        <f t="shared" si="10"/>
        <v/>
      </c>
      <c r="F24" s="4"/>
      <c r="G24" s="6"/>
      <c r="H24" s="4"/>
      <c r="I24" s="6"/>
      <c r="J24" s="24" t="str">
        <f t="shared" si="11"/>
        <v/>
      </c>
      <c r="K24" s="7" t="str">
        <f t="shared" si="12"/>
        <v/>
      </c>
      <c r="L24" s="17"/>
      <c r="O24" s="15" t="str">
        <f t="shared" si="0"/>
        <v/>
      </c>
      <c r="P24" s="15" t="str">
        <f t="shared" si="1"/>
        <v/>
      </c>
      <c r="Q24" s="15" t="str">
        <f t="shared" si="2"/>
        <v/>
      </c>
      <c r="R24" s="15" t="str">
        <f t="shared" si="3"/>
        <v/>
      </c>
      <c r="S24" s="15" t="str">
        <f t="shared" si="4"/>
        <v/>
      </c>
      <c r="T24" s="15" t="str">
        <f t="shared" si="5"/>
        <v/>
      </c>
      <c r="U24" s="15" t="str">
        <f t="shared" si="6"/>
        <v/>
      </c>
      <c r="V24" s="4"/>
      <c r="W24" s="4"/>
      <c r="X24" s="4"/>
    </row>
    <row r="25" spans="1:24" ht="12.75" customHeight="1">
      <c r="A25" s="4"/>
      <c r="B25" s="4"/>
      <c r="C25" s="4"/>
      <c r="D25" s="4"/>
      <c r="E25" s="5" t="str">
        <f t="shared" si="10"/>
        <v/>
      </c>
      <c r="F25" s="4"/>
      <c r="G25" s="6"/>
      <c r="H25" s="4"/>
      <c r="I25" s="6"/>
      <c r="J25" s="24" t="str">
        <f t="shared" si="11"/>
        <v/>
      </c>
      <c r="K25" s="7" t="str">
        <f t="shared" si="12"/>
        <v/>
      </c>
      <c r="L25" s="17"/>
      <c r="O25" s="15" t="str">
        <f t="shared" si="0"/>
        <v/>
      </c>
      <c r="P25" s="15" t="str">
        <f t="shared" si="1"/>
        <v/>
      </c>
      <c r="Q25" s="15" t="str">
        <f t="shared" si="2"/>
        <v/>
      </c>
      <c r="R25" s="15" t="str">
        <f t="shared" si="3"/>
        <v/>
      </c>
      <c r="S25" s="15" t="str">
        <f t="shared" si="4"/>
        <v/>
      </c>
      <c r="T25" s="15" t="str">
        <f t="shared" si="5"/>
        <v/>
      </c>
      <c r="U25" s="15" t="str">
        <f t="shared" si="6"/>
        <v/>
      </c>
      <c r="V25" s="4"/>
      <c r="W25" s="4"/>
      <c r="X25" s="4"/>
    </row>
    <row r="26" spans="1:24" ht="12.75" customHeight="1">
      <c r="A26" s="4"/>
      <c r="B26" s="4"/>
      <c r="C26" s="4"/>
      <c r="D26" s="4"/>
      <c r="E26" s="5" t="str">
        <f t="shared" si="10"/>
        <v/>
      </c>
      <c r="F26" s="4"/>
      <c r="G26" s="6"/>
      <c r="H26" s="4"/>
      <c r="I26" s="6"/>
      <c r="J26" s="24" t="str">
        <f t="shared" si="11"/>
        <v/>
      </c>
      <c r="K26" s="7" t="str">
        <f t="shared" si="12"/>
        <v/>
      </c>
      <c r="L26" s="17"/>
      <c r="O26" s="15" t="str">
        <f t="shared" si="0"/>
        <v/>
      </c>
      <c r="P26" s="15" t="str">
        <f t="shared" si="1"/>
        <v/>
      </c>
      <c r="Q26" s="15" t="str">
        <f t="shared" si="2"/>
        <v/>
      </c>
      <c r="R26" s="15" t="str">
        <f t="shared" si="3"/>
        <v/>
      </c>
      <c r="S26" s="15" t="str">
        <f t="shared" si="4"/>
        <v/>
      </c>
      <c r="T26" s="15" t="str">
        <f t="shared" si="5"/>
        <v/>
      </c>
      <c r="U26" s="15" t="str">
        <f t="shared" si="6"/>
        <v/>
      </c>
      <c r="V26" s="4"/>
      <c r="W26" s="4"/>
      <c r="X26" s="4"/>
    </row>
    <row r="27" spans="1:24" ht="12.75" customHeight="1">
      <c r="A27" s="4"/>
      <c r="B27" s="4"/>
      <c r="C27" s="4"/>
      <c r="D27" s="4"/>
      <c r="E27" s="5" t="str">
        <f t="shared" si="10"/>
        <v/>
      </c>
      <c r="F27" s="4"/>
      <c r="G27" s="6"/>
      <c r="H27" s="4"/>
      <c r="I27" s="6"/>
      <c r="J27" s="24" t="str">
        <f t="shared" si="11"/>
        <v/>
      </c>
      <c r="K27" s="7" t="str">
        <f t="shared" si="12"/>
        <v/>
      </c>
      <c r="L27" s="17"/>
      <c r="O27" s="15" t="str">
        <f t="shared" si="0"/>
        <v/>
      </c>
      <c r="P27" s="15" t="str">
        <f t="shared" si="1"/>
        <v/>
      </c>
      <c r="Q27" s="15" t="str">
        <f t="shared" si="2"/>
        <v/>
      </c>
      <c r="R27" s="15" t="str">
        <f t="shared" si="3"/>
        <v/>
      </c>
      <c r="S27" s="15" t="str">
        <f t="shared" si="4"/>
        <v/>
      </c>
      <c r="T27" s="15" t="str">
        <f t="shared" si="5"/>
        <v/>
      </c>
      <c r="U27" s="15" t="str">
        <f t="shared" si="6"/>
        <v/>
      </c>
      <c r="V27" s="4"/>
      <c r="W27" s="4"/>
      <c r="X27" s="4"/>
    </row>
    <row r="28" spans="1:24" ht="12.75" customHeight="1">
      <c r="A28" s="4"/>
      <c r="B28" s="4"/>
      <c r="C28" s="4"/>
      <c r="D28" s="4"/>
      <c r="E28" s="5" t="str">
        <f t="shared" si="10"/>
        <v/>
      </c>
      <c r="F28" s="4"/>
      <c r="G28" s="6"/>
      <c r="H28" s="4"/>
      <c r="I28" s="6"/>
      <c r="J28" s="24" t="str">
        <f t="shared" si="11"/>
        <v/>
      </c>
      <c r="K28" s="7" t="str">
        <f t="shared" si="12"/>
        <v/>
      </c>
      <c r="L28" s="17"/>
      <c r="O28" s="15" t="str">
        <f t="shared" si="0"/>
        <v/>
      </c>
      <c r="P28" s="15" t="str">
        <f t="shared" si="1"/>
        <v/>
      </c>
      <c r="Q28" s="15" t="str">
        <f t="shared" si="2"/>
        <v/>
      </c>
      <c r="R28" s="15" t="str">
        <f t="shared" si="3"/>
        <v/>
      </c>
      <c r="S28" s="15" t="str">
        <f t="shared" si="4"/>
        <v/>
      </c>
      <c r="T28" s="15" t="str">
        <f t="shared" si="5"/>
        <v/>
      </c>
      <c r="U28" s="15" t="str">
        <f t="shared" si="6"/>
        <v/>
      </c>
      <c r="V28" s="4"/>
      <c r="W28" s="4"/>
      <c r="X28" s="4"/>
    </row>
    <row r="29" spans="1:24" ht="12.75" customHeight="1">
      <c r="A29" s="4"/>
      <c r="B29" s="4"/>
      <c r="C29" s="4"/>
      <c r="D29" s="4"/>
      <c r="E29" s="5" t="str">
        <f t="shared" si="10"/>
        <v/>
      </c>
      <c r="F29" s="4"/>
      <c r="G29" s="6"/>
      <c r="H29" s="4"/>
      <c r="I29" s="6"/>
      <c r="J29" s="24" t="str">
        <f t="shared" si="11"/>
        <v/>
      </c>
      <c r="K29" s="7" t="str">
        <f t="shared" si="12"/>
        <v/>
      </c>
      <c r="L29" s="17"/>
      <c r="O29" s="15" t="str">
        <f t="shared" si="0"/>
        <v/>
      </c>
      <c r="P29" s="15" t="str">
        <f t="shared" si="1"/>
        <v/>
      </c>
      <c r="Q29" s="15" t="str">
        <f t="shared" si="2"/>
        <v/>
      </c>
      <c r="R29" s="15" t="str">
        <f t="shared" si="3"/>
        <v/>
      </c>
      <c r="S29" s="15" t="str">
        <f t="shared" si="4"/>
        <v/>
      </c>
      <c r="T29" s="15" t="str">
        <f t="shared" si="5"/>
        <v/>
      </c>
      <c r="U29" s="15" t="str">
        <f t="shared" si="6"/>
        <v/>
      </c>
      <c r="V29" s="4"/>
      <c r="W29" s="4"/>
      <c r="X29" s="4"/>
    </row>
    <row r="30" spans="1:24" ht="12.75" customHeight="1">
      <c r="A30" s="4"/>
      <c r="B30" s="4"/>
      <c r="C30" s="4"/>
      <c r="D30" s="4"/>
      <c r="E30" s="5" t="str">
        <f t="shared" si="10"/>
        <v/>
      </c>
      <c r="F30" s="4"/>
      <c r="G30" s="6"/>
      <c r="H30" s="4"/>
      <c r="I30" s="6"/>
      <c r="J30" s="24" t="str">
        <f t="shared" si="11"/>
        <v/>
      </c>
      <c r="K30" s="7" t="str">
        <f t="shared" si="12"/>
        <v/>
      </c>
      <c r="L30" s="17"/>
      <c r="O30" s="15" t="str">
        <f t="shared" si="0"/>
        <v/>
      </c>
      <c r="P30" s="15" t="str">
        <f t="shared" si="1"/>
        <v/>
      </c>
      <c r="Q30" s="15" t="str">
        <f t="shared" si="2"/>
        <v/>
      </c>
      <c r="R30" s="15" t="str">
        <f t="shared" si="3"/>
        <v/>
      </c>
      <c r="S30" s="15" t="str">
        <f t="shared" si="4"/>
        <v/>
      </c>
      <c r="T30" s="15" t="str">
        <f t="shared" si="5"/>
        <v/>
      </c>
      <c r="U30" s="15" t="str">
        <f t="shared" si="6"/>
        <v/>
      </c>
      <c r="V30" s="4"/>
      <c r="W30" s="4"/>
      <c r="X30" s="4"/>
    </row>
    <row r="31" spans="1:24" ht="12.75" customHeight="1">
      <c r="A31" s="4"/>
      <c r="B31" s="4"/>
      <c r="C31" s="4"/>
      <c r="D31" s="4"/>
      <c r="E31" s="5" t="str">
        <f t="shared" si="10"/>
        <v/>
      </c>
      <c r="F31" s="4"/>
      <c r="G31" s="6"/>
      <c r="H31" s="4"/>
      <c r="I31" s="6"/>
      <c r="J31" s="24" t="str">
        <f t="shared" si="11"/>
        <v/>
      </c>
      <c r="K31" s="7" t="str">
        <f t="shared" si="12"/>
        <v/>
      </c>
      <c r="L31" s="17"/>
      <c r="O31" s="15" t="str">
        <f t="shared" si="0"/>
        <v/>
      </c>
      <c r="P31" s="15" t="str">
        <f t="shared" si="1"/>
        <v/>
      </c>
      <c r="Q31" s="15" t="str">
        <f t="shared" si="2"/>
        <v/>
      </c>
      <c r="R31" s="15" t="str">
        <f t="shared" si="3"/>
        <v/>
      </c>
      <c r="S31" s="15" t="str">
        <f t="shared" si="4"/>
        <v/>
      </c>
      <c r="T31" s="15" t="str">
        <f t="shared" si="5"/>
        <v/>
      </c>
      <c r="U31" s="15" t="str">
        <f t="shared" si="6"/>
        <v/>
      </c>
      <c r="V31" s="4"/>
      <c r="W31" s="4"/>
      <c r="X31" s="4"/>
    </row>
    <row r="32" spans="1:24" ht="12.75" customHeight="1">
      <c r="A32" s="4"/>
      <c r="B32" s="4"/>
      <c r="C32" s="4"/>
      <c r="D32" s="4"/>
      <c r="E32" s="5" t="str">
        <f t="shared" si="10"/>
        <v/>
      </c>
      <c r="F32" s="4"/>
      <c r="G32" s="6"/>
      <c r="H32" s="4"/>
      <c r="I32" s="6"/>
      <c r="J32" s="24" t="str">
        <f t="shared" si="11"/>
        <v/>
      </c>
      <c r="K32" s="7" t="str">
        <f t="shared" si="12"/>
        <v/>
      </c>
      <c r="L32" s="17"/>
      <c r="O32" s="15" t="str">
        <f t="shared" si="0"/>
        <v/>
      </c>
      <c r="P32" s="15" t="str">
        <f t="shared" si="1"/>
        <v/>
      </c>
      <c r="Q32" s="15" t="str">
        <f t="shared" si="2"/>
        <v/>
      </c>
      <c r="R32" s="15" t="str">
        <f t="shared" si="3"/>
        <v/>
      </c>
      <c r="S32" s="15" t="str">
        <f t="shared" si="4"/>
        <v/>
      </c>
      <c r="T32" s="15" t="str">
        <f t="shared" si="5"/>
        <v/>
      </c>
      <c r="U32" s="15" t="str">
        <f t="shared" si="6"/>
        <v/>
      </c>
      <c r="V32" s="4"/>
      <c r="W32" s="4"/>
      <c r="X32" s="4"/>
    </row>
    <row r="33" spans="1:24" ht="12.75" customHeight="1">
      <c r="A33" s="4"/>
      <c r="B33" s="4"/>
      <c r="C33" s="4"/>
      <c r="D33" s="4"/>
      <c r="E33" s="5" t="str">
        <f t="shared" si="10"/>
        <v/>
      </c>
      <c r="F33" s="4"/>
      <c r="G33" s="6"/>
      <c r="H33" s="4"/>
      <c r="I33" s="6"/>
      <c r="J33" s="24" t="str">
        <f t="shared" si="11"/>
        <v/>
      </c>
      <c r="K33" s="7" t="str">
        <f t="shared" si="12"/>
        <v/>
      </c>
      <c r="L33" s="17"/>
      <c r="O33" s="15" t="str">
        <f t="shared" si="0"/>
        <v/>
      </c>
      <c r="P33" s="15" t="str">
        <f t="shared" si="1"/>
        <v/>
      </c>
      <c r="Q33" s="15" t="str">
        <f t="shared" si="2"/>
        <v/>
      </c>
      <c r="R33" s="15" t="str">
        <f t="shared" si="3"/>
        <v/>
      </c>
      <c r="S33" s="15" t="str">
        <f t="shared" si="4"/>
        <v/>
      </c>
      <c r="T33" s="15" t="str">
        <f t="shared" si="5"/>
        <v/>
      </c>
      <c r="U33" s="15" t="str">
        <f t="shared" si="6"/>
        <v/>
      </c>
      <c r="V33" s="4"/>
      <c r="W33" s="4"/>
      <c r="X33" s="4"/>
    </row>
    <row r="34" spans="1:24" ht="12.75" customHeight="1">
      <c r="A34" s="4"/>
      <c r="B34" s="4"/>
      <c r="C34" s="4"/>
      <c r="D34" s="4"/>
      <c r="E34" s="5" t="str">
        <f t="shared" si="10"/>
        <v/>
      </c>
      <c r="F34" s="4"/>
      <c r="G34" s="6"/>
      <c r="H34" s="4"/>
      <c r="I34" s="6"/>
      <c r="J34" s="24" t="str">
        <f t="shared" si="11"/>
        <v/>
      </c>
      <c r="K34" s="7" t="str">
        <f t="shared" si="12"/>
        <v/>
      </c>
      <c r="L34" s="17"/>
      <c r="V34" s="4"/>
      <c r="W34" s="4"/>
      <c r="X34" s="4"/>
    </row>
    <row r="35" spans="1:24" ht="12.75" customHeight="1">
      <c r="A35" s="4"/>
      <c r="B35" s="4"/>
      <c r="C35" s="4"/>
      <c r="D35" s="4"/>
      <c r="E35" s="5" t="str">
        <f t="shared" si="10"/>
        <v/>
      </c>
      <c r="F35" s="4"/>
      <c r="G35" s="6"/>
      <c r="H35" s="4"/>
      <c r="I35" s="6"/>
      <c r="J35" s="24" t="str">
        <f t="shared" si="11"/>
        <v/>
      </c>
      <c r="K35" s="7" t="str">
        <f t="shared" si="12"/>
        <v/>
      </c>
      <c r="L35" s="17"/>
      <c r="N35" s="8" t="s">
        <v>38</v>
      </c>
      <c r="O35" s="8">
        <f>COUNTIF($B$5:$B$54,"&lt;&gt;")+SUM($G$5:$G$54)+SUM($I$5:$I$54)</f>
        <v>16</v>
      </c>
      <c r="P35" s="8">
        <f>SUM($C$5:$C$54)+SUM($G$5:$G$54)</f>
        <v>25</v>
      </c>
      <c r="Q35" s="8">
        <f>SUM($D$5:$D$54)+SUM($I$5:$I$54)</f>
        <v>9</v>
      </c>
      <c r="R35" s="8">
        <f>SUM($G$5:$G$54)</f>
        <v>3</v>
      </c>
      <c r="S35" s="8">
        <f>SUM($I$5:$I$54)</f>
        <v>2</v>
      </c>
      <c r="T35" s="8">
        <f>SUM($G$5:$G$54)+SUM($I$5:$I$54)</f>
        <v>5</v>
      </c>
      <c r="U35" s="8">
        <f>SUM($C$5:$C$54)+SUM($D$5:$D$54)-SUM($G$5:$G$54)-SUM($I$5:$I$54)</f>
        <v>24</v>
      </c>
      <c r="V35" s="8">
        <f>SUM(V4:V17)</f>
        <v>19</v>
      </c>
      <c r="W35" s="8">
        <f>SUM(W4:W17)</f>
        <v>5</v>
      </c>
      <c r="X35" s="8">
        <f>SUM(X4:X17)</f>
        <v>24</v>
      </c>
    </row>
    <row r="36" spans="1:24" ht="12.75" customHeight="1">
      <c r="A36" s="4"/>
      <c r="B36" s="4"/>
      <c r="C36" s="4"/>
      <c r="D36" s="4"/>
      <c r="E36" s="5" t="str">
        <f t="shared" si="10"/>
        <v/>
      </c>
      <c r="F36" s="4"/>
      <c r="G36" s="6"/>
      <c r="H36" s="4"/>
      <c r="I36" s="6"/>
      <c r="J36" s="24" t="str">
        <f t="shared" si="11"/>
        <v/>
      </c>
      <c r="K36" s="7" t="str">
        <f t="shared" si="12"/>
        <v/>
      </c>
      <c r="L36" s="17"/>
    </row>
    <row r="37" spans="1:24" ht="46.5" customHeight="1">
      <c r="A37" s="4"/>
      <c r="B37" s="4"/>
      <c r="C37" s="4"/>
      <c r="D37" s="4"/>
      <c r="E37" s="5" t="str">
        <f t="shared" ref="E37:E54" si="13">IF(B37="","",IF(AND(C37&gt;0,D37&gt;0),C37&amp;" Short Sleeve + "&amp;D37&amp;" Long Sleeve",IF(C37&gt;0,C37&amp;" Short Sleeve",IF(D37&gt;0,D37&amp;" Long Sleeve",""))))</f>
        <v/>
      </c>
      <c r="F37" s="4"/>
      <c r="G37" s="6"/>
      <c r="H37" s="4"/>
      <c r="I37" s="6"/>
      <c r="J37" s="24" t="str">
        <f t="shared" ref="J37:J54" si="14">IF(A37="","",N(G37)+N(I37))</f>
        <v/>
      </c>
      <c r="K37" s="7" t="str">
        <f t="shared" ref="K37:K54" si="15">IF(A37="","",MAX(0,N(C37)+N(D37)-N(G37)-N(I37)))</f>
        <v/>
      </c>
      <c r="L37" s="17"/>
      <c r="N37" s="2" t="s">
        <v>39</v>
      </c>
      <c r="O37" s="2"/>
      <c r="P37" s="2" t="s">
        <v>40</v>
      </c>
      <c r="Q37" s="2"/>
      <c r="R37" s="2" t="s">
        <v>41</v>
      </c>
      <c r="S37" s="2"/>
      <c r="T37" s="2" t="s">
        <v>10</v>
      </c>
      <c r="U37" s="2"/>
      <c r="V37" s="14" t="s">
        <v>42</v>
      </c>
      <c r="W37" s="14"/>
      <c r="X37" s="14"/>
    </row>
    <row r="38" spans="1:24" ht="18" customHeight="1">
      <c r="A38" s="4"/>
      <c r="B38" s="4"/>
      <c r="C38" s="4"/>
      <c r="D38" s="4"/>
      <c r="E38" s="5" t="str">
        <f t="shared" si="13"/>
        <v/>
      </c>
      <c r="F38" s="4"/>
      <c r="G38" s="6"/>
      <c r="H38" s="4"/>
      <c r="I38" s="6"/>
      <c r="J38" s="24" t="str">
        <f t="shared" si="14"/>
        <v/>
      </c>
      <c r="K38" s="7" t="str">
        <f t="shared" si="15"/>
        <v/>
      </c>
      <c r="L38" s="17"/>
      <c r="N38" s="25">
        <f>SUM($C$5:$C$54)+SUM($D$5:$D$54)</f>
        <v>29</v>
      </c>
      <c r="O38" s="25"/>
      <c r="P38" s="25">
        <f>SUM($G$5:$G$54)+SUM($I$5:$I$54)</f>
        <v>5</v>
      </c>
      <c r="Q38" s="25"/>
      <c r="R38" s="25">
        <f>SUM($C$5:$C$54)+SUM($D$5:$D$54)+SUM($G$5:$G$54)+SUM($I$5:$I$54)</f>
        <v>34</v>
      </c>
      <c r="S38" s="25"/>
      <c r="T38" s="25">
        <f>SUM($C$5:$C$54)+SUM($D$5:$D$54)-SUM($G$5:$G$54)-SUM($I$5:$I$54)</f>
        <v>24</v>
      </c>
      <c r="U38" s="25"/>
      <c r="V38" s="13">
        <f>X35</f>
        <v>24</v>
      </c>
      <c r="W38" s="13"/>
      <c r="X38" s="13"/>
    </row>
    <row r="39" spans="1:24" ht="12.75" customHeight="1">
      <c r="A39" s="4"/>
      <c r="B39" s="4"/>
      <c r="C39" s="4"/>
      <c r="D39" s="4"/>
      <c r="E39" s="5" t="str">
        <f t="shared" si="13"/>
        <v/>
      </c>
      <c r="F39" s="4"/>
      <c r="G39" s="6"/>
      <c r="H39" s="4"/>
      <c r="I39" s="6"/>
      <c r="J39" s="24" t="str">
        <f t="shared" si="14"/>
        <v/>
      </c>
      <c r="K39" s="7" t="str">
        <f t="shared" si="15"/>
        <v/>
      </c>
      <c r="L39" s="17"/>
      <c r="V39" s="13"/>
      <c r="W39" s="13"/>
      <c r="X39" s="13"/>
    </row>
    <row r="40" spans="1:24" ht="12.75" customHeight="1">
      <c r="A40" s="4"/>
      <c r="B40" s="4"/>
      <c r="C40" s="4"/>
      <c r="D40" s="4"/>
      <c r="E40" s="5" t="str">
        <f t="shared" si="13"/>
        <v/>
      </c>
      <c r="F40" s="4"/>
      <c r="G40" s="6"/>
      <c r="H40" s="4"/>
      <c r="I40" s="6"/>
      <c r="J40" s="24" t="str">
        <f t="shared" si="14"/>
        <v/>
      </c>
      <c r="K40" s="7" t="str">
        <f t="shared" si="15"/>
        <v/>
      </c>
      <c r="L40" s="17"/>
    </row>
    <row r="41" spans="1:24" ht="12.75" customHeight="1">
      <c r="A41" s="4"/>
      <c r="B41" s="4"/>
      <c r="C41" s="4"/>
      <c r="D41" s="4"/>
      <c r="E41" s="5" t="str">
        <f t="shared" si="13"/>
        <v/>
      </c>
      <c r="F41" s="4"/>
      <c r="G41" s="6"/>
      <c r="H41" s="4"/>
      <c r="I41" s="6"/>
      <c r="J41" s="24" t="str">
        <f t="shared" si="14"/>
        <v/>
      </c>
      <c r="K41" s="7" t="str">
        <f t="shared" si="15"/>
        <v/>
      </c>
      <c r="L41" s="17"/>
    </row>
    <row r="42" spans="1:24" ht="12.75" customHeight="1">
      <c r="A42" s="4"/>
      <c r="B42" s="4"/>
      <c r="C42" s="4"/>
      <c r="D42" s="4"/>
      <c r="E42" s="5" t="str">
        <f t="shared" si="13"/>
        <v/>
      </c>
      <c r="F42" s="4"/>
      <c r="G42" s="6"/>
      <c r="H42" s="4"/>
      <c r="I42" s="6"/>
      <c r="J42" s="24" t="str">
        <f t="shared" si="14"/>
        <v/>
      </c>
      <c r="K42" s="7" t="str">
        <f t="shared" si="15"/>
        <v/>
      </c>
      <c r="L42" s="17"/>
    </row>
    <row r="43" spans="1:24" ht="12.75" customHeight="1">
      <c r="A43" s="4"/>
      <c r="B43" s="4"/>
      <c r="C43" s="4"/>
      <c r="D43" s="4"/>
      <c r="E43" s="5" t="str">
        <f t="shared" si="13"/>
        <v/>
      </c>
      <c r="F43" s="4"/>
      <c r="G43" s="6"/>
      <c r="H43" s="4"/>
      <c r="I43" s="6"/>
      <c r="J43" s="24" t="str">
        <f t="shared" si="14"/>
        <v/>
      </c>
      <c r="K43" s="7" t="str">
        <f t="shared" si="15"/>
        <v/>
      </c>
      <c r="L43" s="17"/>
    </row>
    <row r="44" spans="1:24" ht="12.75" customHeight="1">
      <c r="A44" s="4"/>
      <c r="B44" s="4"/>
      <c r="C44" s="4"/>
      <c r="D44" s="4"/>
      <c r="E44" s="5" t="str">
        <f t="shared" si="13"/>
        <v/>
      </c>
      <c r="F44" s="4"/>
      <c r="G44" s="6"/>
      <c r="H44" s="4"/>
      <c r="I44" s="6"/>
      <c r="J44" s="24" t="str">
        <f t="shared" si="14"/>
        <v/>
      </c>
      <c r="K44" s="7" t="str">
        <f t="shared" si="15"/>
        <v/>
      </c>
      <c r="L44" s="17"/>
    </row>
    <row r="45" spans="1:24" ht="12.75" customHeight="1">
      <c r="A45" s="4"/>
      <c r="B45" s="4"/>
      <c r="C45" s="4"/>
      <c r="D45" s="4"/>
      <c r="E45" s="5" t="str">
        <f t="shared" si="13"/>
        <v/>
      </c>
      <c r="F45" s="4"/>
      <c r="G45" s="6"/>
      <c r="H45" s="4"/>
      <c r="I45" s="6"/>
      <c r="J45" s="24" t="str">
        <f t="shared" si="14"/>
        <v/>
      </c>
      <c r="K45" s="7" t="str">
        <f t="shared" si="15"/>
        <v/>
      </c>
      <c r="L45" s="17"/>
    </row>
    <row r="46" spans="1:24" ht="12.75" customHeight="1">
      <c r="A46" s="4"/>
      <c r="B46" s="4"/>
      <c r="C46" s="4"/>
      <c r="D46" s="4"/>
      <c r="E46" s="5" t="str">
        <f t="shared" si="13"/>
        <v/>
      </c>
      <c r="F46" s="4"/>
      <c r="G46" s="6"/>
      <c r="H46" s="4"/>
      <c r="I46" s="6"/>
      <c r="J46" s="24" t="str">
        <f t="shared" si="14"/>
        <v/>
      </c>
      <c r="K46" s="7" t="str">
        <f t="shared" si="15"/>
        <v/>
      </c>
      <c r="L46" s="17"/>
    </row>
    <row r="47" spans="1:24" ht="12.75" customHeight="1">
      <c r="A47" s="4"/>
      <c r="B47" s="4"/>
      <c r="C47" s="4"/>
      <c r="D47" s="4"/>
      <c r="E47" s="5" t="str">
        <f t="shared" si="13"/>
        <v/>
      </c>
      <c r="F47" s="4"/>
      <c r="G47" s="6"/>
      <c r="H47" s="4"/>
      <c r="I47" s="6"/>
      <c r="J47" s="24" t="str">
        <f t="shared" si="14"/>
        <v/>
      </c>
      <c r="K47" s="7" t="str">
        <f t="shared" si="15"/>
        <v/>
      </c>
      <c r="L47" s="17"/>
    </row>
    <row r="48" spans="1:24" ht="12.75" customHeight="1">
      <c r="A48" s="4"/>
      <c r="B48" s="4"/>
      <c r="C48" s="4"/>
      <c r="D48" s="4"/>
      <c r="E48" s="5" t="str">
        <f t="shared" si="13"/>
        <v/>
      </c>
      <c r="F48" s="4"/>
      <c r="G48" s="6"/>
      <c r="H48" s="4"/>
      <c r="I48" s="6"/>
      <c r="J48" s="24" t="str">
        <f t="shared" si="14"/>
        <v/>
      </c>
      <c r="K48" s="7" t="str">
        <f t="shared" si="15"/>
        <v/>
      </c>
      <c r="L48" s="17"/>
    </row>
    <row r="49" spans="1:12" ht="12.75" customHeight="1">
      <c r="A49" s="4"/>
      <c r="B49" s="4"/>
      <c r="C49" s="4"/>
      <c r="D49" s="4"/>
      <c r="E49" s="5" t="str">
        <f t="shared" si="13"/>
        <v/>
      </c>
      <c r="F49" s="4"/>
      <c r="G49" s="6"/>
      <c r="H49" s="4"/>
      <c r="I49" s="6"/>
      <c r="J49" s="24" t="str">
        <f t="shared" si="14"/>
        <v/>
      </c>
      <c r="K49" s="7" t="str">
        <f t="shared" si="15"/>
        <v/>
      </c>
      <c r="L49" s="17"/>
    </row>
    <row r="50" spans="1:12" ht="12.75" customHeight="1">
      <c r="A50" s="4"/>
      <c r="B50" s="4"/>
      <c r="C50" s="4"/>
      <c r="D50" s="4"/>
      <c r="E50" s="5" t="str">
        <f t="shared" si="13"/>
        <v/>
      </c>
      <c r="F50" s="4"/>
      <c r="G50" s="6"/>
      <c r="H50" s="4"/>
      <c r="I50" s="6"/>
      <c r="J50" s="24" t="str">
        <f t="shared" si="14"/>
        <v/>
      </c>
      <c r="K50" s="7" t="str">
        <f t="shared" si="15"/>
        <v/>
      </c>
      <c r="L50" s="17"/>
    </row>
    <row r="51" spans="1:12" ht="12.75" customHeight="1">
      <c r="A51" s="4"/>
      <c r="B51" s="4"/>
      <c r="C51" s="4"/>
      <c r="D51" s="4"/>
      <c r="E51" s="5" t="str">
        <f t="shared" si="13"/>
        <v/>
      </c>
      <c r="F51" s="4"/>
      <c r="G51" s="6"/>
      <c r="H51" s="4"/>
      <c r="I51" s="6"/>
      <c r="J51" s="24" t="str">
        <f t="shared" si="14"/>
        <v/>
      </c>
      <c r="K51" s="7" t="str">
        <f t="shared" si="15"/>
        <v/>
      </c>
      <c r="L51" s="17"/>
    </row>
    <row r="52" spans="1:12" ht="12.75" customHeight="1">
      <c r="A52" s="4"/>
      <c r="B52" s="4"/>
      <c r="C52" s="4"/>
      <c r="D52" s="4"/>
      <c r="E52" s="5" t="str">
        <f t="shared" si="13"/>
        <v/>
      </c>
      <c r="F52" s="4"/>
      <c r="G52" s="6"/>
      <c r="H52" s="4"/>
      <c r="I52" s="6"/>
      <c r="J52" s="24" t="str">
        <f t="shared" si="14"/>
        <v/>
      </c>
      <c r="K52" s="7" t="str">
        <f t="shared" si="15"/>
        <v/>
      </c>
      <c r="L52" s="17"/>
    </row>
    <row r="53" spans="1:12" ht="12.75" customHeight="1">
      <c r="A53" s="4"/>
      <c r="B53" s="4"/>
      <c r="C53" s="4"/>
      <c r="D53" s="4"/>
      <c r="E53" s="5" t="str">
        <f t="shared" si="13"/>
        <v/>
      </c>
      <c r="F53" s="4"/>
      <c r="G53" s="6"/>
      <c r="H53" s="4"/>
      <c r="I53" s="6"/>
      <c r="J53" s="24" t="str">
        <f t="shared" si="14"/>
        <v/>
      </c>
      <c r="K53" s="7" t="str">
        <f t="shared" si="15"/>
        <v/>
      </c>
      <c r="L53" s="17"/>
    </row>
    <row r="54" spans="1:12" ht="12.75" customHeight="1">
      <c r="A54" s="4"/>
      <c r="B54" s="4"/>
      <c r="C54" s="4"/>
      <c r="D54" s="4"/>
      <c r="E54" s="5" t="str">
        <f t="shared" si="13"/>
        <v/>
      </c>
      <c r="F54" s="4"/>
      <c r="G54" s="6"/>
      <c r="H54" s="4"/>
      <c r="I54" s="6"/>
      <c r="J54" s="24" t="str">
        <f t="shared" si="14"/>
        <v/>
      </c>
      <c r="K54" s="7" t="str">
        <f t="shared" si="15"/>
        <v/>
      </c>
      <c r="L54" s="17"/>
    </row>
  </sheetData>
  <mergeCells count="5">
    <mergeCell ref="A1:K1"/>
    <mergeCell ref="A2:K2"/>
    <mergeCell ref="N1:U1"/>
    <mergeCell ref="V37:X37"/>
    <mergeCell ref="V38:X39"/>
  </mergeCells>
  <conditionalFormatting sqref="J5:J54">
    <cfRule type="cellIs" dxfId="0" priority="1" operator="greaterThan">
      <formula>0</formula>
    </cfRule>
  </conditionalFormatting>
  <dataValidations count="1">
    <dataValidation type="whole" sqref="C5:D54 I5:I54 G5:G54" xr:uid="{00000000-0002-0000-0000-000000000000}">
      <formula1>0</formula1>
      <formula2>99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1000000}">
          <x14:formula1>
            <xm:f>'Size Setup'!$A$3:$A$16</xm:f>
          </x14:formula1>
          <xm:sqref>B5:B54 H5:H54 F5:F54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workbookViewId="0">
      <selection activeCell="D19" sqref="D19"/>
    </sheetView>
  </sheetViews>
  <sheetFormatPr defaultRowHeight="13.5"/>
  <cols>
    <col min="1" max="1" width="18" style="1" customWidth="1"/>
    <col min="2" max="2" width="10" style="1" customWidth="1"/>
    <col min="3" max="3" width="24" style="1" customWidth="1"/>
    <col min="4" max="4" width="9" style="1"/>
    <col min="5" max="5" width="65" style="1" customWidth="1"/>
    <col min="6" max="16384" width="9" style="1"/>
  </cols>
  <sheetData>
    <row r="1" spans="1:5" ht="20.65">
      <c r="A1" s="26" t="s">
        <v>43</v>
      </c>
      <c r="B1" s="26"/>
      <c r="C1" s="26"/>
    </row>
    <row r="2" spans="1:5" ht="13.9">
      <c r="A2" s="9" t="s">
        <v>3</v>
      </c>
      <c r="B2" s="9" t="s">
        <v>44</v>
      </c>
      <c r="C2" s="9" t="s">
        <v>45</v>
      </c>
      <c r="E2" s="11" t="s">
        <v>46</v>
      </c>
    </row>
    <row r="3" spans="1:5">
      <c r="A3" s="27" t="s">
        <v>23</v>
      </c>
      <c r="B3" s="1" t="s">
        <v>47</v>
      </c>
      <c r="E3" s="10" t="s">
        <v>48</v>
      </c>
    </row>
    <row r="4" spans="1:5">
      <c r="A4" s="27" t="s">
        <v>27</v>
      </c>
      <c r="B4" s="1" t="s">
        <v>47</v>
      </c>
      <c r="E4" s="10" t="s">
        <v>49</v>
      </c>
    </row>
    <row r="5" spans="1:5">
      <c r="A5" s="27" t="s">
        <v>25</v>
      </c>
      <c r="B5" s="1" t="s">
        <v>47</v>
      </c>
      <c r="E5" s="10" t="s">
        <v>50</v>
      </c>
    </row>
    <row r="6" spans="1:5">
      <c r="A6" s="27" t="s">
        <v>33</v>
      </c>
      <c r="B6" s="1" t="s">
        <v>47</v>
      </c>
      <c r="E6" s="10" t="s">
        <v>51</v>
      </c>
    </row>
    <row r="7" spans="1:5">
      <c r="A7" s="27"/>
      <c r="B7" s="1" t="s">
        <v>47</v>
      </c>
      <c r="E7" s="10" t="s">
        <v>52</v>
      </c>
    </row>
    <row r="8" spans="1:5">
      <c r="A8" s="27"/>
      <c r="B8" s="1" t="s">
        <v>47</v>
      </c>
    </row>
    <row r="9" spans="1:5">
      <c r="A9" s="27"/>
      <c r="B9" s="1" t="s">
        <v>47</v>
      </c>
    </row>
    <row r="10" spans="1:5">
      <c r="A10" s="27"/>
      <c r="B10" s="1" t="s">
        <v>47</v>
      </c>
    </row>
    <row r="11" spans="1:5">
      <c r="A11" s="27"/>
      <c r="B11" s="1" t="s">
        <v>47</v>
      </c>
    </row>
    <row r="12" spans="1:5">
      <c r="A12" s="27"/>
      <c r="B12" s="1" t="s">
        <v>47</v>
      </c>
    </row>
    <row r="13" spans="1:5">
      <c r="A13" s="27"/>
      <c r="B13" s="1" t="s">
        <v>47</v>
      </c>
    </row>
    <row r="14" spans="1:5">
      <c r="A14" s="27"/>
      <c r="B14" s="1" t="s">
        <v>47</v>
      </c>
    </row>
    <row r="15" spans="1:5">
      <c r="A15" s="27"/>
      <c r="B15" s="1" t="s">
        <v>47</v>
      </c>
    </row>
    <row r="16" spans="1:5">
      <c r="A16" s="27"/>
      <c r="B16" s="1" t="s">
        <v>47</v>
      </c>
    </row>
    <row r="17" spans="1:1">
      <c r="A17" s="27"/>
    </row>
    <row r="18" spans="1:1">
      <c r="A18" s="27"/>
    </row>
    <row r="19" spans="1:1">
      <c r="A19" s="27"/>
    </row>
    <row r="20" spans="1:1">
      <c r="A20" s="27"/>
    </row>
    <row r="21" spans="1:1">
      <c r="A21" s="27"/>
    </row>
    <row r="22" spans="1:1">
      <c r="A22" s="27"/>
    </row>
    <row r="23" spans="1:1">
      <c r="A23" s="27"/>
    </row>
    <row r="24" spans="1:1">
      <c r="A24" s="27"/>
    </row>
    <row r="25" spans="1:1">
      <c r="A25" s="27"/>
    </row>
    <row r="26" spans="1:1">
      <c r="A26" s="27"/>
    </row>
    <row r="27" spans="1:1">
      <c r="A27" s="27"/>
    </row>
    <row r="28" spans="1:1">
      <c r="A28" s="27"/>
    </row>
    <row r="29" spans="1:1">
      <c r="A29" s="27"/>
    </row>
    <row r="30" spans="1:1">
      <c r="A30" s="27"/>
    </row>
    <row r="31" spans="1:1">
      <c r="A31" s="27"/>
    </row>
    <row r="32" spans="1:1">
      <c r="A32" s="27"/>
    </row>
    <row r="33" spans="1:1">
      <c r="A33" s="27"/>
    </row>
    <row r="34" spans="1:1">
      <c r="A34" s="27"/>
    </row>
    <row r="35" spans="1:1">
      <c r="A35" s="27"/>
    </row>
    <row r="36" spans="1:1">
      <c r="A36" s="27"/>
    </row>
    <row r="37" spans="1:1">
      <c r="A37" s="27"/>
    </row>
    <row r="38" spans="1:1">
      <c r="A38" s="27"/>
    </row>
    <row r="39" spans="1:1">
      <c r="A39" s="27"/>
    </row>
    <row r="40" spans="1:1">
      <c r="A40" s="27"/>
    </row>
    <row r="41" spans="1:1">
      <c r="A41" s="27"/>
    </row>
    <row r="42" spans="1:1">
      <c r="A42" s="27"/>
    </row>
  </sheetData>
  <mergeCells count="1">
    <mergeCell ref="A1:C1"/>
  </mergeCells>
  <dataValidations count="1">
    <dataValidation type="list" sqref="B3:B42" xr:uid="{00000000-0002-0000-0100-000000000000}">
      <formula1>"Yes,No"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58AA2945FB364AB4BA4D7B5C57179F" ma:contentTypeVersion="11" ma:contentTypeDescription="Create a new document." ma:contentTypeScope="" ma:versionID="7b5aa60f3cd349d0d48cef749236454d">
  <xsd:schema xmlns:xsd="http://www.w3.org/2001/XMLSchema" xmlns:xs="http://www.w3.org/2001/XMLSchema" xmlns:p="http://schemas.microsoft.com/office/2006/metadata/properties" xmlns:ns2="44088c3c-22ca-4a46-a278-dd6b4cbabffe" xmlns:ns3="d7a59a3d-903a-4e66-9112-56f112d5ab15" targetNamespace="http://schemas.microsoft.com/office/2006/metadata/properties" ma:root="true" ma:fieldsID="e1b56f4eb8f3e69afdacd5a0adf258bb" ns2:_="" ns3:_="">
    <xsd:import namespace="44088c3c-22ca-4a46-a278-dd6b4cbabffe"/>
    <xsd:import namespace="d7a59a3d-903a-4e66-9112-56f112d5ab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88c3c-22ca-4a46-a278-dd6b4cbab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2f0f075-d9ba-42f1-8fe6-73475dbdc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59a3d-903a-4e66-9112-56f112d5ab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0bafc2-9e8f-441b-9655-b32510361569}" ma:internalName="TaxCatchAll" ma:showField="CatchAllData" ma:web="d7a59a3d-903a-4e66-9112-56f112d5ab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088c3c-22ca-4a46-a278-dd6b4cbabffe">
      <Terms xmlns="http://schemas.microsoft.com/office/infopath/2007/PartnerControls"/>
    </lcf76f155ced4ddcb4097134ff3c332f>
    <TaxCatchAll xmlns="d7a59a3d-903a-4e66-9112-56f112d5ab1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219BA1-6127-4662-A85C-40B2A3093F4F}"/>
</file>

<file path=customXml/itemProps2.xml><?xml version="1.0" encoding="utf-8"?>
<ds:datastoreItem xmlns:ds="http://schemas.openxmlformats.org/officeDocument/2006/customXml" ds:itemID="{9C243C7A-7E3C-4BCB-871C-6723CEC65ECE}"/>
</file>

<file path=customXml/itemProps3.xml><?xml version="1.0" encoding="utf-8"?>
<ds:datastoreItem xmlns:ds="http://schemas.openxmlformats.org/officeDocument/2006/customXml" ds:itemID="{7BD20981-0182-4B08-A4EF-F00C3A127F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Amaro, Rafael</cp:lastModifiedBy>
  <cp:revision/>
  <dcterms:created xsi:type="dcterms:W3CDTF">2026-08-18T14:40:58Z</dcterms:created>
  <dcterms:modified xsi:type="dcterms:W3CDTF">2026-08-18T14:40:58Z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0x0101006058AA2945FB364AB4BA4D7B5C57179F</vt:lpwstr>
  </property>
  <property fmtid="{D5CDD505-2E9C-101B-9397-08002B2CF9AE}" pid="3" name="MSIP_Label_92b83b4b-2d54-414f-8077-da565f2c0ab9_Enabled">
    <vt:lpwstr>true</vt:lpwstr>
  </property>
  <property fmtid="{D5CDD505-2E9C-101B-9397-08002B2CF9AE}" pid="4" name="MSIP_Label_92b83b4b-2d54-414f-8077-da565f2c0ab9_SetDate">
    <vt:lpwstr>2026-08-18T11:33:37Z</vt:lpwstr>
  </property>
  <property fmtid="{D5CDD505-2E9C-101B-9397-08002B2CF9AE}" pid="5" name="MSIP_Label_92b83b4b-2d54-414f-8077-da565f2c0ab9_Method">
    <vt:lpwstr>Standard</vt:lpwstr>
  </property>
  <property fmtid="{D5CDD505-2E9C-101B-9397-08002B2CF9AE}" pid="6" name="MSIP_Label_92b83b4b-2d54-414f-8077-da565f2c0ab9_Name">
    <vt:lpwstr>92b83b4b-2d54-414f-8077-da565f2c0ab9</vt:lpwstr>
  </property>
  <property fmtid="{D5CDD505-2E9C-101B-9397-08002B2CF9AE}" pid="7" name="MSIP_Label_92b83b4b-2d54-414f-8077-da565f2c0ab9_SiteId">
    <vt:lpwstr>d8bde65a-3ded-4346-9518-670204e6e184</vt:lpwstr>
  </property>
  <property fmtid="{D5CDD505-2E9C-101B-9397-08002B2CF9AE}" pid="8" name="MSIP_Label_92b83b4b-2d54-414f-8077-da565f2c0ab9_ActionId">
    <vt:lpwstr>1a748a77-2f2a-4acb-a6a4-768cb915e93e</vt:lpwstr>
  </property>
  <property fmtid="{D5CDD505-2E9C-101B-9397-08002B2CF9AE}" pid="9" name="MSIP_Label_92b83b4b-2d54-414f-8077-da565f2c0ab9_ContentBits">
    <vt:lpwstr>0</vt:lpwstr>
  </property>
  <property fmtid="{D5CDD505-2E9C-101B-9397-08002B2CF9AE}" pid="10" name="MSIP_Label_92b83b4b-2d54-414f-8077-da565f2c0ab9_Tag">
    <vt:lpwstr>10, 3, 0, 2</vt:lpwstr>
  </property>
  <property fmtid="{D5CDD505-2E9C-101B-9397-08002B2CF9AE}" pid="11" name="MediaServiceImageTags">
    <vt:lpwstr/>
  </property>
</Properties>
</file>